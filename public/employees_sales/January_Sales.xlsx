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C_T\Documents\"/>
    </mc:Choice>
  </mc:AlternateContent>
  <xr:revisionPtr revIDLastSave="0" documentId="8_{33FB88E9-03CB-4BEE-AF1D-6B399FA2BE5B}" xr6:coauthVersionLast="47" xr6:coauthVersionMax="47" xr10:uidLastSave="{00000000-0000-0000-0000-000000000000}"/>
  <bookViews>
    <workbookView xWindow="-120" yWindow="-120" windowWidth="29040" windowHeight="15720" activeTab="2" xr2:uid="{FB0C09BB-1320-4393-ADF2-C1EA8136307E}"/>
  </bookViews>
  <sheets>
    <sheet name="Area " sheetId="5" r:id="rId1"/>
    <sheet name="branches " sheetId="6" r:id="rId2"/>
    <sheet name="staff sales" sheetId="2" r:id="rId3"/>
    <sheet name="PVT" sheetId="4" state="hidden" r:id="rId4"/>
    <sheet name="داتا اليومي" sheetId="7" state="hidden" r:id="rId5"/>
    <sheet name="Alahsa" sheetId="20" state="hidden" r:id="rId6"/>
    <sheet name="alkhobar" sheetId="21" state="hidden" r:id="rId7"/>
    <sheet name="Dammam" sheetId="22" state="hidden" r:id="rId8"/>
    <sheet name="Jubail" sheetId="23" state="hidden" r:id="rId9"/>
    <sheet name="Jouf" sheetId="25" state="hidden" r:id="rId10"/>
    <sheet name="NBR" sheetId="26" state="hidden" r:id="rId11"/>
    <sheet name="Tabuk" sheetId="27" state="hidden" r:id="rId12"/>
  </sheets>
  <externalReferences>
    <externalReference r:id="rId13"/>
  </externalReferences>
  <definedNames>
    <definedName name="_xlnm._FilterDatabase" localSheetId="0" hidden="1">'Area '!$A$5:$I$13</definedName>
    <definedName name="_xlnm._FilterDatabase" localSheetId="1" hidden="1">'branches '!$A$7:$AP$52</definedName>
    <definedName name="_xlnm._FilterDatabase" localSheetId="3" hidden="1">PVT!$A$1:$W$449</definedName>
    <definedName name="_xlnm._FilterDatabase" localSheetId="2" hidden="1">'staff sales'!$A$2:$BB$448</definedName>
    <definedName name="_xlnm._FilterDatabase" localSheetId="4" hidden="1">'داتا اليومي'!$A$1:$O$45</definedName>
    <definedName name="Header_List">[1]!TableHeaders[Table Headers]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66" i="4" l="1"/>
  <c r="W70" i="4"/>
  <c r="W74" i="4"/>
  <c r="W78" i="4"/>
  <c r="W82" i="4"/>
  <c r="W86" i="4"/>
  <c r="W90" i="4"/>
  <c r="W94" i="4"/>
  <c r="W102" i="4"/>
  <c r="W106" i="4"/>
  <c r="W110" i="4"/>
  <c r="W114" i="4"/>
  <c r="W118" i="4"/>
  <c r="W122" i="4"/>
  <c r="W126" i="4"/>
  <c r="W130" i="4"/>
  <c r="W134" i="4"/>
  <c r="W138" i="4"/>
  <c r="W142" i="4"/>
  <c r="W146" i="4"/>
  <c r="W150" i="4"/>
  <c r="W154" i="4"/>
  <c r="W158" i="4"/>
  <c r="W162" i="4"/>
  <c r="W166" i="4"/>
  <c r="W170" i="4"/>
  <c r="W174" i="4"/>
  <c r="W178" i="4"/>
  <c r="W182" i="4"/>
  <c r="W186" i="4"/>
  <c r="W190" i="4"/>
  <c r="W194" i="4"/>
  <c r="W198" i="4"/>
  <c r="W202" i="4"/>
  <c r="W206" i="4"/>
  <c r="W210" i="4"/>
  <c r="W214" i="4"/>
  <c r="W218" i="4"/>
  <c r="W222" i="4"/>
  <c r="W226" i="4"/>
  <c r="W230" i="4"/>
  <c r="W234" i="4"/>
  <c r="W238" i="4"/>
  <c r="W242" i="4"/>
  <c r="W258" i="4"/>
  <c r="W262" i="4"/>
  <c r="W266" i="4"/>
  <c r="W270" i="4"/>
  <c r="W274" i="4"/>
  <c r="W278" i="4"/>
  <c r="W282" i="4"/>
  <c r="W286" i="4"/>
  <c r="W290" i="4"/>
  <c r="W310" i="4"/>
  <c r="W314" i="4"/>
  <c r="W318" i="4"/>
  <c r="W322" i="4"/>
  <c r="W326" i="4"/>
  <c r="W330" i="4"/>
  <c r="W334" i="4"/>
  <c r="W338" i="4"/>
  <c r="W358" i="4"/>
  <c r="W362" i="4"/>
  <c r="W366" i="4"/>
  <c r="W370" i="4"/>
  <c r="W374" i="4"/>
  <c r="W378" i="4"/>
  <c r="W382" i="4"/>
  <c r="W386" i="4"/>
  <c r="W390" i="4"/>
  <c r="W394" i="4"/>
  <c r="W398" i="4"/>
  <c r="W402" i="4"/>
  <c r="W422" i="4"/>
  <c r="W426" i="4"/>
  <c r="W430" i="4"/>
  <c r="W434" i="4"/>
  <c r="W438" i="4"/>
  <c r="W442" i="4"/>
  <c r="W446" i="4"/>
  <c r="U66" i="4"/>
  <c r="U70" i="4"/>
  <c r="U74" i="4"/>
  <c r="U78" i="4"/>
  <c r="U82" i="4"/>
  <c r="U86" i="4"/>
  <c r="U90" i="4"/>
  <c r="U94" i="4"/>
  <c r="U102" i="4"/>
  <c r="U106" i="4"/>
  <c r="U110" i="4"/>
  <c r="U114" i="4"/>
  <c r="U118" i="4"/>
  <c r="U122" i="4"/>
  <c r="U126" i="4"/>
  <c r="U130" i="4"/>
  <c r="U134" i="4"/>
  <c r="U138" i="4"/>
  <c r="U142" i="4"/>
  <c r="U146" i="4"/>
  <c r="U150" i="4"/>
  <c r="U154" i="4"/>
  <c r="U158" i="4"/>
  <c r="U162" i="4"/>
  <c r="U166" i="4"/>
  <c r="U170" i="4"/>
  <c r="U174" i="4"/>
  <c r="U178" i="4"/>
  <c r="U182" i="4"/>
  <c r="U186" i="4"/>
  <c r="U190" i="4"/>
  <c r="U194" i="4"/>
  <c r="U198" i="4"/>
  <c r="U202" i="4"/>
  <c r="U206" i="4"/>
  <c r="U210" i="4"/>
  <c r="U214" i="4"/>
  <c r="U218" i="4"/>
  <c r="U222" i="4"/>
  <c r="U226" i="4"/>
  <c r="U230" i="4"/>
  <c r="U234" i="4"/>
  <c r="U238" i="4"/>
  <c r="U242" i="4"/>
  <c r="U246" i="4"/>
  <c r="U250" i="4"/>
  <c r="U258" i="4"/>
  <c r="U266" i="4"/>
  <c r="U270" i="4"/>
  <c r="U274" i="4"/>
  <c r="U278" i="4"/>
  <c r="U282" i="4"/>
  <c r="U286" i="4"/>
  <c r="U290" i="4"/>
  <c r="U294" i="4"/>
  <c r="U298" i="4"/>
  <c r="U302" i="4"/>
  <c r="U306" i="4"/>
  <c r="U310" i="4"/>
  <c r="U330" i="4"/>
  <c r="U334" i="4"/>
  <c r="U338" i="4"/>
  <c r="U342" i="4"/>
  <c r="U346" i="4"/>
  <c r="U350" i="4"/>
  <c r="U354" i="4"/>
  <c r="U358" i="4"/>
  <c r="U362" i="4"/>
  <c r="U366" i="4"/>
  <c r="U370" i="4"/>
  <c r="U374" i="4"/>
  <c r="U394" i="4"/>
  <c r="U398" i="4"/>
  <c r="U402" i="4"/>
  <c r="U406" i="4"/>
  <c r="U410" i="4"/>
  <c r="U414" i="4"/>
  <c r="U418" i="4"/>
  <c r="U422" i="4"/>
  <c r="U442" i="4"/>
  <c r="U446" i="4"/>
  <c r="T6" i="4"/>
  <c r="T10" i="4"/>
  <c r="T14" i="4"/>
  <c r="T18" i="4"/>
  <c r="T22" i="4"/>
  <c r="T26" i="4"/>
  <c r="T30" i="4"/>
  <c r="T34" i="4"/>
  <c r="T38" i="4"/>
  <c r="T42" i="4"/>
  <c r="T46" i="4"/>
  <c r="T50" i="4"/>
  <c r="T54" i="4"/>
  <c r="T58" i="4"/>
  <c r="T62" i="4"/>
  <c r="T66" i="4"/>
  <c r="T70" i="4"/>
  <c r="T74" i="4"/>
  <c r="T78" i="4"/>
  <c r="T82" i="4"/>
  <c r="T86" i="4"/>
  <c r="T90" i="4"/>
  <c r="T94" i="4"/>
  <c r="T102" i="4"/>
  <c r="T106" i="4"/>
  <c r="T110" i="4"/>
  <c r="T114" i="4"/>
  <c r="T118" i="4"/>
  <c r="T122" i="4"/>
  <c r="T126" i="4"/>
  <c r="T130" i="4"/>
  <c r="T134" i="4"/>
  <c r="T138" i="4"/>
  <c r="T142" i="4"/>
  <c r="T146" i="4"/>
  <c r="T150" i="4"/>
  <c r="T154" i="4"/>
  <c r="T158" i="4"/>
  <c r="T162" i="4"/>
  <c r="T166" i="4"/>
  <c r="T170" i="4"/>
  <c r="T174" i="4"/>
  <c r="T178" i="4"/>
  <c r="T182" i="4"/>
  <c r="T186" i="4"/>
  <c r="T190" i="4"/>
  <c r="T194" i="4"/>
  <c r="T198" i="4"/>
  <c r="T202" i="4"/>
  <c r="T206" i="4"/>
  <c r="T210" i="4"/>
  <c r="T214" i="4"/>
  <c r="T218" i="4"/>
  <c r="T222" i="4"/>
  <c r="T226" i="4"/>
  <c r="T230" i="4"/>
  <c r="T234" i="4"/>
  <c r="T238" i="4"/>
  <c r="T242" i="4"/>
  <c r="T246" i="4"/>
  <c r="T250" i="4"/>
  <c r="T254" i="4"/>
  <c r="T257" i="4"/>
  <c r="T258" i="4"/>
  <c r="T262" i="4"/>
  <c r="T265" i="4"/>
  <c r="T266" i="4"/>
  <c r="T269" i="4"/>
  <c r="T270" i="4"/>
  <c r="T274" i="4"/>
  <c r="T278" i="4"/>
  <c r="T281" i="4"/>
  <c r="T282" i="4"/>
  <c r="T285" i="4"/>
  <c r="T286" i="4"/>
  <c r="T290" i="4"/>
  <c r="T294" i="4"/>
  <c r="T297" i="4"/>
  <c r="T298" i="4"/>
  <c r="T301" i="4"/>
  <c r="T302" i="4"/>
  <c r="T306" i="4"/>
  <c r="T310" i="4"/>
  <c r="T314" i="4"/>
  <c r="T318" i="4"/>
  <c r="T322" i="4"/>
  <c r="T326" i="4"/>
  <c r="T330" i="4"/>
  <c r="T334" i="4"/>
  <c r="T338" i="4"/>
  <c r="T342" i="4"/>
  <c r="T346" i="4"/>
  <c r="T350" i="4"/>
  <c r="T354" i="4"/>
  <c r="T358" i="4"/>
  <c r="T362" i="4"/>
  <c r="T366" i="4"/>
  <c r="T370" i="4"/>
  <c r="T374" i="4"/>
  <c r="T378" i="4"/>
  <c r="T382" i="4"/>
  <c r="T386" i="4"/>
  <c r="T390" i="4"/>
  <c r="T394" i="4"/>
  <c r="T398" i="4"/>
  <c r="T402" i="4"/>
  <c r="T406" i="4"/>
  <c r="T410" i="4"/>
  <c r="T414" i="4"/>
  <c r="T418" i="4"/>
  <c r="T422" i="4"/>
  <c r="T426" i="4"/>
  <c r="T430" i="4"/>
  <c r="T434" i="4"/>
  <c r="T438" i="4"/>
  <c r="T442" i="4"/>
  <c r="T446" i="4"/>
  <c r="R6" i="4"/>
  <c r="R10" i="4"/>
  <c r="R14" i="4"/>
  <c r="R22" i="4"/>
  <c r="R26" i="4"/>
  <c r="R30" i="4"/>
  <c r="R38" i="4"/>
  <c r="R42" i="4"/>
  <c r="R46" i="4"/>
  <c r="R54" i="4"/>
  <c r="R58" i="4"/>
  <c r="R62" i="4"/>
  <c r="R66" i="4"/>
  <c r="R74" i="4"/>
  <c r="R78" i="4"/>
  <c r="R86" i="4"/>
  <c r="R90" i="4"/>
  <c r="R102" i="4"/>
  <c r="R106" i="4"/>
  <c r="R110" i="4"/>
  <c r="R114" i="4"/>
  <c r="R118" i="4"/>
  <c r="R126" i="4"/>
  <c r="R130" i="4"/>
  <c r="R138" i="4"/>
  <c r="R142" i="4"/>
  <c r="R150" i="4"/>
  <c r="R154" i="4"/>
  <c r="R162" i="4"/>
  <c r="R166" i="4"/>
  <c r="R170" i="4"/>
  <c r="R174" i="4"/>
  <c r="R178" i="4"/>
  <c r="R182" i="4"/>
  <c r="R190" i="4"/>
  <c r="R194" i="4"/>
  <c r="R202" i="4"/>
  <c r="R206" i="4"/>
  <c r="R214" i="4"/>
  <c r="R218" i="4"/>
  <c r="R226" i="4"/>
  <c r="R230" i="4"/>
  <c r="R234" i="4"/>
  <c r="R238" i="4"/>
  <c r="R242" i="4"/>
  <c r="R246" i="4"/>
  <c r="R254" i="4"/>
  <c r="R262" i="4"/>
  <c r="R266" i="4"/>
  <c r="R270" i="4"/>
  <c r="R278" i="4"/>
  <c r="R282" i="4"/>
  <c r="R286" i="4"/>
  <c r="R290" i="4"/>
  <c r="R294" i="4"/>
  <c r="R310" i="4"/>
  <c r="R330" i="4"/>
  <c r="R334" i="4"/>
  <c r="R338" i="4"/>
  <c r="R342" i="4"/>
  <c r="R346" i="4"/>
  <c r="R350" i="4"/>
  <c r="R354" i="4"/>
  <c r="R358" i="4"/>
  <c r="R366" i="4"/>
  <c r="R370" i="4"/>
  <c r="R374" i="4"/>
  <c r="R378" i="4"/>
  <c r="R382" i="4"/>
  <c r="R386" i="4"/>
  <c r="R398" i="4"/>
  <c r="R402" i="4"/>
  <c r="R406" i="4"/>
  <c r="R410" i="4"/>
  <c r="R414" i="4"/>
  <c r="R418" i="4"/>
  <c r="R422" i="4"/>
  <c r="R430" i="4"/>
  <c r="R434" i="4"/>
  <c r="R442" i="4"/>
  <c r="R446" i="4"/>
  <c r="S246" i="4"/>
  <c r="S250" i="4"/>
  <c r="S258" i="4"/>
  <c r="S262" i="4"/>
  <c r="S266" i="4"/>
  <c r="S270" i="4"/>
  <c r="S274" i="4"/>
  <c r="S278" i="4"/>
  <c r="S282" i="4"/>
  <c r="S286" i="4"/>
  <c r="S290" i="4"/>
  <c r="S294" i="4"/>
  <c r="S298" i="4"/>
  <c r="S302" i="4"/>
  <c r="S306" i="4"/>
  <c r="S310" i="4"/>
  <c r="S314" i="4"/>
  <c r="S318" i="4"/>
  <c r="S330" i="4"/>
  <c r="S334" i="4"/>
  <c r="S346" i="4"/>
  <c r="S350" i="4"/>
  <c r="S362" i="4"/>
  <c r="S366" i="4"/>
  <c r="S378" i="4"/>
  <c r="S382" i="4"/>
  <c r="S394" i="4"/>
  <c r="S398" i="4"/>
  <c r="S410" i="4"/>
  <c r="S414" i="4"/>
  <c r="S426" i="4"/>
  <c r="S430" i="4"/>
  <c r="S442" i="4"/>
  <c r="S446" i="4"/>
  <c r="R5" i="4"/>
  <c r="R9" i="4"/>
  <c r="R13" i="4"/>
  <c r="R17" i="4"/>
  <c r="R21" i="4"/>
  <c r="R25" i="4"/>
  <c r="R29" i="4"/>
  <c r="R33" i="4"/>
  <c r="R37" i="4"/>
  <c r="R41" i="4"/>
  <c r="R45" i="4"/>
  <c r="R49" i="4"/>
  <c r="R53" i="4"/>
  <c r="R64" i="4"/>
  <c r="R65" i="4"/>
  <c r="R68" i="4"/>
  <c r="R72" i="4"/>
  <c r="R76" i="4"/>
  <c r="R77" i="4"/>
  <c r="R80" i="4"/>
  <c r="R84" i="4"/>
  <c r="R88" i="4"/>
  <c r="R92" i="4"/>
  <c r="R93" i="4"/>
  <c r="R96" i="4"/>
  <c r="R100" i="4"/>
  <c r="R104" i="4"/>
  <c r="R108" i="4"/>
  <c r="R109" i="4"/>
  <c r="R112" i="4"/>
  <c r="R116" i="4"/>
  <c r="R120" i="4"/>
  <c r="R124" i="4"/>
  <c r="R125" i="4"/>
  <c r="R128" i="4"/>
  <c r="R132" i="4"/>
  <c r="R136" i="4"/>
  <c r="R140" i="4"/>
  <c r="R141" i="4"/>
  <c r="R144" i="4"/>
  <c r="R148" i="4"/>
  <c r="R152" i="4"/>
  <c r="R156" i="4"/>
  <c r="R157" i="4"/>
  <c r="R160" i="4"/>
  <c r="R164" i="4"/>
  <c r="R168" i="4"/>
  <c r="R172" i="4"/>
  <c r="R173" i="4"/>
  <c r="R176" i="4"/>
  <c r="R180" i="4"/>
  <c r="R184" i="4"/>
  <c r="R188" i="4"/>
  <c r="R189" i="4"/>
  <c r="R192" i="4"/>
  <c r="R196" i="4"/>
  <c r="R200" i="4"/>
  <c r="R204" i="4"/>
  <c r="R205" i="4"/>
  <c r="R208" i="4"/>
  <c r="R212" i="4"/>
  <c r="R216" i="4"/>
  <c r="R220" i="4"/>
  <c r="R221" i="4"/>
  <c r="R224" i="4"/>
  <c r="R228" i="4"/>
  <c r="R232" i="4"/>
  <c r="R236" i="4"/>
  <c r="R237" i="4"/>
  <c r="R240" i="4"/>
  <c r="R244" i="4"/>
  <c r="R248" i="4"/>
  <c r="R249" i="4"/>
  <c r="R253" i="4"/>
  <c r="R256" i="4"/>
  <c r="R257" i="4"/>
  <c r="R260" i="4"/>
  <c r="R261" i="4"/>
  <c r="R264" i="4"/>
  <c r="R265" i="4"/>
  <c r="R269" i="4"/>
  <c r="R273" i="4"/>
  <c r="R277" i="4"/>
  <c r="R280" i="4"/>
  <c r="R281" i="4"/>
  <c r="R285" i="4"/>
  <c r="R289" i="4"/>
  <c r="R296" i="4"/>
  <c r="R297" i="4"/>
  <c r="R309" i="4"/>
  <c r="R312" i="4"/>
  <c r="R325" i="4"/>
  <c r="R328" i="4"/>
  <c r="R329" i="4"/>
  <c r="R332" i="4"/>
  <c r="R336" i="4"/>
  <c r="R340" i="4"/>
  <c r="R341" i="4"/>
  <c r="R344" i="4"/>
  <c r="R345" i="4"/>
  <c r="R349" i="4"/>
  <c r="R353" i="4"/>
  <c r="R357" i="4"/>
  <c r="R360" i="4"/>
  <c r="R361" i="4"/>
  <c r="R365" i="4"/>
  <c r="R369" i="4"/>
  <c r="R376" i="4"/>
  <c r="R377" i="4"/>
  <c r="R389" i="4"/>
  <c r="R390" i="4"/>
  <c r="R392" i="4"/>
  <c r="R393" i="4"/>
  <c r="R396" i="4"/>
  <c r="R397" i="4"/>
  <c r="R400" i="4"/>
  <c r="R404" i="4"/>
  <c r="R408" i="4"/>
  <c r="R409" i="4"/>
  <c r="R413" i="4"/>
  <c r="R417" i="4"/>
  <c r="R421" i="4"/>
  <c r="R425" i="4"/>
  <c r="R429" i="4"/>
  <c r="R433" i="4"/>
  <c r="R437" i="4"/>
  <c r="R441" i="4"/>
  <c r="R326" i="4"/>
  <c r="R438" i="4"/>
  <c r="Q246" i="4"/>
  <c r="Q262" i="4"/>
  <c r="Q274" i="4"/>
  <c r="Q294" i="4"/>
  <c r="Q306" i="4"/>
  <c r="Q326" i="4"/>
  <c r="Q338" i="4"/>
  <c r="Q358" i="4"/>
  <c r="Q370" i="4"/>
  <c r="Q390" i="4"/>
  <c r="Q402" i="4"/>
  <c r="Q422" i="4"/>
  <c r="Q434" i="4"/>
  <c r="O66" i="4"/>
  <c r="O70" i="4"/>
  <c r="O74" i="4"/>
  <c r="O78" i="4"/>
  <c r="O82" i="4"/>
  <c r="O86" i="4"/>
  <c r="O90" i="4"/>
  <c r="O94" i="4"/>
  <c r="O102" i="4"/>
  <c r="O106" i="4"/>
  <c r="O110" i="4"/>
  <c r="O114" i="4"/>
  <c r="O118" i="4"/>
  <c r="O122" i="4"/>
  <c r="O126" i="4"/>
  <c r="O130" i="4"/>
  <c r="O134" i="4"/>
  <c r="O138" i="4"/>
  <c r="O142" i="4"/>
  <c r="O146" i="4"/>
  <c r="O150" i="4"/>
  <c r="O154" i="4"/>
  <c r="O158" i="4"/>
  <c r="O162" i="4"/>
  <c r="O166" i="4"/>
  <c r="O170" i="4"/>
  <c r="O174" i="4"/>
  <c r="O178" i="4"/>
  <c r="O182" i="4"/>
  <c r="O186" i="4"/>
  <c r="O190" i="4"/>
  <c r="O194" i="4"/>
  <c r="O198" i="4"/>
  <c r="O202" i="4"/>
  <c r="O206" i="4"/>
  <c r="O210" i="4"/>
  <c r="O214" i="4"/>
  <c r="O218" i="4"/>
  <c r="O222" i="4"/>
  <c r="O226" i="4"/>
  <c r="O230" i="4"/>
  <c r="O234" i="4"/>
  <c r="O238" i="4"/>
  <c r="O242" i="4"/>
  <c r="O250" i="4"/>
  <c r="O254" i="4"/>
  <c r="O258" i="4"/>
  <c r="O266" i="4"/>
  <c r="O270" i="4"/>
  <c r="O278" i="4"/>
  <c r="O282" i="4"/>
  <c r="O286" i="4"/>
  <c r="O290" i="4"/>
  <c r="O298" i="4"/>
  <c r="O302" i="4"/>
  <c r="O310" i="4"/>
  <c r="O314" i="4"/>
  <c r="O318" i="4"/>
  <c r="O322" i="4"/>
  <c r="O330" i="4"/>
  <c r="O334" i="4"/>
  <c r="O342" i="4"/>
  <c r="O346" i="4"/>
  <c r="O350" i="4"/>
  <c r="O354" i="4"/>
  <c r="O362" i="4"/>
  <c r="O366" i="4"/>
  <c r="O374" i="4"/>
  <c r="O378" i="4"/>
  <c r="O382" i="4"/>
  <c r="O386" i="4"/>
  <c r="O394" i="4"/>
  <c r="O398" i="4"/>
  <c r="O406" i="4"/>
  <c r="O410" i="4"/>
  <c r="O414" i="4"/>
  <c r="O418" i="4"/>
  <c r="O426" i="4"/>
  <c r="O430" i="4"/>
  <c r="O438" i="4"/>
  <c r="O446" i="4"/>
  <c r="P66" i="4"/>
  <c r="P70" i="4"/>
  <c r="P74" i="4"/>
  <c r="P78" i="4"/>
  <c r="P82" i="4"/>
  <c r="P86" i="4"/>
  <c r="P90" i="4"/>
  <c r="P94" i="4"/>
  <c r="P102" i="4"/>
  <c r="P106" i="4"/>
  <c r="P110" i="4"/>
  <c r="P114" i="4"/>
  <c r="P118" i="4"/>
  <c r="P122" i="4"/>
  <c r="P126" i="4"/>
  <c r="P130" i="4"/>
  <c r="P134" i="4"/>
  <c r="P138" i="4"/>
  <c r="P142" i="4"/>
  <c r="P146" i="4"/>
  <c r="P150" i="4"/>
  <c r="P154" i="4"/>
  <c r="P158" i="4"/>
  <c r="P162" i="4"/>
  <c r="P166" i="4"/>
  <c r="P170" i="4"/>
  <c r="P174" i="4"/>
  <c r="P178" i="4"/>
  <c r="P182" i="4"/>
  <c r="P186" i="4"/>
  <c r="P190" i="4"/>
  <c r="P194" i="4"/>
  <c r="P198" i="4"/>
  <c r="P202" i="4"/>
  <c r="P206" i="4"/>
  <c r="P210" i="4"/>
  <c r="P214" i="4"/>
  <c r="P218" i="4"/>
  <c r="P222" i="4"/>
  <c r="P226" i="4"/>
  <c r="P230" i="4"/>
  <c r="P234" i="4"/>
  <c r="P238" i="4"/>
  <c r="P242" i="4"/>
  <c r="P246" i="4"/>
  <c r="P266" i="4"/>
  <c r="P270" i="4"/>
  <c r="P274" i="4"/>
  <c r="P278" i="4"/>
  <c r="P282" i="4"/>
  <c r="P286" i="4"/>
  <c r="P298" i="4"/>
  <c r="P302" i="4"/>
  <c r="P306" i="4"/>
  <c r="P310" i="4"/>
  <c r="P314" i="4"/>
  <c r="P318" i="4"/>
  <c r="P330" i="4"/>
  <c r="P334" i="4"/>
  <c r="P338" i="4"/>
  <c r="P342" i="4"/>
  <c r="P346" i="4"/>
  <c r="P350" i="4"/>
  <c r="P362" i="4"/>
  <c r="P366" i="4"/>
  <c r="P370" i="4"/>
  <c r="P374" i="4"/>
  <c r="P378" i="4"/>
  <c r="P382" i="4"/>
  <c r="P386" i="4"/>
  <c r="P390" i="4"/>
  <c r="P410" i="4"/>
  <c r="P414" i="4"/>
  <c r="P418" i="4"/>
  <c r="P422" i="4"/>
  <c r="P426" i="4"/>
  <c r="P430" i="4"/>
  <c r="P434" i="4"/>
  <c r="P438" i="4"/>
  <c r="P442" i="4"/>
  <c r="P446" i="4"/>
  <c r="M66" i="4"/>
  <c r="M70" i="4"/>
  <c r="M74" i="4"/>
  <c r="M78" i="4"/>
  <c r="M82" i="4"/>
  <c r="M86" i="4"/>
  <c r="M90" i="4"/>
  <c r="M94" i="4"/>
  <c r="M102" i="4"/>
  <c r="M106" i="4"/>
  <c r="M110" i="4"/>
  <c r="M114" i="4"/>
  <c r="M118" i="4"/>
  <c r="M122" i="4"/>
  <c r="M126" i="4"/>
  <c r="M130" i="4"/>
  <c r="M134" i="4"/>
  <c r="M138" i="4"/>
  <c r="M142" i="4"/>
  <c r="M146" i="4"/>
  <c r="M150" i="4"/>
  <c r="M154" i="4"/>
  <c r="M158" i="4"/>
  <c r="M162" i="4"/>
  <c r="M166" i="4"/>
  <c r="M170" i="4"/>
  <c r="M174" i="4"/>
  <c r="M178" i="4"/>
  <c r="M182" i="4"/>
  <c r="M186" i="4"/>
  <c r="M190" i="4"/>
  <c r="M194" i="4"/>
  <c r="M198" i="4"/>
  <c r="M202" i="4"/>
  <c r="M206" i="4"/>
  <c r="M210" i="4"/>
  <c r="M214" i="4"/>
  <c r="M218" i="4"/>
  <c r="M222" i="4"/>
  <c r="M226" i="4"/>
  <c r="M230" i="4"/>
  <c r="M234" i="4"/>
  <c r="M238" i="4"/>
  <c r="M242" i="4"/>
  <c r="M246" i="4"/>
  <c r="M266" i="4"/>
  <c r="M270" i="4"/>
  <c r="M274" i="4"/>
  <c r="M278" i="4"/>
  <c r="M298" i="4"/>
  <c r="M302" i="4"/>
  <c r="M306" i="4"/>
  <c r="M310" i="4"/>
  <c r="M330" i="4"/>
  <c r="M334" i="4"/>
  <c r="M338" i="4"/>
  <c r="M342" i="4"/>
  <c r="M362" i="4"/>
  <c r="M366" i="4"/>
  <c r="M370" i="4"/>
  <c r="M374" i="4"/>
  <c r="M394" i="4"/>
  <c r="M398" i="4"/>
  <c r="M402" i="4"/>
  <c r="M406" i="4"/>
  <c r="M426" i="4"/>
  <c r="M430" i="4"/>
  <c r="M434" i="4"/>
  <c r="M438" i="4"/>
  <c r="L66" i="4"/>
  <c r="L114" i="4"/>
  <c r="L130" i="4"/>
  <c r="L146" i="4"/>
  <c r="L178" i="4"/>
  <c r="L194" i="4"/>
  <c r="L210" i="4"/>
  <c r="L242" i="4"/>
  <c r="L246" i="4"/>
  <c r="L258" i="4"/>
  <c r="L278" i="4"/>
  <c r="L290" i="4"/>
  <c r="L294" i="4"/>
  <c r="L306" i="4"/>
  <c r="L310" i="4"/>
  <c r="L322" i="4"/>
  <c r="L342" i="4"/>
  <c r="L354" i="4"/>
  <c r="L358" i="4"/>
  <c r="L370" i="4"/>
  <c r="L374" i="4"/>
  <c r="L386" i="4"/>
  <c r="L406" i="4"/>
  <c r="L418" i="4"/>
  <c r="L422" i="4"/>
  <c r="L434" i="4"/>
  <c r="L438" i="4"/>
  <c r="B45" i="5"/>
  <c r="B44" i="5"/>
  <c r="B43" i="5"/>
  <c r="B42" i="5"/>
  <c r="B41" i="5"/>
  <c r="B40" i="5"/>
  <c r="B39" i="5"/>
  <c r="E45" i="5"/>
  <c r="E44" i="5"/>
  <c r="E43" i="5"/>
  <c r="E42" i="5"/>
  <c r="E41" i="5"/>
  <c r="E40" i="5"/>
  <c r="E39" i="5"/>
  <c r="H43" i="5"/>
  <c r="H42" i="5"/>
  <c r="H41" i="5"/>
  <c r="H40" i="5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03" i="4"/>
  <c r="V204" i="4"/>
  <c r="V205" i="4"/>
  <c r="V206" i="4"/>
  <c r="V207" i="4"/>
  <c r="V208" i="4"/>
  <c r="V209" i="4"/>
  <c r="V210" i="4"/>
  <c r="V211" i="4"/>
  <c r="V212" i="4"/>
  <c r="V213" i="4"/>
  <c r="V214" i="4"/>
  <c r="V215" i="4"/>
  <c r="V216" i="4"/>
  <c r="V217" i="4"/>
  <c r="V218" i="4"/>
  <c r="V219" i="4"/>
  <c r="V220" i="4"/>
  <c r="V221" i="4"/>
  <c r="V222" i="4"/>
  <c r="V223" i="4"/>
  <c r="V224" i="4"/>
  <c r="V225" i="4"/>
  <c r="V226" i="4"/>
  <c r="V227" i="4"/>
  <c r="V228" i="4"/>
  <c r="V229" i="4"/>
  <c r="V230" i="4"/>
  <c r="V231" i="4"/>
  <c r="V232" i="4"/>
  <c r="V233" i="4"/>
  <c r="V234" i="4"/>
  <c r="V235" i="4"/>
  <c r="V236" i="4"/>
  <c r="V237" i="4"/>
  <c r="V238" i="4"/>
  <c r="V239" i="4"/>
  <c r="V240" i="4"/>
  <c r="V241" i="4"/>
  <c r="V242" i="4"/>
  <c r="V243" i="4"/>
  <c r="V244" i="4"/>
  <c r="V245" i="4"/>
  <c r="V246" i="4"/>
  <c r="V247" i="4"/>
  <c r="V248" i="4"/>
  <c r="V249" i="4"/>
  <c r="V250" i="4"/>
  <c r="V251" i="4"/>
  <c r="V252" i="4"/>
  <c r="V253" i="4"/>
  <c r="V254" i="4"/>
  <c r="V255" i="4"/>
  <c r="V256" i="4"/>
  <c r="V257" i="4"/>
  <c r="V258" i="4"/>
  <c r="V259" i="4"/>
  <c r="V260" i="4"/>
  <c r="V261" i="4"/>
  <c r="V262" i="4"/>
  <c r="V263" i="4"/>
  <c r="V264" i="4"/>
  <c r="V265" i="4"/>
  <c r="V266" i="4"/>
  <c r="V267" i="4"/>
  <c r="V268" i="4"/>
  <c r="V269" i="4"/>
  <c r="V270" i="4"/>
  <c r="V271" i="4"/>
  <c r="V272" i="4"/>
  <c r="V273" i="4"/>
  <c r="V274" i="4"/>
  <c r="V275" i="4"/>
  <c r="V276" i="4"/>
  <c r="V277" i="4"/>
  <c r="V278" i="4"/>
  <c r="V279" i="4"/>
  <c r="V280" i="4"/>
  <c r="V281" i="4"/>
  <c r="V282" i="4"/>
  <c r="V283" i="4"/>
  <c r="V284" i="4"/>
  <c r="V285" i="4"/>
  <c r="V286" i="4"/>
  <c r="V287" i="4"/>
  <c r="V288" i="4"/>
  <c r="V289" i="4"/>
  <c r="V290" i="4"/>
  <c r="V291" i="4"/>
  <c r="V292" i="4"/>
  <c r="V293" i="4"/>
  <c r="V294" i="4"/>
  <c r="V295" i="4"/>
  <c r="V296" i="4"/>
  <c r="V297" i="4"/>
  <c r="V298" i="4"/>
  <c r="V299" i="4"/>
  <c r="V300" i="4"/>
  <c r="V301" i="4"/>
  <c r="V302" i="4"/>
  <c r="V303" i="4"/>
  <c r="V304" i="4"/>
  <c r="V305" i="4"/>
  <c r="V306" i="4"/>
  <c r="V307" i="4"/>
  <c r="V308" i="4"/>
  <c r="V309" i="4"/>
  <c r="V310" i="4"/>
  <c r="V311" i="4"/>
  <c r="V312" i="4"/>
  <c r="V313" i="4"/>
  <c r="V314" i="4"/>
  <c r="V315" i="4"/>
  <c r="V316" i="4"/>
  <c r="V317" i="4"/>
  <c r="V318" i="4"/>
  <c r="V319" i="4"/>
  <c r="V320" i="4"/>
  <c r="V321" i="4"/>
  <c r="V322" i="4"/>
  <c r="V323" i="4"/>
  <c r="V324" i="4"/>
  <c r="V325" i="4"/>
  <c r="V326" i="4"/>
  <c r="V327" i="4"/>
  <c r="V328" i="4"/>
  <c r="V329" i="4"/>
  <c r="V330" i="4"/>
  <c r="V331" i="4"/>
  <c r="V332" i="4"/>
  <c r="V333" i="4"/>
  <c r="V334" i="4"/>
  <c r="V335" i="4"/>
  <c r="V336" i="4"/>
  <c r="V337" i="4"/>
  <c r="V338" i="4"/>
  <c r="V339" i="4"/>
  <c r="V340" i="4"/>
  <c r="V341" i="4"/>
  <c r="V342" i="4"/>
  <c r="V343" i="4"/>
  <c r="V344" i="4"/>
  <c r="V345" i="4"/>
  <c r="V346" i="4"/>
  <c r="V347" i="4"/>
  <c r="V348" i="4"/>
  <c r="V349" i="4"/>
  <c r="V350" i="4"/>
  <c r="V351" i="4"/>
  <c r="V352" i="4"/>
  <c r="V353" i="4"/>
  <c r="V354" i="4"/>
  <c r="V355" i="4"/>
  <c r="V356" i="4"/>
  <c r="V357" i="4"/>
  <c r="V358" i="4"/>
  <c r="V359" i="4"/>
  <c r="V360" i="4"/>
  <c r="V361" i="4"/>
  <c r="V362" i="4"/>
  <c r="V363" i="4"/>
  <c r="V364" i="4"/>
  <c r="V365" i="4"/>
  <c r="V366" i="4"/>
  <c r="V367" i="4"/>
  <c r="V368" i="4"/>
  <c r="V369" i="4"/>
  <c r="V370" i="4"/>
  <c r="V371" i="4"/>
  <c r="V372" i="4"/>
  <c r="V373" i="4"/>
  <c r="V374" i="4"/>
  <c r="V375" i="4"/>
  <c r="V376" i="4"/>
  <c r="V377" i="4"/>
  <c r="V378" i="4"/>
  <c r="V379" i="4"/>
  <c r="V380" i="4"/>
  <c r="V381" i="4"/>
  <c r="V382" i="4"/>
  <c r="V383" i="4"/>
  <c r="V384" i="4"/>
  <c r="V385" i="4"/>
  <c r="V386" i="4"/>
  <c r="V387" i="4"/>
  <c r="V388" i="4"/>
  <c r="V389" i="4"/>
  <c r="V390" i="4"/>
  <c r="V391" i="4"/>
  <c r="V392" i="4"/>
  <c r="V393" i="4"/>
  <c r="V394" i="4"/>
  <c r="V395" i="4"/>
  <c r="V396" i="4"/>
  <c r="V397" i="4"/>
  <c r="V398" i="4"/>
  <c r="V399" i="4"/>
  <c r="V400" i="4"/>
  <c r="V401" i="4"/>
  <c r="V402" i="4"/>
  <c r="V403" i="4"/>
  <c r="V404" i="4"/>
  <c r="V405" i="4"/>
  <c r="V406" i="4"/>
  <c r="V407" i="4"/>
  <c r="V408" i="4"/>
  <c r="V409" i="4"/>
  <c r="V410" i="4"/>
  <c r="V411" i="4"/>
  <c r="V412" i="4"/>
  <c r="V413" i="4"/>
  <c r="V414" i="4"/>
  <c r="V415" i="4"/>
  <c r="V416" i="4"/>
  <c r="V417" i="4"/>
  <c r="V418" i="4"/>
  <c r="V419" i="4"/>
  <c r="V420" i="4"/>
  <c r="V421" i="4"/>
  <c r="V422" i="4"/>
  <c r="V423" i="4"/>
  <c r="V424" i="4"/>
  <c r="V425" i="4"/>
  <c r="V426" i="4"/>
  <c r="V427" i="4"/>
  <c r="V428" i="4"/>
  <c r="V429" i="4"/>
  <c r="V430" i="4"/>
  <c r="V431" i="4"/>
  <c r="V432" i="4"/>
  <c r="V433" i="4"/>
  <c r="V434" i="4"/>
  <c r="V435" i="4"/>
  <c r="V436" i="4"/>
  <c r="V437" i="4"/>
  <c r="V438" i="4"/>
  <c r="V439" i="4"/>
  <c r="V440" i="4"/>
  <c r="V441" i="4"/>
  <c r="V442" i="4"/>
  <c r="V443" i="4"/>
  <c r="V444" i="4"/>
  <c r="V445" i="4"/>
  <c r="V446" i="4"/>
  <c r="V447" i="4"/>
  <c r="V448" i="4"/>
  <c r="V449" i="4"/>
  <c r="V2" i="4"/>
  <c r="H23" i="5"/>
  <c r="H22" i="5"/>
  <c r="H21" i="5"/>
  <c r="H20" i="5"/>
  <c r="H19" i="5"/>
  <c r="H18" i="5"/>
  <c r="H17" i="5"/>
  <c r="S243" i="4"/>
  <c r="S244" i="4"/>
  <c r="S245" i="4"/>
  <c r="S247" i="4"/>
  <c r="S248" i="4"/>
  <c r="S249" i="4"/>
  <c r="S253" i="4"/>
  <c r="S255" i="4"/>
  <c r="S256" i="4"/>
  <c r="S257" i="4"/>
  <c r="S259" i="4"/>
  <c r="S260" i="4"/>
  <c r="S261" i="4"/>
  <c r="S263" i="4"/>
  <c r="S264" i="4"/>
  <c r="S265" i="4"/>
  <c r="S275" i="4"/>
  <c r="S276" i="4"/>
  <c r="S277" i="4"/>
  <c r="S279" i="4"/>
  <c r="S280" i="4"/>
  <c r="S281" i="4"/>
  <c r="S291" i="4"/>
  <c r="S292" i="4"/>
  <c r="S293" i="4"/>
  <c r="S295" i="4"/>
  <c r="S296" i="4"/>
  <c r="S297" i="4"/>
  <c r="S307" i="4"/>
  <c r="S308" i="4"/>
  <c r="S309" i="4"/>
  <c r="S311" i="4"/>
  <c r="S312" i="4"/>
  <c r="S322" i="4"/>
  <c r="S323" i="4"/>
  <c r="S324" i="4"/>
  <c r="S325" i="4"/>
  <c r="S326" i="4"/>
  <c r="S327" i="4"/>
  <c r="S328" i="4"/>
  <c r="S329" i="4"/>
  <c r="S338" i="4"/>
  <c r="S339" i="4"/>
  <c r="S340" i="4"/>
  <c r="S341" i="4"/>
  <c r="S342" i="4"/>
  <c r="S343" i="4"/>
  <c r="S344" i="4"/>
  <c r="S345" i="4"/>
  <c r="S354" i="4"/>
  <c r="S355" i="4"/>
  <c r="S356" i="4"/>
  <c r="S357" i="4"/>
  <c r="S358" i="4"/>
  <c r="S359" i="4"/>
  <c r="S360" i="4"/>
  <c r="S361" i="4"/>
  <c r="S370" i="4"/>
  <c r="S371" i="4"/>
  <c r="S372" i="4"/>
  <c r="S373" i="4"/>
  <c r="S374" i="4"/>
  <c r="S375" i="4"/>
  <c r="S376" i="4"/>
  <c r="S377" i="4"/>
  <c r="S386" i="4"/>
  <c r="S387" i="4"/>
  <c r="S388" i="4"/>
  <c r="S389" i="4"/>
  <c r="S390" i="4"/>
  <c r="S391" i="4"/>
  <c r="S392" i="4"/>
  <c r="S393" i="4"/>
  <c r="S402" i="4"/>
  <c r="S403" i="4"/>
  <c r="S404" i="4"/>
  <c r="S405" i="4"/>
  <c r="S406" i="4"/>
  <c r="S407" i="4"/>
  <c r="S408" i="4"/>
  <c r="S409" i="4"/>
  <c r="S418" i="4"/>
  <c r="S419" i="4"/>
  <c r="S420" i="4"/>
  <c r="S421" i="4"/>
  <c r="S422" i="4"/>
  <c r="S423" i="4"/>
  <c r="S424" i="4"/>
  <c r="S425" i="4"/>
  <c r="S434" i="4"/>
  <c r="S435" i="4"/>
  <c r="S436" i="4"/>
  <c r="S437" i="4"/>
  <c r="S438" i="4"/>
  <c r="S439" i="4"/>
  <c r="S440" i="4"/>
  <c r="S441" i="4"/>
  <c r="U243" i="4"/>
  <c r="U247" i="4"/>
  <c r="U251" i="4"/>
  <c r="U252" i="4"/>
  <c r="U254" i="4"/>
  <c r="U255" i="4"/>
  <c r="U267" i="4"/>
  <c r="U268" i="4"/>
  <c r="U283" i="4"/>
  <c r="U284" i="4"/>
  <c r="U299" i="4"/>
  <c r="U300" i="4"/>
  <c r="U314" i="4"/>
  <c r="U315" i="4"/>
  <c r="U316" i="4"/>
  <c r="U331" i="4"/>
  <c r="U332" i="4"/>
  <c r="U347" i="4"/>
  <c r="U348" i="4"/>
  <c r="U363" i="4"/>
  <c r="U364" i="4"/>
  <c r="U378" i="4"/>
  <c r="U379" i="4"/>
  <c r="U380" i="4"/>
  <c r="U395" i="4"/>
  <c r="U396" i="4"/>
  <c r="U411" i="4"/>
  <c r="U426" i="4"/>
  <c r="U427" i="4"/>
  <c r="U428" i="4"/>
  <c r="U443" i="4"/>
  <c r="U444" i="4"/>
  <c r="T247" i="4"/>
  <c r="T248" i="4"/>
  <c r="T249" i="4"/>
  <c r="T251" i="4"/>
  <c r="T252" i="4"/>
  <c r="T253" i="4"/>
  <c r="T263" i="4"/>
  <c r="T264" i="4"/>
  <c r="T267" i="4"/>
  <c r="T268" i="4"/>
  <c r="T279" i="4"/>
  <c r="T280" i="4"/>
  <c r="T283" i="4"/>
  <c r="T284" i="4"/>
  <c r="T295" i="4"/>
  <c r="T296" i="4"/>
  <c r="T299" i="4"/>
  <c r="T300" i="4"/>
  <c r="T311" i="4"/>
  <c r="T312" i="4"/>
  <c r="T315" i="4"/>
  <c r="T316" i="4"/>
  <c r="T317" i="4"/>
  <c r="T327" i="4"/>
  <c r="T328" i="4"/>
  <c r="T329" i="4"/>
  <c r="T331" i="4"/>
  <c r="T332" i="4"/>
  <c r="T333" i="4"/>
  <c r="T343" i="4"/>
  <c r="T344" i="4"/>
  <c r="T345" i="4"/>
  <c r="T347" i="4"/>
  <c r="T348" i="4"/>
  <c r="T349" i="4"/>
  <c r="T359" i="4"/>
  <c r="T360" i="4"/>
  <c r="T361" i="4"/>
  <c r="T363" i="4"/>
  <c r="T364" i="4"/>
  <c r="T365" i="4"/>
  <c r="T375" i="4"/>
  <c r="T376" i="4"/>
  <c r="T377" i="4"/>
  <c r="T379" i="4"/>
  <c r="T380" i="4"/>
  <c r="T381" i="4"/>
  <c r="T391" i="4"/>
  <c r="T392" i="4"/>
  <c r="T393" i="4"/>
  <c r="T395" i="4"/>
  <c r="T396" i="4"/>
  <c r="T397" i="4"/>
  <c r="T407" i="4"/>
  <c r="T408" i="4"/>
  <c r="T409" i="4"/>
  <c r="T411" i="4"/>
  <c r="T413" i="4"/>
  <c r="T423" i="4"/>
  <c r="T424" i="4"/>
  <c r="T425" i="4"/>
  <c r="T427" i="4"/>
  <c r="T428" i="4"/>
  <c r="T429" i="4"/>
  <c r="T439" i="4"/>
  <c r="T440" i="4"/>
  <c r="T441" i="4"/>
  <c r="T443" i="4"/>
  <c r="T444" i="4"/>
  <c r="T445" i="4"/>
  <c r="N244" i="4"/>
  <c r="N246" i="4"/>
  <c r="N248" i="4"/>
  <c r="N249" i="4"/>
  <c r="N251" i="4"/>
  <c r="N253" i="4"/>
  <c r="N256" i="4"/>
  <c r="N257" i="4"/>
  <c r="N258" i="4"/>
  <c r="N260" i="4"/>
  <c r="N262" i="4"/>
  <c r="N264" i="4"/>
  <c r="N265" i="4"/>
  <c r="N267" i="4"/>
  <c r="N269" i="4"/>
  <c r="N272" i="4"/>
  <c r="N273" i="4"/>
  <c r="N274" i="4"/>
  <c r="N276" i="4"/>
  <c r="N278" i="4"/>
  <c r="N280" i="4"/>
  <c r="N281" i="4"/>
  <c r="N283" i="4"/>
  <c r="N285" i="4"/>
  <c r="N288" i="4"/>
  <c r="N289" i="4"/>
  <c r="N290" i="4"/>
  <c r="N292" i="4"/>
  <c r="N294" i="4"/>
  <c r="N296" i="4"/>
  <c r="N297" i="4"/>
  <c r="N299" i="4"/>
  <c r="N301" i="4"/>
  <c r="N304" i="4"/>
  <c r="N305" i="4"/>
  <c r="N306" i="4"/>
  <c r="N308" i="4"/>
  <c r="N310" i="4"/>
  <c r="N312" i="4"/>
  <c r="N315" i="4"/>
  <c r="N317" i="4"/>
  <c r="N320" i="4"/>
  <c r="N321" i="4"/>
  <c r="N322" i="4"/>
  <c r="N324" i="4"/>
  <c r="N326" i="4"/>
  <c r="N328" i="4"/>
  <c r="N329" i="4"/>
  <c r="N331" i="4"/>
  <c r="N333" i="4"/>
  <c r="N336" i="4"/>
  <c r="N337" i="4"/>
  <c r="N338" i="4"/>
  <c r="N340" i="4"/>
  <c r="N342" i="4"/>
  <c r="N344" i="4"/>
  <c r="N345" i="4"/>
  <c r="N347" i="4"/>
  <c r="N349" i="4"/>
  <c r="N352" i="4"/>
  <c r="N353" i="4"/>
  <c r="N354" i="4"/>
  <c r="N356" i="4"/>
  <c r="N358" i="4"/>
  <c r="N360" i="4"/>
  <c r="N361" i="4"/>
  <c r="N363" i="4"/>
  <c r="N365" i="4"/>
  <c r="N368" i="4"/>
  <c r="N369" i="4"/>
  <c r="N370" i="4"/>
  <c r="N372" i="4"/>
  <c r="N374" i="4"/>
  <c r="N376" i="4"/>
  <c r="N377" i="4"/>
  <c r="N379" i="4"/>
  <c r="N381" i="4"/>
  <c r="N384" i="4"/>
  <c r="N385" i="4"/>
  <c r="N386" i="4"/>
  <c r="N388" i="4"/>
  <c r="N390" i="4"/>
  <c r="N392" i="4"/>
  <c r="N393" i="4"/>
  <c r="N395" i="4"/>
  <c r="N397" i="4"/>
  <c r="N400" i="4"/>
  <c r="N401" i="4"/>
  <c r="N402" i="4"/>
  <c r="N404" i="4"/>
  <c r="N406" i="4"/>
  <c r="N408" i="4"/>
  <c r="N409" i="4"/>
  <c r="N411" i="4"/>
  <c r="N413" i="4"/>
  <c r="N416" i="4"/>
  <c r="N417" i="4"/>
  <c r="N418" i="4"/>
  <c r="N420" i="4"/>
  <c r="N422" i="4"/>
  <c r="N424" i="4"/>
  <c r="N425" i="4"/>
  <c r="N427" i="4"/>
  <c r="N429" i="4"/>
  <c r="N432" i="4"/>
  <c r="N433" i="4"/>
  <c r="N434" i="4"/>
  <c r="N436" i="4"/>
  <c r="N438" i="4"/>
  <c r="N440" i="4"/>
  <c r="N441" i="4"/>
  <c r="N443" i="4"/>
  <c r="N445" i="4"/>
  <c r="R245" i="4"/>
  <c r="R247" i="4"/>
  <c r="R255" i="4"/>
  <c r="R263" i="4"/>
  <c r="R279" i="4"/>
  <c r="R293" i="4"/>
  <c r="R295" i="4"/>
  <c r="R311" i="4"/>
  <c r="R327" i="4"/>
  <c r="R343" i="4"/>
  <c r="R359" i="4"/>
  <c r="R373" i="4"/>
  <c r="R375" i="4"/>
  <c r="R391" i="4"/>
  <c r="R405" i="4"/>
  <c r="R407" i="4"/>
  <c r="R423" i="4"/>
  <c r="R424" i="4"/>
  <c r="R439" i="4"/>
  <c r="R440" i="4"/>
  <c r="Q244" i="4"/>
  <c r="Q245" i="4"/>
  <c r="Q248" i="4"/>
  <c r="Q251" i="4"/>
  <c r="Q256" i="4"/>
  <c r="Q257" i="4"/>
  <c r="Q258" i="4"/>
  <c r="Q260" i="4"/>
  <c r="Q261" i="4"/>
  <c r="Q272" i="4"/>
  <c r="Q273" i="4"/>
  <c r="Q276" i="4"/>
  <c r="Q277" i="4"/>
  <c r="Q278" i="4"/>
  <c r="Q288" i="4"/>
  <c r="Q289" i="4"/>
  <c r="Q290" i="4"/>
  <c r="Q292" i="4"/>
  <c r="Q293" i="4"/>
  <c r="Q304" i="4"/>
  <c r="Q305" i="4"/>
  <c r="Q308" i="4"/>
  <c r="Q309" i="4"/>
  <c r="Q310" i="4"/>
  <c r="Q320" i="4"/>
  <c r="Q321" i="4"/>
  <c r="Q322" i="4"/>
  <c r="Q324" i="4"/>
  <c r="Q325" i="4"/>
  <c r="Q336" i="4"/>
  <c r="Q337" i="4"/>
  <c r="Q340" i="4"/>
  <c r="Q341" i="4"/>
  <c r="Q342" i="4"/>
  <c r="Q352" i="4"/>
  <c r="Q353" i="4"/>
  <c r="Q354" i="4"/>
  <c r="Q356" i="4"/>
  <c r="Q357" i="4"/>
  <c r="Q368" i="4"/>
  <c r="Q369" i="4"/>
  <c r="Q372" i="4"/>
  <c r="Q373" i="4"/>
  <c r="Q374" i="4"/>
  <c r="Q384" i="4"/>
  <c r="Q385" i="4"/>
  <c r="Q386" i="4"/>
  <c r="Q388" i="4"/>
  <c r="Q389" i="4"/>
  <c r="Q400" i="4"/>
  <c r="Q401" i="4"/>
  <c r="Q404" i="4"/>
  <c r="Q405" i="4"/>
  <c r="Q406" i="4"/>
  <c r="Q416" i="4"/>
  <c r="Q417" i="4"/>
  <c r="Q418" i="4"/>
  <c r="Q420" i="4"/>
  <c r="Q421" i="4"/>
  <c r="Q432" i="4"/>
  <c r="Q433" i="4"/>
  <c r="Q436" i="4"/>
  <c r="Q437" i="4"/>
  <c r="Q438" i="4"/>
  <c r="P243" i="4"/>
  <c r="P244" i="4"/>
  <c r="P245" i="4"/>
  <c r="P247" i="4"/>
  <c r="P250" i="4"/>
  <c r="P255" i="4"/>
  <c r="P256" i="4"/>
  <c r="P257" i="4"/>
  <c r="P258" i="4"/>
  <c r="P259" i="4"/>
  <c r="P260" i="4"/>
  <c r="P261" i="4"/>
  <c r="P262" i="4"/>
  <c r="P263" i="4"/>
  <c r="P275" i="4"/>
  <c r="P276" i="4"/>
  <c r="P277" i="4"/>
  <c r="P279" i="4"/>
  <c r="P290" i="4"/>
  <c r="P291" i="4"/>
  <c r="P292" i="4"/>
  <c r="P293" i="4"/>
  <c r="P294" i="4"/>
  <c r="P295" i="4"/>
  <c r="P307" i="4"/>
  <c r="P308" i="4"/>
  <c r="P309" i="4"/>
  <c r="P311" i="4"/>
  <c r="P322" i="4"/>
  <c r="P323" i="4"/>
  <c r="P324" i="4"/>
  <c r="P325" i="4"/>
  <c r="P326" i="4"/>
  <c r="P327" i="4"/>
  <c r="P339" i="4"/>
  <c r="P340" i="4"/>
  <c r="P341" i="4"/>
  <c r="P343" i="4"/>
  <c r="P354" i="4"/>
  <c r="P355" i="4"/>
  <c r="P356" i="4"/>
  <c r="P357" i="4"/>
  <c r="P358" i="4"/>
  <c r="P359" i="4"/>
  <c r="P371" i="4"/>
  <c r="P372" i="4"/>
  <c r="P373" i="4"/>
  <c r="P375" i="4"/>
  <c r="P387" i="4"/>
  <c r="P388" i="4"/>
  <c r="P389" i="4"/>
  <c r="P391" i="4"/>
  <c r="P403" i="4"/>
  <c r="P404" i="4"/>
  <c r="P405" i="4"/>
  <c r="P406" i="4"/>
  <c r="P407" i="4"/>
  <c r="P419" i="4"/>
  <c r="P420" i="4"/>
  <c r="P421" i="4"/>
  <c r="P423" i="4"/>
  <c r="P435" i="4"/>
  <c r="P436" i="4"/>
  <c r="P437" i="4"/>
  <c r="P439" i="4"/>
  <c r="O244" i="4"/>
  <c r="O245" i="4"/>
  <c r="O247" i="4"/>
  <c r="O248" i="4"/>
  <c r="O255" i="4"/>
  <c r="O257" i="4"/>
  <c r="O261" i="4"/>
  <c r="O264" i="4"/>
  <c r="O271" i="4"/>
  <c r="O273" i="4"/>
  <c r="O274" i="4"/>
  <c r="O277" i="4"/>
  <c r="O280" i="4"/>
  <c r="O287" i="4"/>
  <c r="O289" i="4"/>
  <c r="O293" i="4"/>
  <c r="O296" i="4"/>
  <c r="O303" i="4"/>
  <c r="O305" i="4"/>
  <c r="O306" i="4"/>
  <c r="O309" i="4"/>
  <c r="O312" i="4"/>
  <c r="O319" i="4"/>
  <c r="O321" i="4"/>
  <c r="O325" i="4"/>
  <c r="O328" i="4"/>
  <c r="O335" i="4"/>
  <c r="O337" i="4"/>
  <c r="O338" i="4"/>
  <c r="O341" i="4"/>
  <c r="O344" i="4"/>
  <c r="O351" i="4"/>
  <c r="O353" i="4"/>
  <c r="O357" i="4"/>
  <c r="O360" i="4"/>
  <c r="O367" i="4"/>
  <c r="O369" i="4"/>
  <c r="O370" i="4"/>
  <c r="O373" i="4"/>
  <c r="O376" i="4"/>
  <c r="O383" i="4"/>
  <c r="O385" i="4"/>
  <c r="O389" i="4"/>
  <c r="O392" i="4"/>
  <c r="O399" i="4"/>
  <c r="O401" i="4"/>
  <c r="O402" i="4"/>
  <c r="O405" i="4"/>
  <c r="O408" i="4"/>
  <c r="O415" i="4"/>
  <c r="O417" i="4"/>
  <c r="O421" i="4"/>
  <c r="O424" i="4"/>
  <c r="O431" i="4"/>
  <c r="O433" i="4"/>
  <c r="O434" i="4"/>
  <c r="O437" i="4"/>
  <c r="O440" i="4"/>
  <c r="O447" i="4"/>
  <c r="W244" i="4"/>
  <c r="W245" i="4"/>
  <c r="W246" i="4"/>
  <c r="W247" i="4"/>
  <c r="W248" i="4"/>
  <c r="W249" i="4"/>
  <c r="W250" i="4"/>
  <c r="W255" i="4"/>
  <c r="W256" i="4"/>
  <c r="W257" i="4"/>
  <c r="W260" i="4"/>
  <c r="W261" i="4"/>
  <c r="W263" i="4"/>
  <c r="W264" i="4"/>
  <c r="W265" i="4"/>
  <c r="W276" i="4"/>
  <c r="W277" i="4"/>
  <c r="W279" i="4"/>
  <c r="W280" i="4"/>
  <c r="W281" i="4"/>
  <c r="W292" i="4"/>
  <c r="W293" i="4"/>
  <c r="W294" i="4"/>
  <c r="W295" i="4"/>
  <c r="W296" i="4"/>
  <c r="W297" i="4"/>
  <c r="W298" i="4"/>
  <c r="W308" i="4"/>
  <c r="W309" i="4"/>
  <c r="W311" i="4"/>
  <c r="W312" i="4"/>
  <c r="W324" i="4"/>
  <c r="W325" i="4"/>
  <c r="W327" i="4"/>
  <c r="W328" i="4"/>
  <c r="W329" i="4"/>
  <c r="W340" i="4"/>
  <c r="W341" i="4"/>
  <c r="W342" i="4"/>
  <c r="W343" i="4"/>
  <c r="W344" i="4"/>
  <c r="W345" i="4"/>
  <c r="W346" i="4"/>
  <c r="W356" i="4"/>
  <c r="W357" i="4"/>
  <c r="W359" i="4"/>
  <c r="W360" i="4"/>
  <c r="W361" i="4"/>
  <c r="W372" i="4"/>
  <c r="W373" i="4"/>
  <c r="W375" i="4"/>
  <c r="W376" i="4"/>
  <c r="W377" i="4"/>
  <c r="W388" i="4"/>
  <c r="W389" i="4"/>
  <c r="W391" i="4"/>
  <c r="W392" i="4"/>
  <c r="W393" i="4"/>
  <c r="W404" i="4"/>
  <c r="W405" i="4"/>
  <c r="W406" i="4"/>
  <c r="W407" i="4"/>
  <c r="W408" i="4"/>
  <c r="W409" i="4"/>
  <c r="W410" i="4"/>
  <c r="W420" i="4"/>
  <c r="W421" i="4"/>
  <c r="W423" i="4"/>
  <c r="W424" i="4"/>
  <c r="W425" i="4"/>
  <c r="W436" i="4"/>
  <c r="W437" i="4"/>
  <c r="W439" i="4"/>
  <c r="W440" i="4"/>
  <c r="W441" i="4"/>
  <c r="M243" i="4"/>
  <c r="M245" i="4"/>
  <c r="M248" i="4"/>
  <c r="M250" i="4"/>
  <c r="M251" i="4"/>
  <c r="M259" i="4"/>
  <c r="M261" i="4"/>
  <c r="M262" i="4"/>
  <c r="M264" i="4"/>
  <c r="M267" i="4"/>
  <c r="M275" i="4"/>
  <c r="M277" i="4"/>
  <c r="M280" i="4"/>
  <c r="M282" i="4"/>
  <c r="M283" i="4"/>
  <c r="M291" i="4"/>
  <c r="M293" i="4"/>
  <c r="M294" i="4"/>
  <c r="M296" i="4"/>
  <c r="M299" i="4"/>
  <c r="M307" i="4"/>
  <c r="M309" i="4"/>
  <c r="M312" i="4"/>
  <c r="M314" i="4"/>
  <c r="M315" i="4"/>
  <c r="M323" i="4"/>
  <c r="M325" i="4"/>
  <c r="M326" i="4"/>
  <c r="M328" i="4"/>
  <c r="M331" i="4"/>
  <c r="M339" i="4"/>
  <c r="M341" i="4"/>
  <c r="M344" i="4"/>
  <c r="M346" i="4"/>
  <c r="M347" i="4"/>
  <c r="M355" i="4"/>
  <c r="M357" i="4"/>
  <c r="M358" i="4"/>
  <c r="M360" i="4"/>
  <c r="M363" i="4"/>
  <c r="M371" i="4"/>
  <c r="M373" i="4"/>
  <c r="M376" i="4"/>
  <c r="M378" i="4"/>
  <c r="M379" i="4"/>
  <c r="M387" i="4"/>
  <c r="M389" i="4"/>
  <c r="M390" i="4"/>
  <c r="M392" i="4"/>
  <c r="M395" i="4"/>
  <c r="M403" i="4"/>
  <c r="M405" i="4"/>
  <c r="M408" i="4"/>
  <c r="M410" i="4"/>
  <c r="M411" i="4"/>
  <c r="M419" i="4"/>
  <c r="M421" i="4"/>
  <c r="M422" i="4"/>
  <c r="M424" i="4"/>
  <c r="M427" i="4"/>
  <c r="M435" i="4"/>
  <c r="M437" i="4"/>
  <c r="M440" i="4"/>
  <c r="M442" i="4"/>
  <c r="M443" i="4"/>
  <c r="L18" i="4"/>
  <c r="L34" i="4"/>
  <c r="L50" i="4"/>
  <c r="L82" i="4"/>
  <c r="L162" i="4"/>
  <c r="L226" i="4"/>
  <c r="L244" i="4"/>
  <c r="L248" i="4"/>
  <c r="L256" i="4"/>
  <c r="L257" i="4"/>
  <c r="L262" i="4"/>
  <c r="L264" i="4"/>
  <c r="L272" i="4"/>
  <c r="L273" i="4"/>
  <c r="L274" i="4"/>
  <c r="L280" i="4"/>
  <c r="L288" i="4"/>
  <c r="L289" i="4"/>
  <c r="L296" i="4"/>
  <c r="L304" i="4"/>
  <c r="L305" i="4"/>
  <c r="L312" i="4"/>
  <c r="L320" i="4"/>
  <c r="L321" i="4"/>
  <c r="L326" i="4"/>
  <c r="L328" i="4"/>
  <c r="L336" i="4"/>
  <c r="L337" i="4"/>
  <c r="L338" i="4"/>
  <c r="L344" i="4"/>
  <c r="L352" i="4"/>
  <c r="L353" i="4"/>
  <c r="L360" i="4"/>
  <c r="L368" i="4"/>
  <c r="L369" i="4"/>
  <c r="L376" i="4"/>
  <c r="L384" i="4"/>
  <c r="L385" i="4"/>
  <c r="L390" i="4"/>
  <c r="L392" i="4"/>
  <c r="L400" i="4"/>
  <c r="L401" i="4"/>
  <c r="L402" i="4"/>
  <c r="L408" i="4"/>
  <c r="L416" i="4"/>
  <c r="L417" i="4"/>
  <c r="L424" i="4"/>
  <c r="L432" i="4"/>
  <c r="L433" i="4"/>
  <c r="L440" i="4"/>
  <c r="K13" i="4"/>
  <c r="K14" i="4"/>
  <c r="K29" i="4"/>
  <c r="K30" i="4"/>
  <c r="K45" i="4"/>
  <c r="K46" i="4"/>
  <c r="K61" i="4"/>
  <c r="K62" i="4"/>
  <c r="K77" i="4"/>
  <c r="K78" i="4"/>
  <c r="K93" i="4"/>
  <c r="K94" i="4"/>
  <c r="K109" i="4"/>
  <c r="K110" i="4"/>
  <c r="K125" i="4"/>
  <c r="K126" i="4"/>
  <c r="K141" i="4"/>
  <c r="K142" i="4"/>
  <c r="K157" i="4"/>
  <c r="K158" i="4"/>
  <c r="K173" i="4"/>
  <c r="K174" i="4"/>
  <c r="K448" i="4"/>
  <c r="K189" i="4"/>
  <c r="K190" i="4"/>
  <c r="K205" i="4"/>
  <c r="K206" i="4"/>
  <c r="K221" i="4"/>
  <c r="K222" i="4"/>
  <c r="K237" i="4"/>
  <c r="K238" i="4"/>
  <c r="K253" i="4"/>
  <c r="K254" i="4"/>
  <c r="K255" i="4"/>
  <c r="K256" i="4"/>
  <c r="K269" i="4"/>
  <c r="K270" i="4"/>
  <c r="K271" i="4"/>
  <c r="K272" i="4"/>
  <c r="K285" i="4"/>
  <c r="K286" i="4"/>
  <c r="K287" i="4"/>
  <c r="K288" i="4"/>
  <c r="K301" i="4"/>
  <c r="K302" i="4"/>
  <c r="K303" i="4"/>
  <c r="K304" i="4"/>
  <c r="K317" i="4"/>
  <c r="K318" i="4"/>
  <c r="K319" i="4"/>
  <c r="K320" i="4"/>
  <c r="K333" i="4"/>
  <c r="K334" i="4"/>
  <c r="K335" i="4"/>
  <c r="K336" i="4"/>
  <c r="K349" i="4"/>
  <c r="K350" i="4"/>
  <c r="K351" i="4"/>
  <c r="K352" i="4"/>
  <c r="K365" i="4"/>
  <c r="K366" i="4"/>
  <c r="K367" i="4"/>
  <c r="K368" i="4"/>
  <c r="K381" i="4"/>
  <c r="K382" i="4"/>
  <c r="K383" i="4"/>
  <c r="K384" i="4"/>
  <c r="K397" i="4"/>
  <c r="K398" i="4"/>
  <c r="K399" i="4"/>
  <c r="K400" i="4"/>
  <c r="K413" i="4"/>
  <c r="K414" i="4"/>
  <c r="K415" i="4"/>
  <c r="K416" i="4"/>
  <c r="K429" i="4"/>
  <c r="K430" i="4"/>
  <c r="K431" i="4"/>
  <c r="K432" i="4"/>
  <c r="K445" i="4"/>
  <c r="K446" i="4"/>
  <c r="K447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7" i="4"/>
  <c r="W68" i="4"/>
  <c r="W69" i="4"/>
  <c r="W71" i="4"/>
  <c r="W72" i="4"/>
  <c r="W73" i="4"/>
  <c r="W75" i="4"/>
  <c r="W76" i="4"/>
  <c r="W77" i="4"/>
  <c r="W79" i="4"/>
  <c r="W80" i="4"/>
  <c r="W81" i="4"/>
  <c r="W83" i="4"/>
  <c r="W84" i="4"/>
  <c r="W85" i="4"/>
  <c r="W87" i="4"/>
  <c r="W88" i="4"/>
  <c r="W89" i="4"/>
  <c r="W91" i="4"/>
  <c r="W92" i="4"/>
  <c r="W93" i="4"/>
  <c r="W95" i="4"/>
  <c r="W96" i="4"/>
  <c r="W97" i="4"/>
  <c r="W98" i="4"/>
  <c r="W99" i="4"/>
  <c r="W100" i="4"/>
  <c r="W101" i="4"/>
  <c r="W103" i="4"/>
  <c r="W104" i="4"/>
  <c r="W105" i="4"/>
  <c r="W107" i="4"/>
  <c r="W108" i="4"/>
  <c r="W109" i="4"/>
  <c r="W111" i="4"/>
  <c r="W112" i="4"/>
  <c r="W113" i="4"/>
  <c r="W115" i="4"/>
  <c r="W116" i="4"/>
  <c r="W117" i="4"/>
  <c r="W119" i="4"/>
  <c r="W120" i="4"/>
  <c r="W121" i="4"/>
  <c r="W123" i="4"/>
  <c r="W124" i="4"/>
  <c r="W125" i="4"/>
  <c r="W127" i="4"/>
  <c r="W128" i="4"/>
  <c r="W129" i="4"/>
  <c r="W131" i="4"/>
  <c r="W132" i="4"/>
  <c r="W133" i="4"/>
  <c r="W135" i="4"/>
  <c r="W136" i="4"/>
  <c r="W137" i="4"/>
  <c r="W139" i="4"/>
  <c r="W140" i="4"/>
  <c r="W141" i="4"/>
  <c r="W143" i="4"/>
  <c r="W144" i="4"/>
  <c r="W145" i="4"/>
  <c r="W147" i="4"/>
  <c r="W148" i="4"/>
  <c r="W149" i="4"/>
  <c r="W151" i="4"/>
  <c r="W152" i="4"/>
  <c r="W153" i="4"/>
  <c r="W155" i="4"/>
  <c r="W156" i="4"/>
  <c r="W157" i="4"/>
  <c r="W159" i="4"/>
  <c r="W160" i="4"/>
  <c r="W161" i="4"/>
  <c r="W163" i="4"/>
  <c r="W164" i="4"/>
  <c r="W165" i="4"/>
  <c r="W167" i="4"/>
  <c r="W168" i="4"/>
  <c r="W169" i="4"/>
  <c r="W171" i="4"/>
  <c r="W172" i="4"/>
  <c r="W173" i="4"/>
  <c r="W175" i="4"/>
  <c r="W176" i="4"/>
  <c r="W177" i="4"/>
  <c r="W179" i="4"/>
  <c r="W180" i="4"/>
  <c r="W181" i="4"/>
  <c r="W183" i="4"/>
  <c r="W184" i="4"/>
  <c r="W185" i="4"/>
  <c r="W187" i="4"/>
  <c r="W188" i="4"/>
  <c r="W189" i="4"/>
  <c r="W191" i="4"/>
  <c r="W192" i="4"/>
  <c r="W193" i="4"/>
  <c r="W195" i="4"/>
  <c r="W196" i="4"/>
  <c r="W197" i="4"/>
  <c r="W199" i="4"/>
  <c r="W200" i="4"/>
  <c r="W201" i="4"/>
  <c r="W203" i="4"/>
  <c r="W204" i="4"/>
  <c r="W205" i="4"/>
  <c r="W207" i="4"/>
  <c r="W208" i="4"/>
  <c r="W209" i="4"/>
  <c r="W211" i="4"/>
  <c r="W212" i="4"/>
  <c r="W213" i="4"/>
  <c r="W215" i="4"/>
  <c r="W216" i="4"/>
  <c r="W217" i="4"/>
  <c r="W219" i="4"/>
  <c r="W220" i="4"/>
  <c r="W221" i="4"/>
  <c r="W223" i="4"/>
  <c r="W224" i="4"/>
  <c r="W225" i="4"/>
  <c r="W227" i="4"/>
  <c r="W228" i="4"/>
  <c r="W229" i="4"/>
  <c r="W231" i="4"/>
  <c r="W232" i="4"/>
  <c r="W233" i="4"/>
  <c r="W235" i="4"/>
  <c r="W236" i="4"/>
  <c r="W237" i="4"/>
  <c r="W239" i="4"/>
  <c r="W240" i="4"/>
  <c r="W241" i="4"/>
  <c r="W243" i="4"/>
  <c r="W251" i="4"/>
  <c r="W252" i="4"/>
  <c r="W253" i="4"/>
  <c r="W254" i="4"/>
  <c r="W259" i="4"/>
  <c r="W267" i="4"/>
  <c r="W268" i="4"/>
  <c r="W269" i="4"/>
  <c r="W271" i="4"/>
  <c r="W272" i="4"/>
  <c r="W273" i="4"/>
  <c r="W275" i="4"/>
  <c r="W283" i="4"/>
  <c r="W284" i="4"/>
  <c r="W285" i="4"/>
  <c r="W287" i="4"/>
  <c r="W288" i="4"/>
  <c r="W289" i="4"/>
  <c r="W291" i="4"/>
  <c r="W299" i="4"/>
  <c r="W300" i="4"/>
  <c r="W301" i="4"/>
  <c r="W302" i="4"/>
  <c r="W303" i="4"/>
  <c r="W304" i="4"/>
  <c r="W305" i="4"/>
  <c r="W306" i="4"/>
  <c r="W307" i="4"/>
  <c r="W313" i="4"/>
  <c r="W315" i="4"/>
  <c r="W316" i="4"/>
  <c r="W317" i="4"/>
  <c r="W319" i="4"/>
  <c r="W320" i="4"/>
  <c r="W321" i="4"/>
  <c r="W323" i="4"/>
  <c r="W331" i="4"/>
  <c r="W332" i="4"/>
  <c r="W333" i="4"/>
  <c r="W335" i="4"/>
  <c r="W336" i="4"/>
  <c r="W337" i="4"/>
  <c r="W339" i="4"/>
  <c r="W347" i="4"/>
  <c r="W348" i="4"/>
  <c r="W349" i="4"/>
  <c r="W350" i="4"/>
  <c r="W351" i="4"/>
  <c r="W352" i="4"/>
  <c r="W353" i="4"/>
  <c r="W354" i="4"/>
  <c r="W355" i="4"/>
  <c r="W363" i="4"/>
  <c r="W364" i="4"/>
  <c r="W365" i="4"/>
  <c r="W367" i="4"/>
  <c r="W368" i="4"/>
  <c r="W369" i="4"/>
  <c r="W371" i="4"/>
  <c r="W379" i="4"/>
  <c r="W380" i="4"/>
  <c r="W381" i="4"/>
  <c r="W383" i="4"/>
  <c r="W384" i="4"/>
  <c r="W385" i="4"/>
  <c r="W387" i="4"/>
  <c r="W395" i="4"/>
  <c r="W396" i="4"/>
  <c r="W397" i="4"/>
  <c r="W399" i="4"/>
  <c r="W400" i="4"/>
  <c r="W401" i="4"/>
  <c r="W403" i="4"/>
  <c r="W411" i="4"/>
  <c r="W412" i="4"/>
  <c r="W413" i="4"/>
  <c r="W414" i="4"/>
  <c r="W415" i="4"/>
  <c r="W416" i="4"/>
  <c r="W417" i="4"/>
  <c r="W418" i="4"/>
  <c r="W419" i="4"/>
  <c r="W427" i="4"/>
  <c r="W428" i="4"/>
  <c r="W429" i="4"/>
  <c r="W431" i="4"/>
  <c r="W432" i="4"/>
  <c r="W433" i="4"/>
  <c r="W435" i="4"/>
  <c r="W443" i="4"/>
  <c r="W444" i="4"/>
  <c r="W445" i="4"/>
  <c r="W447" i="4"/>
  <c r="W448" i="4"/>
  <c r="W449" i="4"/>
  <c r="W2" i="4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7" i="4"/>
  <c r="U68" i="4"/>
  <c r="U69" i="4"/>
  <c r="U71" i="4"/>
  <c r="U72" i="4"/>
  <c r="U73" i="4"/>
  <c r="U75" i="4"/>
  <c r="U76" i="4"/>
  <c r="U77" i="4"/>
  <c r="U79" i="4"/>
  <c r="U80" i="4"/>
  <c r="U81" i="4"/>
  <c r="U83" i="4"/>
  <c r="U84" i="4"/>
  <c r="U85" i="4"/>
  <c r="U87" i="4"/>
  <c r="U88" i="4"/>
  <c r="U89" i="4"/>
  <c r="U91" i="4"/>
  <c r="U92" i="4"/>
  <c r="U93" i="4"/>
  <c r="U95" i="4"/>
  <c r="U96" i="4"/>
  <c r="U97" i="4"/>
  <c r="U98" i="4"/>
  <c r="U99" i="4"/>
  <c r="U100" i="4"/>
  <c r="U101" i="4"/>
  <c r="U103" i="4"/>
  <c r="U104" i="4"/>
  <c r="U105" i="4"/>
  <c r="U107" i="4"/>
  <c r="U108" i="4"/>
  <c r="U109" i="4"/>
  <c r="U111" i="4"/>
  <c r="U112" i="4"/>
  <c r="U113" i="4"/>
  <c r="U115" i="4"/>
  <c r="U116" i="4"/>
  <c r="U117" i="4"/>
  <c r="U119" i="4"/>
  <c r="U120" i="4"/>
  <c r="U121" i="4"/>
  <c r="U123" i="4"/>
  <c r="U124" i="4"/>
  <c r="U125" i="4"/>
  <c r="U127" i="4"/>
  <c r="U128" i="4"/>
  <c r="U129" i="4"/>
  <c r="U131" i="4"/>
  <c r="U132" i="4"/>
  <c r="U133" i="4"/>
  <c r="U135" i="4"/>
  <c r="U136" i="4"/>
  <c r="U137" i="4"/>
  <c r="U139" i="4"/>
  <c r="U140" i="4"/>
  <c r="U141" i="4"/>
  <c r="U143" i="4"/>
  <c r="U144" i="4"/>
  <c r="U145" i="4"/>
  <c r="U147" i="4"/>
  <c r="U148" i="4"/>
  <c r="U149" i="4"/>
  <c r="U151" i="4"/>
  <c r="U152" i="4"/>
  <c r="U153" i="4"/>
  <c r="U155" i="4"/>
  <c r="U156" i="4"/>
  <c r="U157" i="4"/>
  <c r="U159" i="4"/>
  <c r="U160" i="4"/>
  <c r="U161" i="4"/>
  <c r="U163" i="4"/>
  <c r="U164" i="4"/>
  <c r="U165" i="4"/>
  <c r="U167" i="4"/>
  <c r="U168" i="4"/>
  <c r="U169" i="4"/>
  <c r="U171" i="4"/>
  <c r="U172" i="4"/>
  <c r="U173" i="4"/>
  <c r="U175" i="4"/>
  <c r="U176" i="4"/>
  <c r="U177" i="4"/>
  <c r="U179" i="4"/>
  <c r="U180" i="4"/>
  <c r="U181" i="4"/>
  <c r="U183" i="4"/>
  <c r="U184" i="4"/>
  <c r="U185" i="4"/>
  <c r="U187" i="4"/>
  <c r="U188" i="4"/>
  <c r="U189" i="4"/>
  <c r="U191" i="4"/>
  <c r="U192" i="4"/>
  <c r="U193" i="4"/>
  <c r="U195" i="4"/>
  <c r="U196" i="4"/>
  <c r="U197" i="4"/>
  <c r="U199" i="4"/>
  <c r="U200" i="4"/>
  <c r="U201" i="4"/>
  <c r="U203" i="4"/>
  <c r="U204" i="4"/>
  <c r="U205" i="4"/>
  <c r="U207" i="4"/>
  <c r="U208" i="4"/>
  <c r="U209" i="4"/>
  <c r="U211" i="4"/>
  <c r="U212" i="4"/>
  <c r="U213" i="4"/>
  <c r="U215" i="4"/>
  <c r="U216" i="4"/>
  <c r="U217" i="4"/>
  <c r="U219" i="4"/>
  <c r="U220" i="4"/>
  <c r="U221" i="4"/>
  <c r="U223" i="4"/>
  <c r="U224" i="4"/>
  <c r="U225" i="4"/>
  <c r="U227" i="4"/>
  <c r="U228" i="4"/>
  <c r="U229" i="4"/>
  <c r="U231" i="4"/>
  <c r="U232" i="4"/>
  <c r="U233" i="4"/>
  <c r="U235" i="4"/>
  <c r="U236" i="4"/>
  <c r="U237" i="4"/>
  <c r="U239" i="4"/>
  <c r="U240" i="4"/>
  <c r="U241" i="4"/>
  <c r="U244" i="4"/>
  <c r="U245" i="4"/>
  <c r="U248" i="4"/>
  <c r="U249" i="4"/>
  <c r="U253" i="4"/>
  <c r="U256" i="4"/>
  <c r="U257" i="4"/>
  <c r="U259" i="4"/>
  <c r="U260" i="4"/>
  <c r="U261" i="4"/>
  <c r="U262" i="4"/>
  <c r="U263" i="4"/>
  <c r="U264" i="4"/>
  <c r="U265" i="4"/>
  <c r="U269" i="4"/>
  <c r="U271" i="4"/>
  <c r="U272" i="4"/>
  <c r="U273" i="4"/>
  <c r="U275" i="4"/>
  <c r="U276" i="4"/>
  <c r="U277" i="4"/>
  <c r="U279" i="4"/>
  <c r="U280" i="4"/>
  <c r="U281" i="4"/>
  <c r="U285" i="4"/>
  <c r="U287" i="4"/>
  <c r="U288" i="4"/>
  <c r="U289" i="4"/>
  <c r="U291" i="4"/>
  <c r="U292" i="4"/>
  <c r="U293" i="4"/>
  <c r="U295" i="4"/>
  <c r="U296" i="4"/>
  <c r="U297" i="4"/>
  <c r="U301" i="4"/>
  <c r="U303" i="4"/>
  <c r="U304" i="4"/>
  <c r="U305" i="4"/>
  <c r="U307" i="4"/>
  <c r="U308" i="4"/>
  <c r="U309" i="4"/>
  <c r="U311" i="4"/>
  <c r="U312" i="4"/>
  <c r="U313" i="4"/>
  <c r="U317" i="4"/>
  <c r="U318" i="4"/>
  <c r="U319" i="4"/>
  <c r="U320" i="4"/>
  <c r="U321" i="4"/>
  <c r="U322" i="4"/>
  <c r="U323" i="4"/>
  <c r="U324" i="4"/>
  <c r="U325" i="4"/>
  <c r="U326" i="4"/>
  <c r="U327" i="4"/>
  <c r="U328" i="4"/>
  <c r="U329" i="4"/>
  <c r="U333" i="4"/>
  <c r="U335" i="4"/>
  <c r="U336" i="4"/>
  <c r="U337" i="4"/>
  <c r="U339" i="4"/>
  <c r="U340" i="4"/>
  <c r="U341" i="4"/>
  <c r="U343" i="4"/>
  <c r="U344" i="4"/>
  <c r="U345" i="4"/>
  <c r="U349" i="4"/>
  <c r="U351" i="4"/>
  <c r="U352" i="4"/>
  <c r="U353" i="4"/>
  <c r="U355" i="4"/>
  <c r="U356" i="4"/>
  <c r="U357" i="4"/>
  <c r="U359" i="4"/>
  <c r="U360" i="4"/>
  <c r="U361" i="4"/>
  <c r="U365" i="4"/>
  <c r="U367" i="4"/>
  <c r="U368" i="4"/>
  <c r="U369" i="4"/>
  <c r="U371" i="4"/>
  <c r="U372" i="4"/>
  <c r="U373" i="4"/>
  <c r="U375" i="4"/>
  <c r="U376" i="4"/>
  <c r="U377" i="4"/>
  <c r="U381" i="4"/>
  <c r="U382" i="4"/>
  <c r="U383" i="4"/>
  <c r="U384" i="4"/>
  <c r="U385" i="4"/>
  <c r="U386" i="4"/>
  <c r="U387" i="4"/>
  <c r="U388" i="4"/>
  <c r="U389" i="4"/>
  <c r="U390" i="4"/>
  <c r="U391" i="4"/>
  <c r="U392" i="4"/>
  <c r="U393" i="4"/>
  <c r="U397" i="4"/>
  <c r="U399" i="4"/>
  <c r="U400" i="4"/>
  <c r="U401" i="4"/>
  <c r="U403" i="4"/>
  <c r="U404" i="4"/>
  <c r="U405" i="4"/>
  <c r="U407" i="4"/>
  <c r="U408" i="4"/>
  <c r="U409" i="4"/>
  <c r="U412" i="4"/>
  <c r="U413" i="4"/>
  <c r="U415" i="4"/>
  <c r="U416" i="4"/>
  <c r="U417" i="4"/>
  <c r="U419" i="4"/>
  <c r="U420" i="4"/>
  <c r="U421" i="4"/>
  <c r="U423" i="4"/>
  <c r="U424" i="4"/>
  <c r="U425" i="4"/>
  <c r="U429" i="4"/>
  <c r="U430" i="4"/>
  <c r="U431" i="4"/>
  <c r="U432" i="4"/>
  <c r="U433" i="4"/>
  <c r="U434" i="4"/>
  <c r="U435" i="4"/>
  <c r="U436" i="4"/>
  <c r="U437" i="4"/>
  <c r="U438" i="4"/>
  <c r="U439" i="4"/>
  <c r="U440" i="4"/>
  <c r="U441" i="4"/>
  <c r="U445" i="4"/>
  <c r="U447" i="4"/>
  <c r="U448" i="4"/>
  <c r="U449" i="4"/>
  <c r="U2" i="4"/>
  <c r="T3" i="4"/>
  <c r="T4" i="4"/>
  <c r="T5" i="4"/>
  <c r="T7" i="4"/>
  <c r="T8" i="4"/>
  <c r="T9" i="4"/>
  <c r="T11" i="4"/>
  <c r="T12" i="4"/>
  <c r="T13" i="4"/>
  <c r="T15" i="4"/>
  <c r="T16" i="4"/>
  <c r="T17" i="4"/>
  <c r="T19" i="4"/>
  <c r="T20" i="4"/>
  <c r="T21" i="4"/>
  <c r="T23" i="4"/>
  <c r="T24" i="4"/>
  <c r="T25" i="4"/>
  <c r="T27" i="4"/>
  <c r="T28" i="4"/>
  <c r="T29" i="4"/>
  <c r="T31" i="4"/>
  <c r="T32" i="4"/>
  <c r="T33" i="4"/>
  <c r="T35" i="4"/>
  <c r="T36" i="4"/>
  <c r="T37" i="4"/>
  <c r="T39" i="4"/>
  <c r="T40" i="4"/>
  <c r="T41" i="4"/>
  <c r="T43" i="4"/>
  <c r="T44" i="4"/>
  <c r="T45" i="4"/>
  <c r="T47" i="4"/>
  <c r="T48" i="4"/>
  <c r="T49" i="4"/>
  <c r="T51" i="4"/>
  <c r="T52" i="4"/>
  <c r="T53" i="4"/>
  <c r="T55" i="4"/>
  <c r="T56" i="4"/>
  <c r="T57" i="4"/>
  <c r="T59" i="4"/>
  <c r="T60" i="4"/>
  <c r="T61" i="4"/>
  <c r="T63" i="4"/>
  <c r="T64" i="4"/>
  <c r="T65" i="4"/>
  <c r="T67" i="4"/>
  <c r="T68" i="4"/>
  <c r="T69" i="4"/>
  <c r="T71" i="4"/>
  <c r="T72" i="4"/>
  <c r="T73" i="4"/>
  <c r="T75" i="4"/>
  <c r="T76" i="4"/>
  <c r="T77" i="4"/>
  <c r="T79" i="4"/>
  <c r="T80" i="4"/>
  <c r="T81" i="4"/>
  <c r="T83" i="4"/>
  <c r="T84" i="4"/>
  <c r="T85" i="4"/>
  <c r="T87" i="4"/>
  <c r="T88" i="4"/>
  <c r="T89" i="4"/>
  <c r="T91" i="4"/>
  <c r="T92" i="4"/>
  <c r="T93" i="4"/>
  <c r="T95" i="4"/>
  <c r="T96" i="4"/>
  <c r="T97" i="4"/>
  <c r="T98" i="4"/>
  <c r="T99" i="4"/>
  <c r="T100" i="4"/>
  <c r="T101" i="4"/>
  <c r="T103" i="4"/>
  <c r="T104" i="4"/>
  <c r="T105" i="4"/>
  <c r="T107" i="4"/>
  <c r="T108" i="4"/>
  <c r="T109" i="4"/>
  <c r="T111" i="4"/>
  <c r="T112" i="4"/>
  <c r="T113" i="4"/>
  <c r="T115" i="4"/>
  <c r="T116" i="4"/>
  <c r="T117" i="4"/>
  <c r="T119" i="4"/>
  <c r="T120" i="4"/>
  <c r="T121" i="4"/>
  <c r="T123" i="4"/>
  <c r="T124" i="4"/>
  <c r="T125" i="4"/>
  <c r="T127" i="4"/>
  <c r="T128" i="4"/>
  <c r="T129" i="4"/>
  <c r="T131" i="4"/>
  <c r="T132" i="4"/>
  <c r="T133" i="4"/>
  <c r="T135" i="4"/>
  <c r="T136" i="4"/>
  <c r="T137" i="4"/>
  <c r="T139" i="4"/>
  <c r="T140" i="4"/>
  <c r="T141" i="4"/>
  <c r="T143" i="4"/>
  <c r="T144" i="4"/>
  <c r="T145" i="4"/>
  <c r="T147" i="4"/>
  <c r="T148" i="4"/>
  <c r="T149" i="4"/>
  <c r="T151" i="4"/>
  <c r="T152" i="4"/>
  <c r="T153" i="4"/>
  <c r="T155" i="4"/>
  <c r="T156" i="4"/>
  <c r="T157" i="4"/>
  <c r="T159" i="4"/>
  <c r="T160" i="4"/>
  <c r="T161" i="4"/>
  <c r="T163" i="4"/>
  <c r="T164" i="4"/>
  <c r="T165" i="4"/>
  <c r="T167" i="4"/>
  <c r="T168" i="4"/>
  <c r="T169" i="4"/>
  <c r="T171" i="4"/>
  <c r="T172" i="4"/>
  <c r="T173" i="4"/>
  <c r="T175" i="4"/>
  <c r="T176" i="4"/>
  <c r="T177" i="4"/>
  <c r="T179" i="4"/>
  <c r="T180" i="4"/>
  <c r="T181" i="4"/>
  <c r="T183" i="4"/>
  <c r="T184" i="4"/>
  <c r="T185" i="4"/>
  <c r="T187" i="4"/>
  <c r="T188" i="4"/>
  <c r="T189" i="4"/>
  <c r="T191" i="4"/>
  <c r="T192" i="4"/>
  <c r="T193" i="4"/>
  <c r="T195" i="4"/>
  <c r="T196" i="4"/>
  <c r="T197" i="4"/>
  <c r="T199" i="4"/>
  <c r="T200" i="4"/>
  <c r="T201" i="4"/>
  <c r="T203" i="4"/>
  <c r="T204" i="4"/>
  <c r="T205" i="4"/>
  <c r="T207" i="4"/>
  <c r="T208" i="4"/>
  <c r="T209" i="4"/>
  <c r="T211" i="4"/>
  <c r="T212" i="4"/>
  <c r="T213" i="4"/>
  <c r="T215" i="4"/>
  <c r="T216" i="4"/>
  <c r="T217" i="4"/>
  <c r="T219" i="4"/>
  <c r="T220" i="4"/>
  <c r="T221" i="4"/>
  <c r="T223" i="4"/>
  <c r="T224" i="4"/>
  <c r="T225" i="4"/>
  <c r="T227" i="4"/>
  <c r="T228" i="4"/>
  <c r="T229" i="4"/>
  <c r="T231" i="4"/>
  <c r="T232" i="4"/>
  <c r="T233" i="4"/>
  <c r="T235" i="4"/>
  <c r="T236" i="4"/>
  <c r="T237" i="4"/>
  <c r="T239" i="4"/>
  <c r="T240" i="4"/>
  <c r="T241" i="4"/>
  <c r="T243" i="4"/>
  <c r="T244" i="4"/>
  <c r="T245" i="4"/>
  <c r="T255" i="4"/>
  <c r="T256" i="4"/>
  <c r="T259" i="4"/>
  <c r="T260" i="4"/>
  <c r="T261" i="4"/>
  <c r="T271" i="4"/>
  <c r="T272" i="4"/>
  <c r="T273" i="4"/>
  <c r="T275" i="4"/>
  <c r="T276" i="4"/>
  <c r="T277" i="4"/>
  <c r="T287" i="4"/>
  <c r="T288" i="4"/>
  <c r="T289" i="4"/>
  <c r="T291" i="4"/>
  <c r="T292" i="4"/>
  <c r="T293" i="4"/>
  <c r="T303" i="4"/>
  <c r="T304" i="4"/>
  <c r="T305" i="4"/>
  <c r="T307" i="4"/>
  <c r="T308" i="4"/>
  <c r="T309" i="4"/>
  <c r="T313" i="4"/>
  <c r="T319" i="4"/>
  <c r="T320" i="4"/>
  <c r="T321" i="4"/>
  <c r="T323" i="4"/>
  <c r="T324" i="4"/>
  <c r="T325" i="4"/>
  <c r="T335" i="4"/>
  <c r="T336" i="4"/>
  <c r="T337" i="4"/>
  <c r="T339" i="4"/>
  <c r="T340" i="4"/>
  <c r="T341" i="4"/>
  <c r="T351" i="4"/>
  <c r="T352" i="4"/>
  <c r="T353" i="4"/>
  <c r="T355" i="4"/>
  <c r="T356" i="4"/>
  <c r="T357" i="4"/>
  <c r="T367" i="4"/>
  <c r="T368" i="4"/>
  <c r="T369" i="4"/>
  <c r="T371" i="4"/>
  <c r="T372" i="4"/>
  <c r="T373" i="4"/>
  <c r="T383" i="4"/>
  <c r="T384" i="4"/>
  <c r="T385" i="4"/>
  <c r="T387" i="4"/>
  <c r="T388" i="4"/>
  <c r="T389" i="4"/>
  <c r="T399" i="4"/>
  <c r="T400" i="4"/>
  <c r="T401" i="4"/>
  <c r="T403" i="4"/>
  <c r="T404" i="4"/>
  <c r="T405" i="4"/>
  <c r="T412" i="4"/>
  <c r="T415" i="4"/>
  <c r="T416" i="4"/>
  <c r="T417" i="4"/>
  <c r="T419" i="4"/>
  <c r="T420" i="4"/>
  <c r="T421" i="4"/>
  <c r="T431" i="4"/>
  <c r="T432" i="4"/>
  <c r="T433" i="4"/>
  <c r="T435" i="4"/>
  <c r="T436" i="4"/>
  <c r="T437" i="4"/>
  <c r="T447" i="4"/>
  <c r="T448" i="4"/>
  <c r="T449" i="4"/>
  <c r="T2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51" i="4"/>
  <c r="S252" i="4"/>
  <c r="S254" i="4"/>
  <c r="S267" i="4"/>
  <c r="S268" i="4"/>
  <c r="S269" i="4"/>
  <c r="S271" i="4"/>
  <c r="S272" i="4"/>
  <c r="S273" i="4"/>
  <c r="S283" i="4"/>
  <c r="S284" i="4"/>
  <c r="S285" i="4"/>
  <c r="S287" i="4"/>
  <c r="S288" i="4"/>
  <c r="S289" i="4"/>
  <c r="S299" i="4"/>
  <c r="S300" i="4"/>
  <c r="S301" i="4"/>
  <c r="S303" i="4"/>
  <c r="S304" i="4"/>
  <c r="S305" i="4"/>
  <c r="S313" i="4"/>
  <c r="S315" i="4"/>
  <c r="S316" i="4"/>
  <c r="S317" i="4"/>
  <c r="S319" i="4"/>
  <c r="S320" i="4"/>
  <c r="S321" i="4"/>
  <c r="S331" i="4"/>
  <c r="S332" i="4"/>
  <c r="S333" i="4"/>
  <c r="S335" i="4"/>
  <c r="S336" i="4"/>
  <c r="S337" i="4"/>
  <c r="S347" i="4"/>
  <c r="S348" i="4"/>
  <c r="S349" i="4"/>
  <c r="S351" i="4"/>
  <c r="S352" i="4"/>
  <c r="S353" i="4"/>
  <c r="S363" i="4"/>
  <c r="S364" i="4"/>
  <c r="S365" i="4"/>
  <c r="S367" i="4"/>
  <c r="S368" i="4"/>
  <c r="S369" i="4"/>
  <c r="S379" i="4"/>
  <c r="S380" i="4"/>
  <c r="S381" i="4"/>
  <c r="S383" i="4"/>
  <c r="S384" i="4"/>
  <c r="S385" i="4"/>
  <c r="S395" i="4"/>
  <c r="S396" i="4"/>
  <c r="S397" i="4"/>
  <c r="S399" i="4"/>
  <c r="S400" i="4"/>
  <c r="S401" i="4"/>
  <c r="S411" i="4"/>
  <c r="S412" i="4"/>
  <c r="S413" i="4"/>
  <c r="S415" i="4"/>
  <c r="S416" i="4"/>
  <c r="S417" i="4"/>
  <c r="S427" i="4"/>
  <c r="S428" i="4"/>
  <c r="S429" i="4"/>
  <c r="S431" i="4"/>
  <c r="S432" i="4"/>
  <c r="S433" i="4"/>
  <c r="S443" i="4"/>
  <c r="S444" i="4"/>
  <c r="S445" i="4"/>
  <c r="S447" i="4"/>
  <c r="S448" i="4"/>
  <c r="S449" i="4"/>
  <c r="S2" i="4"/>
  <c r="R3" i="4"/>
  <c r="R4" i="4"/>
  <c r="R7" i="4"/>
  <c r="R8" i="4"/>
  <c r="R11" i="4"/>
  <c r="R12" i="4"/>
  <c r="R15" i="4"/>
  <c r="R16" i="4"/>
  <c r="R18" i="4"/>
  <c r="R19" i="4"/>
  <c r="R20" i="4"/>
  <c r="R23" i="4"/>
  <c r="R24" i="4"/>
  <c r="R27" i="4"/>
  <c r="R28" i="4"/>
  <c r="R31" i="4"/>
  <c r="R32" i="4"/>
  <c r="R34" i="4"/>
  <c r="R35" i="4"/>
  <c r="R36" i="4"/>
  <c r="R39" i="4"/>
  <c r="R40" i="4"/>
  <c r="R43" i="4"/>
  <c r="R44" i="4"/>
  <c r="R47" i="4"/>
  <c r="R48" i="4"/>
  <c r="R50" i="4"/>
  <c r="R51" i="4"/>
  <c r="R52" i="4"/>
  <c r="R55" i="4"/>
  <c r="R56" i="4"/>
  <c r="R57" i="4"/>
  <c r="R59" i="4"/>
  <c r="R60" i="4"/>
  <c r="R61" i="4"/>
  <c r="R63" i="4"/>
  <c r="R67" i="4"/>
  <c r="R69" i="4"/>
  <c r="R70" i="4"/>
  <c r="R71" i="4"/>
  <c r="R73" i="4"/>
  <c r="R75" i="4"/>
  <c r="R79" i="4"/>
  <c r="R81" i="4"/>
  <c r="R82" i="4"/>
  <c r="R83" i="4"/>
  <c r="R85" i="4"/>
  <c r="R87" i="4"/>
  <c r="R89" i="4"/>
  <c r="R91" i="4"/>
  <c r="R94" i="4"/>
  <c r="R95" i="4"/>
  <c r="R97" i="4"/>
  <c r="R98" i="4"/>
  <c r="R99" i="4"/>
  <c r="R101" i="4"/>
  <c r="R103" i="4"/>
  <c r="R105" i="4"/>
  <c r="R107" i="4"/>
  <c r="R111" i="4"/>
  <c r="R113" i="4"/>
  <c r="R115" i="4"/>
  <c r="R117" i="4"/>
  <c r="R119" i="4"/>
  <c r="R121" i="4"/>
  <c r="R122" i="4"/>
  <c r="R123" i="4"/>
  <c r="R127" i="4"/>
  <c r="R129" i="4"/>
  <c r="R131" i="4"/>
  <c r="R133" i="4"/>
  <c r="R134" i="4"/>
  <c r="R135" i="4"/>
  <c r="R137" i="4"/>
  <c r="R139" i="4"/>
  <c r="R143" i="4"/>
  <c r="R145" i="4"/>
  <c r="R146" i="4"/>
  <c r="R147" i="4"/>
  <c r="R149" i="4"/>
  <c r="R151" i="4"/>
  <c r="R153" i="4"/>
  <c r="R155" i="4"/>
  <c r="R158" i="4"/>
  <c r="R159" i="4"/>
  <c r="R161" i="4"/>
  <c r="R163" i="4"/>
  <c r="R165" i="4"/>
  <c r="R167" i="4"/>
  <c r="R169" i="4"/>
  <c r="R171" i="4"/>
  <c r="R175" i="4"/>
  <c r="R177" i="4"/>
  <c r="R179" i="4"/>
  <c r="R181" i="4"/>
  <c r="R183" i="4"/>
  <c r="R185" i="4"/>
  <c r="R186" i="4"/>
  <c r="R187" i="4"/>
  <c r="R191" i="4"/>
  <c r="R193" i="4"/>
  <c r="R195" i="4"/>
  <c r="R197" i="4"/>
  <c r="R198" i="4"/>
  <c r="R199" i="4"/>
  <c r="R201" i="4"/>
  <c r="R203" i="4"/>
  <c r="R207" i="4"/>
  <c r="R209" i="4"/>
  <c r="R210" i="4"/>
  <c r="R211" i="4"/>
  <c r="R213" i="4"/>
  <c r="R215" i="4"/>
  <c r="R217" i="4"/>
  <c r="R219" i="4"/>
  <c r="R222" i="4"/>
  <c r="R223" i="4"/>
  <c r="R225" i="4"/>
  <c r="R227" i="4"/>
  <c r="R229" i="4"/>
  <c r="R231" i="4"/>
  <c r="R233" i="4"/>
  <c r="R235" i="4"/>
  <c r="R239" i="4"/>
  <c r="R241" i="4"/>
  <c r="R243" i="4"/>
  <c r="R250" i="4"/>
  <c r="R251" i="4"/>
  <c r="R252" i="4"/>
  <c r="R258" i="4"/>
  <c r="R259" i="4"/>
  <c r="R267" i="4"/>
  <c r="R268" i="4"/>
  <c r="R271" i="4"/>
  <c r="R272" i="4"/>
  <c r="R274" i="4"/>
  <c r="R275" i="4"/>
  <c r="R276" i="4"/>
  <c r="R283" i="4"/>
  <c r="R284" i="4"/>
  <c r="R287" i="4"/>
  <c r="R288" i="4"/>
  <c r="R291" i="4"/>
  <c r="R292" i="4"/>
  <c r="R298" i="4"/>
  <c r="R299" i="4"/>
  <c r="R300" i="4"/>
  <c r="R301" i="4"/>
  <c r="R302" i="4"/>
  <c r="R303" i="4"/>
  <c r="R304" i="4"/>
  <c r="R305" i="4"/>
  <c r="R306" i="4"/>
  <c r="R307" i="4"/>
  <c r="R308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31" i="4"/>
  <c r="R333" i="4"/>
  <c r="R335" i="4"/>
  <c r="R337" i="4"/>
  <c r="R339" i="4"/>
  <c r="R347" i="4"/>
  <c r="R348" i="4"/>
  <c r="R351" i="4"/>
  <c r="R352" i="4"/>
  <c r="R355" i="4"/>
  <c r="R356" i="4"/>
  <c r="R362" i="4"/>
  <c r="R363" i="4"/>
  <c r="R364" i="4"/>
  <c r="R367" i="4"/>
  <c r="R368" i="4"/>
  <c r="R371" i="4"/>
  <c r="R372" i="4"/>
  <c r="R379" i="4"/>
  <c r="R380" i="4"/>
  <c r="R381" i="4"/>
  <c r="R383" i="4"/>
  <c r="R384" i="4"/>
  <c r="R385" i="4"/>
  <c r="R387" i="4"/>
  <c r="R388" i="4"/>
  <c r="R394" i="4"/>
  <c r="R395" i="4"/>
  <c r="R399" i="4"/>
  <c r="R401" i="4"/>
  <c r="R403" i="4"/>
  <c r="R411" i="4"/>
  <c r="R412" i="4"/>
  <c r="R415" i="4"/>
  <c r="R416" i="4"/>
  <c r="R419" i="4"/>
  <c r="R420" i="4"/>
  <c r="R426" i="4"/>
  <c r="R427" i="4"/>
  <c r="R428" i="4"/>
  <c r="R431" i="4"/>
  <c r="R432" i="4"/>
  <c r="R435" i="4"/>
  <c r="R436" i="4"/>
  <c r="R443" i="4"/>
  <c r="R444" i="4"/>
  <c r="R445" i="4"/>
  <c r="R447" i="4"/>
  <c r="R448" i="4"/>
  <c r="R449" i="4"/>
  <c r="R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7" i="4"/>
  <c r="Q249" i="4"/>
  <c r="Q250" i="4"/>
  <c r="Q252" i="4"/>
  <c r="Q253" i="4"/>
  <c r="Q254" i="4"/>
  <c r="Q255" i="4"/>
  <c r="Q259" i="4"/>
  <c r="Q263" i="4"/>
  <c r="Q264" i="4"/>
  <c r="Q265" i="4"/>
  <c r="Q266" i="4"/>
  <c r="Q267" i="4"/>
  <c r="Q268" i="4"/>
  <c r="Q269" i="4"/>
  <c r="Q270" i="4"/>
  <c r="Q271" i="4"/>
  <c r="Q275" i="4"/>
  <c r="Q279" i="4"/>
  <c r="Q280" i="4"/>
  <c r="Q281" i="4"/>
  <c r="Q282" i="4"/>
  <c r="Q283" i="4"/>
  <c r="Q284" i="4"/>
  <c r="Q285" i="4"/>
  <c r="Q286" i="4"/>
  <c r="Q287" i="4"/>
  <c r="Q291" i="4"/>
  <c r="Q295" i="4"/>
  <c r="Q296" i="4"/>
  <c r="Q297" i="4"/>
  <c r="Q298" i="4"/>
  <c r="Q299" i="4"/>
  <c r="Q300" i="4"/>
  <c r="Q301" i="4"/>
  <c r="Q302" i="4"/>
  <c r="Q303" i="4"/>
  <c r="Q307" i="4"/>
  <c r="Q311" i="4"/>
  <c r="Q312" i="4"/>
  <c r="Q313" i="4"/>
  <c r="Q314" i="4"/>
  <c r="Q315" i="4"/>
  <c r="Q316" i="4"/>
  <c r="Q317" i="4"/>
  <c r="Q318" i="4"/>
  <c r="Q319" i="4"/>
  <c r="Q323" i="4"/>
  <c r="Q327" i="4"/>
  <c r="Q328" i="4"/>
  <c r="Q329" i="4"/>
  <c r="Q330" i="4"/>
  <c r="Q331" i="4"/>
  <c r="Q332" i="4"/>
  <c r="Q333" i="4"/>
  <c r="Q334" i="4"/>
  <c r="Q335" i="4"/>
  <c r="Q339" i="4"/>
  <c r="Q343" i="4"/>
  <c r="Q344" i="4"/>
  <c r="Q345" i="4"/>
  <c r="Q346" i="4"/>
  <c r="Q347" i="4"/>
  <c r="Q348" i="4"/>
  <c r="Q349" i="4"/>
  <c r="Q350" i="4"/>
  <c r="Q351" i="4"/>
  <c r="Q355" i="4"/>
  <c r="Q359" i="4"/>
  <c r="Q360" i="4"/>
  <c r="Q361" i="4"/>
  <c r="Q362" i="4"/>
  <c r="Q363" i="4"/>
  <c r="Q364" i="4"/>
  <c r="Q365" i="4"/>
  <c r="Q366" i="4"/>
  <c r="Q367" i="4"/>
  <c r="Q371" i="4"/>
  <c r="Q375" i="4"/>
  <c r="Q376" i="4"/>
  <c r="Q377" i="4"/>
  <c r="Q378" i="4"/>
  <c r="Q379" i="4"/>
  <c r="Q380" i="4"/>
  <c r="Q381" i="4"/>
  <c r="Q382" i="4"/>
  <c r="Q383" i="4"/>
  <c r="Q387" i="4"/>
  <c r="Q391" i="4"/>
  <c r="Q392" i="4"/>
  <c r="Q393" i="4"/>
  <c r="Q394" i="4"/>
  <c r="Q395" i="4"/>
  <c r="Q396" i="4"/>
  <c r="Q397" i="4"/>
  <c r="Q398" i="4"/>
  <c r="Q399" i="4"/>
  <c r="Q403" i="4"/>
  <c r="Q407" i="4"/>
  <c r="Q408" i="4"/>
  <c r="Q409" i="4"/>
  <c r="Q410" i="4"/>
  <c r="Q411" i="4"/>
  <c r="Q412" i="4"/>
  <c r="Q413" i="4"/>
  <c r="Q414" i="4"/>
  <c r="Q415" i="4"/>
  <c r="Q419" i="4"/>
  <c r="Q423" i="4"/>
  <c r="Q424" i="4"/>
  <c r="Q425" i="4"/>
  <c r="Q426" i="4"/>
  <c r="Q427" i="4"/>
  <c r="Q428" i="4"/>
  <c r="Q429" i="4"/>
  <c r="Q430" i="4"/>
  <c r="Q431" i="4"/>
  <c r="Q435" i="4"/>
  <c r="Q439" i="4"/>
  <c r="Q440" i="4"/>
  <c r="Q441" i="4"/>
  <c r="Q442" i="4"/>
  <c r="Q443" i="4"/>
  <c r="Q444" i="4"/>
  <c r="Q445" i="4"/>
  <c r="Q446" i="4"/>
  <c r="Q447" i="4"/>
  <c r="Q448" i="4"/>
  <c r="Q449" i="4"/>
  <c r="Q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7" i="4"/>
  <c r="P68" i="4"/>
  <c r="P69" i="4"/>
  <c r="P71" i="4"/>
  <c r="P72" i="4"/>
  <c r="P73" i="4"/>
  <c r="P75" i="4"/>
  <c r="P76" i="4"/>
  <c r="P77" i="4"/>
  <c r="P79" i="4"/>
  <c r="P80" i="4"/>
  <c r="P81" i="4"/>
  <c r="P83" i="4"/>
  <c r="P84" i="4"/>
  <c r="P85" i="4"/>
  <c r="P87" i="4"/>
  <c r="P88" i="4"/>
  <c r="P89" i="4"/>
  <c r="P91" i="4"/>
  <c r="P92" i="4"/>
  <c r="P93" i="4"/>
  <c r="P95" i="4"/>
  <c r="P96" i="4"/>
  <c r="P97" i="4"/>
  <c r="P98" i="4"/>
  <c r="P99" i="4"/>
  <c r="P100" i="4"/>
  <c r="P101" i="4"/>
  <c r="P103" i="4"/>
  <c r="P104" i="4"/>
  <c r="P105" i="4"/>
  <c r="P107" i="4"/>
  <c r="P108" i="4"/>
  <c r="P109" i="4"/>
  <c r="P111" i="4"/>
  <c r="P112" i="4"/>
  <c r="P113" i="4"/>
  <c r="P115" i="4"/>
  <c r="P116" i="4"/>
  <c r="P117" i="4"/>
  <c r="P119" i="4"/>
  <c r="P120" i="4"/>
  <c r="P121" i="4"/>
  <c r="P123" i="4"/>
  <c r="P124" i="4"/>
  <c r="P125" i="4"/>
  <c r="P127" i="4"/>
  <c r="P128" i="4"/>
  <c r="P129" i="4"/>
  <c r="P131" i="4"/>
  <c r="P132" i="4"/>
  <c r="P133" i="4"/>
  <c r="P135" i="4"/>
  <c r="P136" i="4"/>
  <c r="P137" i="4"/>
  <c r="P139" i="4"/>
  <c r="P140" i="4"/>
  <c r="P141" i="4"/>
  <c r="P143" i="4"/>
  <c r="P144" i="4"/>
  <c r="P145" i="4"/>
  <c r="P147" i="4"/>
  <c r="P148" i="4"/>
  <c r="P149" i="4"/>
  <c r="P151" i="4"/>
  <c r="P152" i="4"/>
  <c r="P153" i="4"/>
  <c r="P155" i="4"/>
  <c r="P156" i="4"/>
  <c r="P157" i="4"/>
  <c r="P159" i="4"/>
  <c r="P160" i="4"/>
  <c r="P161" i="4"/>
  <c r="P163" i="4"/>
  <c r="P164" i="4"/>
  <c r="P165" i="4"/>
  <c r="P167" i="4"/>
  <c r="P168" i="4"/>
  <c r="P169" i="4"/>
  <c r="P171" i="4"/>
  <c r="P172" i="4"/>
  <c r="P173" i="4"/>
  <c r="P175" i="4"/>
  <c r="P176" i="4"/>
  <c r="P177" i="4"/>
  <c r="P179" i="4"/>
  <c r="P180" i="4"/>
  <c r="P181" i="4"/>
  <c r="P183" i="4"/>
  <c r="P184" i="4"/>
  <c r="P185" i="4"/>
  <c r="P187" i="4"/>
  <c r="P188" i="4"/>
  <c r="P189" i="4"/>
  <c r="P191" i="4"/>
  <c r="P192" i="4"/>
  <c r="P193" i="4"/>
  <c r="P195" i="4"/>
  <c r="P196" i="4"/>
  <c r="P197" i="4"/>
  <c r="P199" i="4"/>
  <c r="P200" i="4"/>
  <c r="P201" i="4"/>
  <c r="P203" i="4"/>
  <c r="P204" i="4"/>
  <c r="P205" i="4"/>
  <c r="P207" i="4"/>
  <c r="P208" i="4"/>
  <c r="P209" i="4"/>
  <c r="P211" i="4"/>
  <c r="P212" i="4"/>
  <c r="P213" i="4"/>
  <c r="P215" i="4"/>
  <c r="P216" i="4"/>
  <c r="P217" i="4"/>
  <c r="P219" i="4"/>
  <c r="P220" i="4"/>
  <c r="P221" i="4"/>
  <c r="P223" i="4"/>
  <c r="P224" i="4"/>
  <c r="P225" i="4"/>
  <c r="P227" i="4"/>
  <c r="P228" i="4"/>
  <c r="P229" i="4"/>
  <c r="P231" i="4"/>
  <c r="P232" i="4"/>
  <c r="P233" i="4"/>
  <c r="P235" i="4"/>
  <c r="P236" i="4"/>
  <c r="P237" i="4"/>
  <c r="P239" i="4"/>
  <c r="P240" i="4"/>
  <c r="P241" i="4"/>
  <c r="P248" i="4"/>
  <c r="P249" i="4"/>
  <c r="P251" i="4"/>
  <c r="P252" i="4"/>
  <c r="P253" i="4"/>
  <c r="P254" i="4"/>
  <c r="P264" i="4"/>
  <c r="P265" i="4"/>
  <c r="P267" i="4"/>
  <c r="P268" i="4"/>
  <c r="P269" i="4"/>
  <c r="P271" i="4"/>
  <c r="P272" i="4"/>
  <c r="P273" i="4"/>
  <c r="P280" i="4"/>
  <c r="P281" i="4"/>
  <c r="P283" i="4"/>
  <c r="P284" i="4"/>
  <c r="P285" i="4"/>
  <c r="P287" i="4"/>
  <c r="P288" i="4"/>
  <c r="P289" i="4"/>
  <c r="P296" i="4"/>
  <c r="P297" i="4"/>
  <c r="P299" i="4"/>
  <c r="P300" i="4"/>
  <c r="P301" i="4"/>
  <c r="P303" i="4"/>
  <c r="P304" i="4"/>
  <c r="P305" i="4"/>
  <c r="P312" i="4"/>
  <c r="P313" i="4"/>
  <c r="P315" i="4"/>
  <c r="P316" i="4"/>
  <c r="P317" i="4"/>
  <c r="P319" i="4"/>
  <c r="P320" i="4"/>
  <c r="P321" i="4"/>
  <c r="P328" i="4"/>
  <c r="P329" i="4"/>
  <c r="P331" i="4"/>
  <c r="P332" i="4"/>
  <c r="P333" i="4"/>
  <c r="P335" i="4"/>
  <c r="P336" i="4"/>
  <c r="P337" i="4"/>
  <c r="P344" i="4"/>
  <c r="P345" i="4"/>
  <c r="P347" i="4"/>
  <c r="P348" i="4"/>
  <c r="P349" i="4"/>
  <c r="P351" i="4"/>
  <c r="P352" i="4"/>
  <c r="P353" i="4"/>
  <c r="P360" i="4"/>
  <c r="P361" i="4"/>
  <c r="P363" i="4"/>
  <c r="P364" i="4"/>
  <c r="P365" i="4"/>
  <c r="P367" i="4"/>
  <c r="P368" i="4"/>
  <c r="P369" i="4"/>
  <c r="P376" i="4"/>
  <c r="P377" i="4"/>
  <c r="P379" i="4"/>
  <c r="P380" i="4"/>
  <c r="P381" i="4"/>
  <c r="P383" i="4"/>
  <c r="P384" i="4"/>
  <c r="P385" i="4"/>
  <c r="P392" i="4"/>
  <c r="P393" i="4"/>
  <c r="P394" i="4"/>
  <c r="P395" i="4"/>
  <c r="P396" i="4"/>
  <c r="P397" i="4"/>
  <c r="P398" i="4"/>
  <c r="P399" i="4"/>
  <c r="P400" i="4"/>
  <c r="P401" i="4"/>
  <c r="P402" i="4"/>
  <c r="P408" i="4"/>
  <c r="P409" i="4"/>
  <c r="P411" i="4"/>
  <c r="P412" i="4"/>
  <c r="P413" i="4"/>
  <c r="P415" i="4"/>
  <c r="P416" i="4"/>
  <c r="P417" i="4"/>
  <c r="P424" i="4"/>
  <c r="P425" i="4"/>
  <c r="P427" i="4"/>
  <c r="P428" i="4"/>
  <c r="P429" i="4"/>
  <c r="P431" i="4"/>
  <c r="P432" i="4"/>
  <c r="P433" i="4"/>
  <c r="P440" i="4"/>
  <c r="P441" i="4"/>
  <c r="P443" i="4"/>
  <c r="P444" i="4"/>
  <c r="P445" i="4"/>
  <c r="P447" i="4"/>
  <c r="P448" i="4"/>
  <c r="P449" i="4"/>
  <c r="P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7" i="4"/>
  <c r="O68" i="4"/>
  <c r="O69" i="4"/>
  <c r="O71" i="4"/>
  <c r="O72" i="4"/>
  <c r="O73" i="4"/>
  <c r="O75" i="4"/>
  <c r="O76" i="4"/>
  <c r="O77" i="4"/>
  <c r="O79" i="4"/>
  <c r="O80" i="4"/>
  <c r="O81" i="4"/>
  <c r="O83" i="4"/>
  <c r="O84" i="4"/>
  <c r="O85" i="4"/>
  <c r="O87" i="4"/>
  <c r="O88" i="4"/>
  <c r="O89" i="4"/>
  <c r="O91" i="4"/>
  <c r="O92" i="4"/>
  <c r="O93" i="4"/>
  <c r="O95" i="4"/>
  <c r="O96" i="4"/>
  <c r="O97" i="4"/>
  <c r="O98" i="4"/>
  <c r="O99" i="4"/>
  <c r="O100" i="4"/>
  <c r="O101" i="4"/>
  <c r="O103" i="4"/>
  <c r="O104" i="4"/>
  <c r="O105" i="4"/>
  <c r="O107" i="4"/>
  <c r="O108" i="4"/>
  <c r="O109" i="4"/>
  <c r="O111" i="4"/>
  <c r="O112" i="4"/>
  <c r="O113" i="4"/>
  <c r="O115" i="4"/>
  <c r="O116" i="4"/>
  <c r="O117" i="4"/>
  <c r="O119" i="4"/>
  <c r="O120" i="4"/>
  <c r="O121" i="4"/>
  <c r="O123" i="4"/>
  <c r="O124" i="4"/>
  <c r="O125" i="4"/>
  <c r="O127" i="4"/>
  <c r="O128" i="4"/>
  <c r="O129" i="4"/>
  <c r="O131" i="4"/>
  <c r="O132" i="4"/>
  <c r="O133" i="4"/>
  <c r="O135" i="4"/>
  <c r="O136" i="4"/>
  <c r="O137" i="4"/>
  <c r="O139" i="4"/>
  <c r="O140" i="4"/>
  <c r="O141" i="4"/>
  <c r="O143" i="4"/>
  <c r="O144" i="4"/>
  <c r="O145" i="4"/>
  <c r="O147" i="4"/>
  <c r="O148" i="4"/>
  <c r="O149" i="4"/>
  <c r="O151" i="4"/>
  <c r="O152" i="4"/>
  <c r="O153" i="4"/>
  <c r="O155" i="4"/>
  <c r="O156" i="4"/>
  <c r="O157" i="4"/>
  <c r="O159" i="4"/>
  <c r="O160" i="4"/>
  <c r="O161" i="4"/>
  <c r="O163" i="4"/>
  <c r="O164" i="4"/>
  <c r="O165" i="4"/>
  <c r="O167" i="4"/>
  <c r="O168" i="4"/>
  <c r="O169" i="4"/>
  <c r="O171" i="4"/>
  <c r="O172" i="4"/>
  <c r="O173" i="4"/>
  <c r="O175" i="4"/>
  <c r="O176" i="4"/>
  <c r="O177" i="4"/>
  <c r="O179" i="4"/>
  <c r="O180" i="4"/>
  <c r="O181" i="4"/>
  <c r="O183" i="4"/>
  <c r="O184" i="4"/>
  <c r="O185" i="4"/>
  <c r="O187" i="4"/>
  <c r="O188" i="4"/>
  <c r="O189" i="4"/>
  <c r="O191" i="4"/>
  <c r="O192" i="4"/>
  <c r="O193" i="4"/>
  <c r="O195" i="4"/>
  <c r="O196" i="4"/>
  <c r="O197" i="4"/>
  <c r="O199" i="4"/>
  <c r="O200" i="4"/>
  <c r="O201" i="4"/>
  <c r="O203" i="4"/>
  <c r="O204" i="4"/>
  <c r="O205" i="4"/>
  <c r="O207" i="4"/>
  <c r="O208" i="4"/>
  <c r="O209" i="4"/>
  <c r="O211" i="4"/>
  <c r="O212" i="4"/>
  <c r="O213" i="4"/>
  <c r="O215" i="4"/>
  <c r="O216" i="4"/>
  <c r="O217" i="4"/>
  <c r="O219" i="4"/>
  <c r="O220" i="4"/>
  <c r="O221" i="4"/>
  <c r="O223" i="4"/>
  <c r="O224" i="4"/>
  <c r="O225" i="4"/>
  <c r="O227" i="4"/>
  <c r="O228" i="4"/>
  <c r="O229" i="4"/>
  <c r="O231" i="4"/>
  <c r="O232" i="4"/>
  <c r="O233" i="4"/>
  <c r="O235" i="4"/>
  <c r="O236" i="4"/>
  <c r="O237" i="4"/>
  <c r="O239" i="4"/>
  <c r="O240" i="4"/>
  <c r="O241" i="4"/>
  <c r="O243" i="4"/>
  <c r="O246" i="4"/>
  <c r="O249" i="4"/>
  <c r="O251" i="4"/>
  <c r="O252" i="4"/>
  <c r="O253" i="4"/>
  <c r="O256" i="4"/>
  <c r="O259" i="4"/>
  <c r="O260" i="4"/>
  <c r="O262" i="4"/>
  <c r="O263" i="4"/>
  <c r="O265" i="4"/>
  <c r="O267" i="4"/>
  <c r="O268" i="4"/>
  <c r="O269" i="4"/>
  <c r="O272" i="4"/>
  <c r="O275" i="4"/>
  <c r="O276" i="4"/>
  <c r="O279" i="4"/>
  <c r="O281" i="4"/>
  <c r="O283" i="4"/>
  <c r="O284" i="4"/>
  <c r="O285" i="4"/>
  <c r="O288" i="4"/>
  <c r="O291" i="4"/>
  <c r="O292" i="4"/>
  <c r="O294" i="4"/>
  <c r="O295" i="4"/>
  <c r="O297" i="4"/>
  <c r="O299" i="4"/>
  <c r="O300" i="4"/>
  <c r="O301" i="4"/>
  <c r="O304" i="4"/>
  <c r="O307" i="4"/>
  <c r="O308" i="4"/>
  <c r="O311" i="4"/>
  <c r="O313" i="4"/>
  <c r="O315" i="4"/>
  <c r="O316" i="4"/>
  <c r="O317" i="4"/>
  <c r="O320" i="4"/>
  <c r="O323" i="4"/>
  <c r="O324" i="4"/>
  <c r="O326" i="4"/>
  <c r="O327" i="4"/>
  <c r="O329" i="4"/>
  <c r="O331" i="4"/>
  <c r="O332" i="4"/>
  <c r="O333" i="4"/>
  <c r="O336" i="4"/>
  <c r="O339" i="4"/>
  <c r="O340" i="4"/>
  <c r="O343" i="4"/>
  <c r="O345" i="4"/>
  <c r="O347" i="4"/>
  <c r="O348" i="4"/>
  <c r="O349" i="4"/>
  <c r="O352" i="4"/>
  <c r="O355" i="4"/>
  <c r="O356" i="4"/>
  <c r="O358" i="4"/>
  <c r="O359" i="4"/>
  <c r="O361" i="4"/>
  <c r="O363" i="4"/>
  <c r="O364" i="4"/>
  <c r="O365" i="4"/>
  <c r="O368" i="4"/>
  <c r="O371" i="4"/>
  <c r="O372" i="4"/>
  <c r="O375" i="4"/>
  <c r="O377" i="4"/>
  <c r="O379" i="4"/>
  <c r="O380" i="4"/>
  <c r="O381" i="4"/>
  <c r="O384" i="4"/>
  <c r="O387" i="4"/>
  <c r="O388" i="4"/>
  <c r="O390" i="4"/>
  <c r="O391" i="4"/>
  <c r="O393" i="4"/>
  <c r="O395" i="4"/>
  <c r="O396" i="4"/>
  <c r="O397" i="4"/>
  <c r="O400" i="4"/>
  <c r="O403" i="4"/>
  <c r="O404" i="4"/>
  <c r="O407" i="4"/>
  <c r="O409" i="4"/>
  <c r="O411" i="4"/>
  <c r="O412" i="4"/>
  <c r="O413" i="4"/>
  <c r="O416" i="4"/>
  <c r="O419" i="4"/>
  <c r="O420" i="4"/>
  <c r="O422" i="4"/>
  <c r="O423" i="4"/>
  <c r="O425" i="4"/>
  <c r="O427" i="4"/>
  <c r="O428" i="4"/>
  <c r="O429" i="4"/>
  <c r="O432" i="4"/>
  <c r="O435" i="4"/>
  <c r="O436" i="4"/>
  <c r="O439" i="4"/>
  <c r="O441" i="4"/>
  <c r="O442" i="4"/>
  <c r="O443" i="4"/>
  <c r="O444" i="4"/>
  <c r="O445" i="4"/>
  <c r="O448" i="4"/>
  <c r="O449" i="4"/>
  <c r="O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5" i="4"/>
  <c r="N247" i="4"/>
  <c r="N250" i="4"/>
  <c r="N252" i="4"/>
  <c r="N254" i="4"/>
  <c r="N255" i="4"/>
  <c r="N259" i="4"/>
  <c r="N261" i="4"/>
  <c r="N263" i="4"/>
  <c r="N266" i="4"/>
  <c r="N268" i="4"/>
  <c r="N270" i="4"/>
  <c r="N271" i="4"/>
  <c r="N275" i="4"/>
  <c r="N277" i="4"/>
  <c r="N279" i="4"/>
  <c r="N282" i="4"/>
  <c r="N284" i="4"/>
  <c r="N286" i="4"/>
  <c r="N287" i="4"/>
  <c r="N291" i="4"/>
  <c r="N293" i="4"/>
  <c r="N295" i="4"/>
  <c r="N298" i="4"/>
  <c r="N300" i="4"/>
  <c r="N302" i="4"/>
  <c r="N303" i="4"/>
  <c r="N307" i="4"/>
  <c r="N309" i="4"/>
  <c r="N311" i="4"/>
  <c r="N313" i="4"/>
  <c r="N314" i="4"/>
  <c r="N316" i="4"/>
  <c r="N318" i="4"/>
  <c r="N319" i="4"/>
  <c r="N323" i="4"/>
  <c r="N325" i="4"/>
  <c r="N327" i="4"/>
  <c r="N330" i="4"/>
  <c r="N332" i="4"/>
  <c r="N334" i="4"/>
  <c r="N335" i="4"/>
  <c r="N339" i="4"/>
  <c r="N341" i="4"/>
  <c r="N343" i="4"/>
  <c r="N346" i="4"/>
  <c r="N348" i="4"/>
  <c r="N350" i="4"/>
  <c r="N351" i="4"/>
  <c r="N355" i="4"/>
  <c r="N357" i="4"/>
  <c r="N359" i="4"/>
  <c r="N362" i="4"/>
  <c r="N364" i="4"/>
  <c r="N366" i="4"/>
  <c r="N367" i="4"/>
  <c r="N371" i="4"/>
  <c r="N373" i="4"/>
  <c r="N375" i="4"/>
  <c r="N378" i="4"/>
  <c r="N380" i="4"/>
  <c r="N382" i="4"/>
  <c r="N383" i="4"/>
  <c r="N387" i="4"/>
  <c r="N389" i="4"/>
  <c r="N391" i="4"/>
  <c r="N394" i="4"/>
  <c r="N396" i="4"/>
  <c r="N398" i="4"/>
  <c r="N399" i="4"/>
  <c r="N403" i="4"/>
  <c r="N405" i="4"/>
  <c r="N407" i="4"/>
  <c r="N410" i="4"/>
  <c r="N412" i="4"/>
  <c r="N414" i="4"/>
  <c r="N415" i="4"/>
  <c r="N419" i="4"/>
  <c r="N421" i="4"/>
  <c r="N423" i="4"/>
  <c r="N426" i="4"/>
  <c r="N428" i="4"/>
  <c r="N430" i="4"/>
  <c r="N431" i="4"/>
  <c r="N435" i="4"/>
  <c r="N437" i="4"/>
  <c r="N439" i="4"/>
  <c r="N442" i="4"/>
  <c r="N444" i="4"/>
  <c r="N446" i="4"/>
  <c r="N447" i="4"/>
  <c r="N448" i="4"/>
  <c r="N449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7" i="4"/>
  <c r="M68" i="4"/>
  <c r="M69" i="4"/>
  <c r="M71" i="4"/>
  <c r="M72" i="4"/>
  <c r="M73" i="4"/>
  <c r="M75" i="4"/>
  <c r="M76" i="4"/>
  <c r="M77" i="4"/>
  <c r="M79" i="4"/>
  <c r="M80" i="4"/>
  <c r="M81" i="4"/>
  <c r="M83" i="4"/>
  <c r="M84" i="4"/>
  <c r="M85" i="4"/>
  <c r="M87" i="4"/>
  <c r="M88" i="4"/>
  <c r="M89" i="4"/>
  <c r="M91" i="4"/>
  <c r="M92" i="4"/>
  <c r="M93" i="4"/>
  <c r="M95" i="4"/>
  <c r="M96" i="4"/>
  <c r="M97" i="4"/>
  <c r="M98" i="4"/>
  <c r="M99" i="4"/>
  <c r="M100" i="4"/>
  <c r="M101" i="4"/>
  <c r="M103" i="4"/>
  <c r="M104" i="4"/>
  <c r="M105" i="4"/>
  <c r="M107" i="4"/>
  <c r="M108" i="4"/>
  <c r="M109" i="4"/>
  <c r="M111" i="4"/>
  <c r="M112" i="4"/>
  <c r="M113" i="4"/>
  <c r="M115" i="4"/>
  <c r="M116" i="4"/>
  <c r="M117" i="4"/>
  <c r="M119" i="4"/>
  <c r="M120" i="4"/>
  <c r="M121" i="4"/>
  <c r="M123" i="4"/>
  <c r="M124" i="4"/>
  <c r="M125" i="4"/>
  <c r="M127" i="4"/>
  <c r="M128" i="4"/>
  <c r="M129" i="4"/>
  <c r="M131" i="4"/>
  <c r="M132" i="4"/>
  <c r="M133" i="4"/>
  <c r="M135" i="4"/>
  <c r="M136" i="4"/>
  <c r="M137" i="4"/>
  <c r="M139" i="4"/>
  <c r="M140" i="4"/>
  <c r="M141" i="4"/>
  <c r="M143" i="4"/>
  <c r="M144" i="4"/>
  <c r="M145" i="4"/>
  <c r="M147" i="4"/>
  <c r="M148" i="4"/>
  <c r="M149" i="4"/>
  <c r="M151" i="4"/>
  <c r="M152" i="4"/>
  <c r="M153" i="4"/>
  <c r="M155" i="4"/>
  <c r="M156" i="4"/>
  <c r="M157" i="4"/>
  <c r="M159" i="4"/>
  <c r="M160" i="4"/>
  <c r="M161" i="4"/>
  <c r="M163" i="4"/>
  <c r="M164" i="4"/>
  <c r="M165" i="4"/>
  <c r="M167" i="4"/>
  <c r="M168" i="4"/>
  <c r="M169" i="4"/>
  <c r="M171" i="4"/>
  <c r="M172" i="4"/>
  <c r="M173" i="4"/>
  <c r="M175" i="4"/>
  <c r="M176" i="4"/>
  <c r="M177" i="4"/>
  <c r="M179" i="4"/>
  <c r="M180" i="4"/>
  <c r="M181" i="4"/>
  <c r="M183" i="4"/>
  <c r="M184" i="4"/>
  <c r="M185" i="4"/>
  <c r="M187" i="4"/>
  <c r="M188" i="4"/>
  <c r="M189" i="4"/>
  <c r="M191" i="4"/>
  <c r="M192" i="4"/>
  <c r="M193" i="4"/>
  <c r="M195" i="4"/>
  <c r="M196" i="4"/>
  <c r="M197" i="4"/>
  <c r="M199" i="4"/>
  <c r="M200" i="4"/>
  <c r="M201" i="4"/>
  <c r="M203" i="4"/>
  <c r="M204" i="4"/>
  <c r="M205" i="4"/>
  <c r="M207" i="4"/>
  <c r="M208" i="4"/>
  <c r="M209" i="4"/>
  <c r="M211" i="4"/>
  <c r="M212" i="4"/>
  <c r="M213" i="4"/>
  <c r="M215" i="4"/>
  <c r="M216" i="4"/>
  <c r="M217" i="4"/>
  <c r="M219" i="4"/>
  <c r="M220" i="4"/>
  <c r="M221" i="4"/>
  <c r="M223" i="4"/>
  <c r="M224" i="4"/>
  <c r="M225" i="4"/>
  <c r="M227" i="4"/>
  <c r="M228" i="4"/>
  <c r="M229" i="4"/>
  <c r="M231" i="4"/>
  <c r="M232" i="4"/>
  <c r="M233" i="4"/>
  <c r="M235" i="4"/>
  <c r="M236" i="4"/>
  <c r="M237" i="4"/>
  <c r="M239" i="4"/>
  <c r="M240" i="4"/>
  <c r="M241" i="4"/>
  <c r="M244" i="4"/>
  <c r="M247" i="4"/>
  <c r="M249" i="4"/>
  <c r="M252" i="4"/>
  <c r="M253" i="4"/>
  <c r="M254" i="4"/>
  <c r="M255" i="4"/>
  <c r="M256" i="4"/>
  <c r="M257" i="4"/>
  <c r="M258" i="4"/>
  <c r="M260" i="4"/>
  <c r="M263" i="4"/>
  <c r="M265" i="4"/>
  <c r="M268" i="4"/>
  <c r="M269" i="4"/>
  <c r="M271" i="4"/>
  <c r="M272" i="4"/>
  <c r="M273" i="4"/>
  <c r="M276" i="4"/>
  <c r="M279" i="4"/>
  <c r="M281" i="4"/>
  <c r="M284" i="4"/>
  <c r="M285" i="4"/>
  <c r="M286" i="4"/>
  <c r="M287" i="4"/>
  <c r="M288" i="4"/>
  <c r="M289" i="4"/>
  <c r="M290" i="4"/>
  <c r="M292" i="4"/>
  <c r="M295" i="4"/>
  <c r="M297" i="4"/>
  <c r="M300" i="4"/>
  <c r="M301" i="4"/>
  <c r="M303" i="4"/>
  <c r="M304" i="4"/>
  <c r="M305" i="4"/>
  <c r="M308" i="4"/>
  <c r="M311" i="4"/>
  <c r="M313" i="4"/>
  <c r="M316" i="4"/>
  <c r="M317" i="4"/>
  <c r="M318" i="4"/>
  <c r="M319" i="4"/>
  <c r="M320" i="4"/>
  <c r="M321" i="4"/>
  <c r="M322" i="4"/>
  <c r="M324" i="4"/>
  <c r="M327" i="4"/>
  <c r="M329" i="4"/>
  <c r="M332" i="4"/>
  <c r="M333" i="4"/>
  <c r="M335" i="4"/>
  <c r="M336" i="4"/>
  <c r="M337" i="4"/>
  <c r="M340" i="4"/>
  <c r="M343" i="4"/>
  <c r="M345" i="4"/>
  <c r="M348" i="4"/>
  <c r="M349" i="4"/>
  <c r="M350" i="4"/>
  <c r="M351" i="4"/>
  <c r="M352" i="4"/>
  <c r="M353" i="4"/>
  <c r="M354" i="4"/>
  <c r="M356" i="4"/>
  <c r="M359" i="4"/>
  <c r="M361" i="4"/>
  <c r="M364" i="4"/>
  <c r="M365" i="4"/>
  <c r="M367" i="4"/>
  <c r="M368" i="4"/>
  <c r="M369" i="4"/>
  <c r="M372" i="4"/>
  <c r="M375" i="4"/>
  <c r="M377" i="4"/>
  <c r="M380" i="4"/>
  <c r="M381" i="4"/>
  <c r="M382" i="4"/>
  <c r="M383" i="4"/>
  <c r="M384" i="4"/>
  <c r="M385" i="4"/>
  <c r="M386" i="4"/>
  <c r="M388" i="4"/>
  <c r="M391" i="4"/>
  <c r="M393" i="4"/>
  <c r="M396" i="4"/>
  <c r="M397" i="4"/>
  <c r="M399" i="4"/>
  <c r="M400" i="4"/>
  <c r="M401" i="4"/>
  <c r="M404" i="4"/>
  <c r="M407" i="4"/>
  <c r="M409" i="4"/>
  <c r="M412" i="4"/>
  <c r="M413" i="4"/>
  <c r="M414" i="4"/>
  <c r="M415" i="4"/>
  <c r="M416" i="4"/>
  <c r="M417" i="4"/>
  <c r="M418" i="4"/>
  <c r="M420" i="4"/>
  <c r="M423" i="4"/>
  <c r="M425" i="4"/>
  <c r="M428" i="4"/>
  <c r="M429" i="4"/>
  <c r="M431" i="4"/>
  <c r="M432" i="4"/>
  <c r="M433" i="4"/>
  <c r="M436" i="4"/>
  <c r="M439" i="4"/>
  <c r="M441" i="4"/>
  <c r="M444" i="4"/>
  <c r="M445" i="4"/>
  <c r="M446" i="4"/>
  <c r="M447" i="4"/>
  <c r="M448" i="4"/>
  <c r="M449" i="4"/>
  <c r="M2" i="4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3" i="4"/>
  <c r="L245" i="4"/>
  <c r="L247" i="4"/>
  <c r="L249" i="4"/>
  <c r="L250" i="4"/>
  <c r="L251" i="4"/>
  <c r="L252" i="4"/>
  <c r="L253" i="4"/>
  <c r="L254" i="4"/>
  <c r="L255" i="4"/>
  <c r="L259" i="4"/>
  <c r="L260" i="4"/>
  <c r="L261" i="4"/>
  <c r="L263" i="4"/>
  <c r="L265" i="4"/>
  <c r="L266" i="4"/>
  <c r="L267" i="4"/>
  <c r="L268" i="4"/>
  <c r="L269" i="4"/>
  <c r="L270" i="4"/>
  <c r="L271" i="4"/>
  <c r="L275" i="4"/>
  <c r="L276" i="4"/>
  <c r="L277" i="4"/>
  <c r="L279" i="4"/>
  <c r="L281" i="4"/>
  <c r="L282" i="4"/>
  <c r="L283" i="4"/>
  <c r="L284" i="4"/>
  <c r="L285" i="4"/>
  <c r="L286" i="4"/>
  <c r="L287" i="4"/>
  <c r="L291" i="4"/>
  <c r="L292" i="4"/>
  <c r="L293" i="4"/>
  <c r="L295" i="4"/>
  <c r="L297" i="4"/>
  <c r="L298" i="4"/>
  <c r="L299" i="4"/>
  <c r="L300" i="4"/>
  <c r="L301" i="4"/>
  <c r="L302" i="4"/>
  <c r="L303" i="4"/>
  <c r="L307" i="4"/>
  <c r="L308" i="4"/>
  <c r="L309" i="4"/>
  <c r="L311" i="4"/>
  <c r="L313" i="4"/>
  <c r="L314" i="4"/>
  <c r="L315" i="4"/>
  <c r="L316" i="4"/>
  <c r="L317" i="4"/>
  <c r="L318" i="4"/>
  <c r="L319" i="4"/>
  <c r="L323" i="4"/>
  <c r="L324" i="4"/>
  <c r="L325" i="4"/>
  <c r="L327" i="4"/>
  <c r="L329" i="4"/>
  <c r="L330" i="4"/>
  <c r="L331" i="4"/>
  <c r="L332" i="4"/>
  <c r="L333" i="4"/>
  <c r="L334" i="4"/>
  <c r="L335" i="4"/>
  <c r="L339" i="4"/>
  <c r="L340" i="4"/>
  <c r="L341" i="4"/>
  <c r="L343" i="4"/>
  <c r="L345" i="4"/>
  <c r="L346" i="4"/>
  <c r="L347" i="4"/>
  <c r="L348" i="4"/>
  <c r="L349" i="4"/>
  <c r="L350" i="4"/>
  <c r="L351" i="4"/>
  <c r="L355" i="4"/>
  <c r="L356" i="4"/>
  <c r="L357" i="4"/>
  <c r="L359" i="4"/>
  <c r="L361" i="4"/>
  <c r="L362" i="4"/>
  <c r="L363" i="4"/>
  <c r="L364" i="4"/>
  <c r="L365" i="4"/>
  <c r="L366" i="4"/>
  <c r="L367" i="4"/>
  <c r="L371" i="4"/>
  <c r="L372" i="4"/>
  <c r="L373" i="4"/>
  <c r="L375" i="4"/>
  <c r="L377" i="4"/>
  <c r="L378" i="4"/>
  <c r="L379" i="4"/>
  <c r="L380" i="4"/>
  <c r="L381" i="4"/>
  <c r="L382" i="4"/>
  <c r="L383" i="4"/>
  <c r="L387" i="4"/>
  <c r="L388" i="4"/>
  <c r="L389" i="4"/>
  <c r="L391" i="4"/>
  <c r="L393" i="4"/>
  <c r="L394" i="4"/>
  <c r="L395" i="4"/>
  <c r="L396" i="4"/>
  <c r="L397" i="4"/>
  <c r="L398" i="4"/>
  <c r="L399" i="4"/>
  <c r="L403" i="4"/>
  <c r="L404" i="4"/>
  <c r="L405" i="4"/>
  <c r="L407" i="4"/>
  <c r="L409" i="4"/>
  <c r="L410" i="4"/>
  <c r="L411" i="4"/>
  <c r="L412" i="4"/>
  <c r="L413" i="4"/>
  <c r="L414" i="4"/>
  <c r="L415" i="4"/>
  <c r="L419" i="4"/>
  <c r="L420" i="4"/>
  <c r="L421" i="4"/>
  <c r="L423" i="4"/>
  <c r="L425" i="4"/>
  <c r="L426" i="4"/>
  <c r="L427" i="4"/>
  <c r="L428" i="4"/>
  <c r="L429" i="4"/>
  <c r="L430" i="4"/>
  <c r="L431" i="4"/>
  <c r="L435" i="4"/>
  <c r="L436" i="4"/>
  <c r="L437" i="4"/>
  <c r="L439" i="4"/>
  <c r="L441" i="4"/>
  <c r="L442" i="4"/>
  <c r="L443" i="4"/>
  <c r="L444" i="4"/>
  <c r="L445" i="4"/>
  <c r="L446" i="4"/>
  <c r="L447" i="4"/>
  <c r="L448" i="4"/>
  <c r="L449" i="4"/>
  <c r="K2" i="4"/>
  <c r="K3" i="4"/>
  <c r="K4" i="4"/>
  <c r="K5" i="4"/>
  <c r="K6" i="4"/>
  <c r="K7" i="4"/>
  <c r="K8" i="4"/>
  <c r="K9" i="4"/>
  <c r="K10" i="4"/>
  <c r="K11" i="4"/>
  <c r="K12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9" i="4"/>
  <c r="K32" i="5"/>
  <c r="K31" i="5"/>
  <c r="K30" i="5"/>
  <c r="K29" i="5"/>
  <c r="K28" i="5"/>
  <c r="K33" i="5"/>
  <c r="K34" i="5"/>
  <c r="H34" i="5"/>
  <c r="H33" i="5"/>
  <c r="H32" i="5"/>
  <c r="H31" i="5"/>
  <c r="H30" i="5"/>
  <c r="H29" i="5"/>
  <c r="H28" i="5"/>
  <c r="E34" i="5"/>
  <c r="E33" i="5"/>
  <c r="E32" i="5"/>
  <c r="E31" i="5"/>
  <c r="E30" i="5"/>
  <c r="E29" i="5"/>
  <c r="E28" i="5"/>
  <c r="B32" i="5"/>
  <c r="B31" i="5"/>
  <c r="B30" i="5"/>
  <c r="B29" i="5"/>
  <c r="B28" i="5"/>
  <c r="B33" i="5"/>
  <c r="B34" i="5"/>
  <c r="E23" i="5"/>
  <c r="E22" i="5"/>
  <c r="E21" i="5"/>
  <c r="E20" i="5"/>
  <c r="E19" i="5"/>
  <c r="E18" i="5"/>
  <c r="E17" i="5"/>
  <c r="B21" i="5"/>
  <c r="B20" i="5"/>
  <c r="B19" i="5"/>
  <c r="B18" i="5"/>
  <c r="B17" i="5"/>
  <c r="B22" i="5"/>
  <c r="B23" i="5"/>
  <c r="H12" i="5"/>
  <c r="H11" i="5"/>
  <c r="H10" i="5"/>
  <c r="H9" i="5"/>
  <c r="H8" i="5"/>
  <c r="H7" i="5"/>
  <c r="H6" i="5"/>
  <c r="E12" i="5"/>
  <c r="E11" i="5"/>
  <c r="E10" i="5"/>
  <c r="E9" i="5"/>
  <c r="E8" i="5"/>
  <c r="E7" i="5"/>
  <c r="E6" i="5"/>
  <c r="B10" i="5"/>
  <c r="B9" i="5"/>
  <c r="B8" i="5"/>
  <c r="B7" i="5"/>
  <c r="AO8" i="6"/>
  <c r="AO9" i="6"/>
  <c r="AO11" i="6"/>
  <c r="AO12" i="6"/>
  <c r="AO10" i="6"/>
  <c r="AO13" i="6"/>
  <c r="AO14" i="6"/>
  <c r="AO17" i="6"/>
  <c r="AO18" i="6"/>
  <c r="AO20" i="6"/>
  <c r="AO21" i="6"/>
  <c r="AO22" i="6"/>
  <c r="AO15" i="6"/>
  <c r="AO19" i="6"/>
  <c r="AO16" i="6"/>
  <c r="AO26" i="6"/>
  <c r="AO27" i="6"/>
  <c r="AO28" i="6"/>
  <c r="AO29" i="6"/>
  <c r="AO30" i="6"/>
  <c r="AO31" i="6"/>
  <c r="AO24" i="6"/>
  <c r="AO25" i="6"/>
  <c r="AO23" i="6"/>
  <c r="AO32" i="6"/>
  <c r="AO33" i="6"/>
  <c r="AO34" i="6"/>
  <c r="AO35" i="6"/>
  <c r="AO36" i="6"/>
  <c r="AO37" i="6"/>
  <c r="AO38" i="6"/>
  <c r="AO39" i="6"/>
  <c r="AO40" i="6"/>
  <c r="AO41" i="6"/>
  <c r="AO42" i="6"/>
  <c r="AO43" i="6"/>
  <c r="AO44" i="6"/>
  <c r="AO45" i="6"/>
  <c r="AO47" i="6"/>
  <c r="AO48" i="6"/>
  <c r="AO49" i="6"/>
  <c r="AO50" i="6"/>
  <c r="AO51" i="6"/>
  <c r="AO46" i="6"/>
  <c r="AO52" i="6"/>
  <c r="AL9" i="6"/>
  <c r="AL11" i="6"/>
  <c r="AL12" i="6"/>
  <c r="AL10" i="6"/>
  <c r="AL13" i="6"/>
  <c r="AL14" i="6"/>
  <c r="AL17" i="6"/>
  <c r="AL18" i="6"/>
  <c r="AL20" i="6"/>
  <c r="AL21" i="6"/>
  <c r="AL22" i="6"/>
  <c r="AL15" i="6"/>
  <c r="AL19" i="6"/>
  <c r="AL16" i="6"/>
  <c r="AL26" i="6"/>
  <c r="AL27" i="6"/>
  <c r="AL28" i="6"/>
  <c r="AL29" i="6"/>
  <c r="AL30" i="6"/>
  <c r="AL31" i="6"/>
  <c r="AL24" i="6"/>
  <c r="AL25" i="6"/>
  <c r="AL23" i="6"/>
  <c r="AL32" i="6"/>
  <c r="AL33" i="6"/>
  <c r="AL34" i="6"/>
  <c r="AL35" i="6"/>
  <c r="AL36" i="6"/>
  <c r="AL37" i="6"/>
  <c r="AL38" i="6"/>
  <c r="AL39" i="6"/>
  <c r="AL40" i="6"/>
  <c r="AL41" i="6"/>
  <c r="AL42" i="6"/>
  <c r="AL43" i="6"/>
  <c r="AL44" i="6"/>
  <c r="AL45" i="6"/>
  <c r="AL47" i="6"/>
  <c r="AL48" i="6"/>
  <c r="AL49" i="6"/>
  <c r="AL50" i="6"/>
  <c r="AL51" i="6"/>
  <c r="AL46" i="6"/>
  <c r="AL52" i="6"/>
  <c r="AL8" i="6"/>
  <c r="AI9" i="6"/>
  <c r="AI11" i="6"/>
  <c r="AI12" i="6"/>
  <c r="AI10" i="6"/>
  <c r="AI13" i="6"/>
  <c r="AI14" i="6"/>
  <c r="AI17" i="6"/>
  <c r="AI18" i="6"/>
  <c r="AI20" i="6"/>
  <c r="AI21" i="6"/>
  <c r="AI22" i="6"/>
  <c r="AI15" i="6"/>
  <c r="AI19" i="6"/>
  <c r="AI16" i="6"/>
  <c r="AI26" i="6"/>
  <c r="AI27" i="6"/>
  <c r="AI28" i="6"/>
  <c r="AI29" i="6"/>
  <c r="AI30" i="6"/>
  <c r="AI31" i="6"/>
  <c r="AI24" i="6"/>
  <c r="AI25" i="6"/>
  <c r="AI23" i="6"/>
  <c r="AI32" i="6"/>
  <c r="AI33" i="6"/>
  <c r="AI34" i="6"/>
  <c r="AI35" i="6"/>
  <c r="AI36" i="6"/>
  <c r="AI37" i="6"/>
  <c r="AI38" i="6"/>
  <c r="AI39" i="6"/>
  <c r="AI40" i="6"/>
  <c r="AI41" i="6"/>
  <c r="AI42" i="6"/>
  <c r="AI43" i="6"/>
  <c r="AI44" i="6"/>
  <c r="AI45" i="6"/>
  <c r="AI47" i="6"/>
  <c r="AI48" i="6"/>
  <c r="AI49" i="6"/>
  <c r="AI50" i="6"/>
  <c r="AI51" i="6"/>
  <c r="AI46" i="6"/>
  <c r="AI52" i="6"/>
  <c r="AI8" i="6"/>
  <c r="AF9" i="6"/>
  <c r="AF11" i="6"/>
  <c r="AF12" i="6"/>
  <c r="AF10" i="6"/>
  <c r="AF13" i="6"/>
  <c r="AF14" i="6"/>
  <c r="AF17" i="6"/>
  <c r="AF18" i="6"/>
  <c r="AF20" i="6"/>
  <c r="AF21" i="6"/>
  <c r="AF22" i="6"/>
  <c r="AF15" i="6"/>
  <c r="AF19" i="6"/>
  <c r="AF16" i="6"/>
  <c r="AF26" i="6"/>
  <c r="AF27" i="6"/>
  <c r="AF28" i="6"/>
  <c r="AF29" i="6"/>
  <c r="AF30" i="6"/>
  <c r="AF31" i="6"/>
  <c r="AF24" i="6"/>
  <c r="AF25" i="6"/>
  <c r="AF23" i="6"/>
  <c r="AF32" i="6"/>
  <c r="AF33" i="6"/>
  <c r="AF34" i="6"/>
  <c r="AF35" i="6"/>
  <c r="AF36" i="6"/>
  <c r="AF37" i="6"/>
  <c r="AF38" i="6"/>
  <c r="AF39" i="6"/>
  <c r="AF40" i="6"/>
  <c r="AF41" i="6"/>
  <c r="AF42" i="6"/>
  <c r="AF43" i="6"/>
  <c r="AF44" i="6"/>
  <c r="AF45" i="6"/>
  <c r="AF47" i="6"/>
  <c r="AF48" i="6"/>
  <c r="AF49" i="6"/>
  <c r="AF50" i="6"/>
  <c r="AF51" i="6"/>
  <c r="AF46" i="6"/>
  <c r="AF52" i="6"/>
  <c r="AF8" i="6"/>
  <c r="AC9" i="6"/>
  <c r="AC11" i="6"/>
  <c r="AC12" i="6"/>
  <c r="AC10" i="6"/>
  <c r="AC13" i="6"/>
  <c r="AC14" i="6"/>
  <c r="AC17" i="6"/>
  <c r="AC18" i="6"/>
  <c r="AC20" i="6"/>
  <c r="AC21" i="6"/>
  <c r="AC22" i="6"/>
  <c r="AC15" i="6"/>
  <c r="AC19" i="6"/>
  <c r="AC16" i="6"/>
  <c r="AC26" i="6"/>
  <c r="AC27" i="6"/>
  <c r="AC28" i="6"/>
  <c r="AC29" i="6"/>
  <c r="AC30" i="6"/>
  <c r="AC31" i="6"/>
  <c r="AC24" i="6"/>
  <c r="AC25" i="6"/>
  <c r="AC23" i="6"/>
  <c r="AC32" i="6"/>
  <c r="AC33" i="6"/>
  <c r="AC34" i="6"/>
  <c r="AC35" i="6"/>
  <c r="AC36" i="6"/>
  <c r="AC37" i="6"/>
  <c r="AC38" i="6"/>
  <c r="AC39" i="6"/>
  <c r="AC40" i="6"/>
  <c r="AC41" i="6"/>
  <c r="AC42" i="6"/>
  <c r="AC43" i="6"/>
  <c r="AC44" i="6"/>
  <c r="AC45" i="6"/>
  <c r="AC47" i="6"/>
  <c r="AC48" i="6"/>
  <c r="AC49" i="6"/>
  <c r="AC50" i="6"/>
  <c r="AC51" i="6"/>
  <c r="AC46" i="6"/>
  <c r="AC52" i="6"/>
  <c r="AC8" i="6"/>
  <c r="Z9" i="6"/>
  <c r="Z11" i="6"/>
  <c r="Z12" i="6"/>
  <c r="Z10" i="6"/>
  <c r="Z13" i="6"/>
  <c r="Z14" i="6"/>
  <c r="Z17" i="6"/>
  <c r="Z18" i="6"/>
  <c r="Z20" i="6"/>
  <c r="Z21" i="6"/>
  <c r="Z22" i="6"/>
  <c r="Z15" i="6"/>
  <c r="Z19" i="6"/>
  <c r="Z16" i="6"/>
  <c r="Z26" i="6"/>
  <c r="Z27" i="6"/>
  <c r="Z28" i="6"/>
  <c r="Z29" i="6"/>
  <c r="Z30" i="6"/>
  <c r="Z31" i="6"/>
  <c r="Z24" i="6"/>
  <c r="Z25" i="6"/>
  <c r="Z23" i="6"/>
  <c r="Z32" i="6"/>
  <c r="Z33" i="6"/>
  <c r="Z34" i="6"/>
  <c r="Z35" i="6"/>
  <c r="Z36" i="6"/>
  <c r="Z37" i="6"/>
  <c r="Z38" i="6"/>
  <c r="Z39" i="6"/>
  <c r="Z40" i="6"/>
  <c r="Z41" i="6"/>
  <c r="Z42" i="6"/>
  <c r="Z43" i="6"/>
  <c r="Z44" i="6"/>
  <c r="Z45" i="6"/>
  <c r="Z47" i="6"/>
  <c r="Z48" i="6"/>
  <c r="Z49" i="6"/>
  <c r="Z50" i="6"/>
  <c r="Z51" i="6"/>
  <c r="Z46" i="6"/>
  <c r="Z52" i="6"/>
  <c r="Z8" i="6"/>
  <c r="W9" i="6"/>
  <c r="W11" i="6"/>
  <c r="W12" i="6"/>
  <c r="W10" i="6"/>
  <c r="W13" i="6"/>
  <c r="W14" i="6"/>
  <c r="W17" i="6"/>
  <c r="W18" i="6"/>
  <c r="W20" i="6"/>
  <c r="W21" i="6"/>
  <c r="W22" i="6"/>
  <c r="W15" i="6"/>
  <c r="W19" i="6"/>
  <c r="W16" i="6"/>
  <c r="W26" i="6"/>
  <c r="W27" i="6"/>
  <c r="W28" i="6"/>
  <c r="W29" i="6"/>
  <c r="W30" i="6"/>
  <c r="W31" i="6"/>
  <c r="W24" i="6"/>
  <c r="W25" i="6"/>
  <c r="W23" i="6"/>
  <c r="W32" i="6"/>
  <c r="W33" i="6"/>
  <c r="W34" i="6"/>
  <c r="W35" i="6"/>
  <c r="W36" i="6"/>
  <c r="W37" i="6"/>
  <c r="W38" i="6"/>
  <c r="W39" i="6"/>
  <c r="W40" i="6"/>
  <c r="W41" i="6"/>
  <c r="W42" i="6"/>
  <c r="W43" i="6"/>
  <c r="W44" i="6"/>
  <c r="W45" i="6"/>
  <c r="W47" i="6"/>
  <c r="W48" i="6"/>
  <c r="W49" i="6"/>
  <c r="W50" i="6"/>
  <c r="W51" i="6"/>
  <c r="W46" i="6"/>
  <c r="W52" i="6"/>
  <c r="W8" i="6"/>
  <c r="T9" i="6"/>
  <c r="T11" i="6"/>
  <c r="T12" i="6"/>
  <c r="T10" i="6"/>
  <c r="T13" i="6"/>
  <c r="T14" i="6"/>
  <c r="T17" i="6"/>
  <c r="T18" i="6"/>
  <c r="T20" i="6"/>
  <c r="T21" i="6"/>
  <c r="T22" i="6"/>
  <c r="T15" i="6"/>
  <c r="T19" i="6"/>
  <c r="T16" i="6"/>
  <c r="T26" i="6"/>
  <c r="T27" i="6"/>
  <c r="T28" i="6"/>
  <c r="T29" i="6"/>
  <c r="T30" i="6"/>
  <c r="T31" i="6"/>
  <c r="T24" i="6"/>
  <c r="T25" i="6"/>
  <c r="T23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7" i="6"/>
  <c r="T48" i="6"/>
  <c r="T49" i="6"/>
  <c r="T50" i="6"/>
  <c r="T51" i="6"/>
  <c r="T46" i="6"/>
  <c r="T52" i="6"/>
  <c r="T8" i="6"/>
  <c r="C45" i="5" l="1"/>
  <c r="C44" i="5"/>
  <c r="C43" i="5"/>
  <c r="D43" i="5" s="1"/>
  <c r="C42" i="5"/>
  <c r="C41" i="5"/>
  <c r="C40" i="5"/>
  <c r="F45" i="5"/>
  <c r="F43" i="5"/>
  <c r="F42" i="5"/>
  <c r="F41" i="5"/>
  <c r="F39" i="5"/>
  <c r="I39" i="5"/>
  <c r="I45" i="5"/>
  <c r="I41" i="5"/>
  <c r="I40" i="5"/>
  <c r="F44" i="5"/>
  <c r="I44" i="5"/>
  <c r="I42" i="5"/>
  <c r="C39" i="5"/>
  <c r="F40" i="5"/>
  <c r="I43" i="5"/>
  <c r="I34" i="5"/>
  <c r="J34" i="5" s="1"/>
  <c r="I19" i="5"/>
  <c r="I20" i="5"/>
  <c r="I18" i="5"/>
  <c r="J18" i="5" s="1"/>
  <c r="I22" i="5"/>
  <c r="J22" i="5" s="1"/>
  <c r="I17" i="5"/>
  <c r="J17" i="5" s="1"/>
  <c r="I21" i="5"/>
  <c r="J21" i="5" s="1"/>
  <c r="I23" i="5"/>
  <c r="J23" i="5" s="1"/>
  <c r="L33" i="5"/>
  <c r="M33" i="5" s="1"/>
  <c r="L31" i="5"/>
  <c r="M31" i="5" s="1"/>
  <c r="I29" i="5"/>
  <c r="J29" i="5" s="1"/>
  <c r="F21" i="5"/>
  <c r="G21" i="5" s="1"/>
  <c r="C21" i="5"/>
  <c r="D21" i="5" s="1"/>
  <c r="C17" i="5"/>
  <c r="D17" i="5" s="1"/>
  <c r="C18" i="5"/>
  <c r="D18" i="5" s="1"/>
  <c r="L32" i="5"/>
  <c r="M32" i="5" s="1"/>
  <c r="F22" i="5"/>
  <c r="G22" i="5" s="1"/>
  <c r="D39" i="5"/>
  <c r="D41" i="5"/>
  <c r="C20" i="5"/>
  <c r="D20" i="5" s="1"/>
  <c r="I33" i="5"/>
  <c r="J33" i="5" s="1"/>
  <c r="I32" i="5"/>
  <c r="J32" i="5" s="1"/>
  <c r="C22" i="5"/>
  <c r="D22" i="5" s="1"/>
  <c r="L28" i="5"/>
  <c r="M28" i="5" s="1"/>
  <c r="F18" i="5"/>
  <c r="G18" i="5" s="1"/>
  <c r="D42" i="5"/>
  <c r="D45" i="5"/>
  <c r="L34" i="5"/>
  <c r="M34" i="5" s="1"/>
  <c r="C19" i="5"/>
  <c r="D19" i="5" s="1"/>
  <c r="I28" i="5"/>
  <c r="J28" i="5" s="1"/>
  <c r="F17" i="5"/>
  <c r="G17" i="5" s="1"/>
  <c r="F23" i="5"/>
  <c r="G23" i="5" s="1"/>
  <c r="J19" i="5"/>
  <c r="I31" i="5"/>
  <c r="J31" i="5" s="1"/>
  <c r="D40" i="5"/>
  <c r="F20" i="5"/>
  <c r="G20" i="5" s="1"/>
  <c r="L29" i="5"/>
  <c r="M29" i="5" s="1"/>
  <c r="I30" i="5"/>
  <c r="J30" i="5" s="1"/>
  <c r="C23" i="5"/>
  <c r="D23" i="5" s="1"/>
  <c r="D44" i="5"/>
  <c r="F19" i="5"/>
  <c r="G19" i="5" s="1"/>
  <c r="J20" i="5"/>
  <c r="L30" i="5"/>
  <c r="M30" i="5" s="1"/>
  <c r="Q9" i="6"/>
  <c r="Q11" i="6"/>
  <c r="Q12" i="6"/>
  <c r="Q10" i="6"/>
  <c r="Q13" i="6"/>
  <c r="Q14" i="6"/>
  <c r="Q17" i="6"/>
  <c r="Q18" i="6"/>
  <c r="Q20" i="6"/>
  <c r="Q21" i="6"/>
  <c r="Q22" i="6"/>
  <c r="Q15" i="6"/>
  <c r="Q19" i="6"/>
  <c r="Q16" i="6"/>
  <c r="Q26" i="6"/>
  <c r="Q27" i="6"/>
  <c r="Q28" i="6"/>
  <c r="Q29" i="6"/>
  <c r="Q30" i="6"/>
  <c r="Q31" i="6"/>
  <c r="Q24" i="6"/>
  <c r="Q25" i="6"/>
  <c r="Q23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7" i="6"/>
  <c r="Q48" i="6"/>
  <c r="Q49" i="6"/>
  <c r="Q50" i="6"/>
  <c r="Q51" i="6"/>
  <c r="Q46" i="6"/>
  <c r="Q52" i="6"/>
  <c r="Q8" i="6"/>
  <c r="N9" i="6"/>
  <c r="N11" i="6"/>
  <c r="N12" i="6"/>
  <c r="N10" i="6"/>
  <c r="N13" i="6"/>
  <c r="N14" i="6"/>
  <c r="N17" i="6"/>
  <c r="N18" i="6"/>
  <c r="N20" i="6"/>
  <c r="N21" i="6"/>
  <c r="N22" i="6"/>
  <c r="N15" i="6"/>
  <c r="N19" i="6"/>
  <c r="N16" i="6"/>
  <c r="N26" i="6"/>
  <c r="N27" i="6"/>
  <c r="N28" i="6"/>
  <c r="N29" i="6"/>
  <c r="N30" i="6"/>
  <c r="N31" i="6"/>
  <c r="N24" i="6"/>
  <c r="N25" i="6"/>
  <c r="N23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7" i="6"/>
  <c r="N48" i="6"/>
  <c r="N49" i="6"/>
  <c r="N50" i="6"/>
  <c r="N51" i="6"/>
  <c r="N46" i="6"/>
  <c r="N52" i="6"/>
  <c r="N8" i="6"/>
  <c r="K9" i="6"/>
  <c r="K11" i="6"/>
  <c r="K12" i="6"/>
  <c r="K10" i="6"/>
  <c r="K13" i="6"/>
  <c r="K14" i="6"/>
  <c r="K17" i="6"/>
  <c r="K18" i="6"/>
  <c r="K20" i="6"/>
  <c r="K21" i="6"/>
  <c r="K22" i="6"/>
  <c r="K15" i="6"/>
  <c r="K19" i="6"/>
  <c r="K16" i="6"/>
  <c r="K26" i="6"/>
  <c r="K27" i="6"/>
  <c r="K28" i="6"/>
  <c r="K29" i="6"/>
  <c r="K30" i="6"/>
  <c r="K31" i="6"/>
  <c r="K24" i="6"/>
  <c r="K25" i="6"/>
  <c r="K23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7" i="6"/>
  <c r="K48" i="6"/>
  <c r="K49" i="6"/>
  <c r="K50" i="6"/>
  <c r="K51" i="6"/>
  <c r="K46" i="6"/>
  <c r="K52" i="6"/>
  <c r="K8" i="6"/>
  <c r="H9" i="6"/>
  <c r="I9" i="6" s="1"/>
  <c r="H11" i="6"/>
  <c r="I11" i="6" s="1"/>
  <c r="H12" i="6"/>
  <c r="I12" i="6" s="1"/>
  <c r="H10" i="6"/>
  <c r="I10" i="6" s="1"/>
  <c r="H13" i="6"/>
  <c r="H14" i="6"/>
  <c r="I14" i="6" s="1"/>
  <c r="H17" i="6"/>
  <c r="I17" i="6" s="1"/>
  <c r="H18" i="6"/>
  <c r="I18" i="6" s="1"/>
  <c r="H20" i="6"/>
  <c r="I20" i="6" s="1"/>
  <c r="H21" i="6"/>
  <c r="I21" i="6" s="1"/>
  <c r="H22" i="6"/>
  <c r="I22" i="6" s="1"/>
  <c r="H15" i="6"/>
  <c r="I15" i="6" s="1"/>
  <c r="H19" i="6"/>
  <c r="I19" i="6" s="1"/>
  <c r="H16" i="6"/>
  <c r="I16" i="6" s="1"/>
  <c r="H26" i="6"/>
  <c r="I26" i="6" s="1"/>
  <c r="H27" i="6"/>
  <c r="I27" i="6" s="1"/>
  <c r="H28" i="6"/>
  <c r="I28" i="6" s="1"/>
  <c r="H29" i="6"/>
  <c r="I29" i="6" s="1"/>
  <c r="H30" i="6"/>
  <c r="I30" i="6" s="1"/>
  <c r="H31" i="6"/>
  <c r="I31" i="6" s="1"/>
  <c r="H24" i="6"/>
  <c r="I24" i="6" s="1"/>
  <c r="H25" i="6"/>
  <c r="I25" i="6" s="1"/>
  <c r="H23" i="6"/>
  <c r="H32" i="6"/>
  <c r="H33" i="6"/>
  <c r="I33" i="6" s="1"/>
  <c r="H34" i="6"/>
  <c r="I34" i="6" s="1"/>
  <c r="H35" i="6"/>
  <c r="I35" i="6" s="1"/>
  <c r="H36" i="6"/>
  <c r="I36" i="6" s="1"/>
  <c r="H37" i="6"/>
  <c r="I37" i="6" s="1"/>
  <c r="H38" i="6"/>
  <c r="I38" i="6" s="1"/>
  <c r="H39" i="6"/>
  <c r="H40" i="6"/>
  <c r="I40" i="6" s="1"/>
  <c r="H41" i="6"/>
  <c r="I41" i="6" s="1"/>
  <c r="H42" i="6"/>
  <c r="I42" i="6" s="1"/>
  <c r="H43" i="6"/>
  <c r="H44" i="6"/>
  <c r="I44" i="6" s="1"/>
  <c r="H45" i="6"/>
  <c r="I45" i="6" s="1"/>
  <c r="H47" i="6"/>
  <c r="I47" i="6" s="1"/>
  <c r="H48" i="6"/>
  <c r="I48" i="6" s="1"/>
  <c r="H49" i="6"/>
  <c r="I49" i="6" s="1"/>
  <c r="H50" i="6"/>
  <c r="I50" i="6" s="1"/>
  <c r="H51" i="6"/>
  <c r="I51" i="6" s="1"/>
  <c r="H46" i="6"/>
  <c r="H52" i="6"/>
  <c r="I52" i="6" s="1"/>
  <c r="H8" i="6"/>
  <c r="BB3" i="2"/>
  <c r="BB448" i="2"/>
  <c r="BB447" i="2"/>
  <c r="BB446" i="2"/>
  <c r="BB445" i="2"/>
  <c r="BB444" i="2"/>
  <c r="BB443" i="2"/>
  <c r="BB442" i="2"/>
  <c r="BB441" i="2"/>
  <c r="BB440" i="2"/>
  <c r="BB439" i="2"/>
  <c r="BB438" i="2"/>
  <c r="BB437" i="2"/>
  <c r="BB436" i="2"/>
  <c r="BB435" i="2"/>
  <c r="BB434" i="2"/>
  <c r="BB433" i="2"/>
  <c r="BB432" i="2"/>
  <c r="BB431" i="2"/>
  <c r="BB430" i="2"/>
  <c r="BB429" i="2"/>
  <c r="BB428" i="2"/>
  <c r="BB427" i="2"/>
  <c r="BB426" i="2"/>
  <c r="BB425" i="2"/>
  <c r="BB424" i="2"/>
  <c r="BB423" i="2"/>
  <c r="BB422" i="2"/>
  <c r="BB421" i="2"/>
  <c r="BB420" i="2"/>
  <c r="BB419" i="2"/>
  <c r="BB418" i="2"/>
  <c r="BB417" i="2"/>
  <c r="BB416" i="2"/>
  <c r="BB415" i="2"/>
  <c r="BB414" i="2"/>
  <c r="BB413" i="2"/>
  <c r="BB412" i="2"/>
  <c r="BB411" i="2"/>
  <c r="BB410" i="2"/>
  <c r="BB409" i="2"/>
  <c r="BB408" i="2"/>
  <c r="BB407" i="2"/>
  <c r="BB406" i="2"/>
  <c r="BB405" i="2"/>
  <c r="BB404" i="2"/>
  <c r="BB403" i="2"/>
  <c r="BB402" i="2"/>
  <c r="BB401" i="2"/>
  <c r="BB400" i="2"/>
  <c r="BB399" i="2"/>
  <c r="BB398" i="2"/>
  <c r="BB397" i="2"/>
  <c r="BB396" i="2"/>
  <c r="BB395" i="2"/>
  <c r="BB394" i="2"/>
  <c r="BB393" i="2"/>
  <c r="BB392" i="2"/>
  <c r="BB391" i="2"/>
  <c r="BB390" i="2"/>
  <c r="BB389" i="2"/>
  <c r="BB388" i="2"/>
  <c r="BB387" i="2"/>
  <c r="BB386" i="2"/>
  <c r="BB385" i="2"/>
  <c r="BB384" i="2"/>
  <c r="BB383" i="2"/>
  <c r="BB382" i="2"/>
  <c r="BB381" i="2"/>
  <c r="BB380" i="2"/>
  <c r="BB379" i="2"/>
  <c r="BB378" i="2"/>
  <c r="BB377" i="2"/>
  <c r="BB376" i="2"/>
  <c r="BB375" i="2"/>
  <c r="BB374" i="2"/>
  <c r="BB373" i="2"/>
  <c r="BB372" i="2"/>
  <c r="BB371" i="2"/>
  <c r="BB370" i="2"/>
  <c r="BB369" i="2"/>
  <c r="BB368" i="2"/>
  <c r="BB367" i="2"/>
  <c r="BB366" i="2"/>
  <c r="BB365" i="2"/>
  <c r="BB364" i="2"/>
  <c r="BB363" i="2"/>
  <c r="BB362" i="2"/>
  <c r="BB361" i="2"/>
  <c r="BB360" i="2"/>
  <c r="BB359" i="2"/>
  <c r="BB358" i="2"/>
  <c r="BB357" i="2"/>
  <c r="BB356" i="2"/>
  <c r="BB355" i="2"/>
  <c r="BB354" i="2"/>
  <c r="BB353" i="2"/>
  <c r="BB352" i="2"/>
  <c r="BB351" i="2"/>
  <c r="BB350" i="2"/>
  <c r="BB349" i="2"/>
  <c r="BB348" i="2"/>
  <c r="BB347" i="2"/>
  <c r="BB346" i="2"/>
  <c r="BB345" i="2"/>
  <c r="BB344" i="2"/>
  <c r="BB343" i="2"/>
  <c r="BB342" i="2"/>
  <c r="BB341" i="2"/>
  <c r="BB340" i="2"/>
  <c r="BB339" i="2"/>
  <c r="BB338" i="2"/>
  <c r="BB337" i="2"/>
  <c r="BB336" i="2"/>
  <c r="BB335" i="2"/>
  <c r="BB334" i="2"/>
  <c r="BB333" i="2"/>
  <c r="BB332" i="2"/>
  <c r="BB331" i="2"/>
  <c r="BB330" i="2"/>
  <c r="BB329" i="2"/>
  <c r="BB328" i="2"/>
  <c r="BB327" i="2"/>
  <c r="BB326" i="2"/>
  <c r="BB325" i="2"/>
  <c r="BB324" i="2"/>
  <c r="BB323" i="2"/>
  <c r="BB322" i="2"/>
  <c r="BB321" i="2"/>
  <c r="BB320" i="2"/>
  <c r="BB319" i="2"/>
  <c r="BB318" i="2"/>
  <c r="BB317" i="2"/>
  <c r="BB316" i="2"/>
  <c r="BB315" i="2"/>
  <c r="BB314" i="2"/>
  <c r="BB313" i="2"/>
  <c r="BB312" i="2"/>
  <c r="BB311" i="2"/>
  <c r="BB310" i="2"/>
  <c r="BB309" i="2"/>
  <c r="BB308" i="2"/>
  <c r="BB307" i="2"/>
  <c r="BB306" i="2"/>
  <c r="BB305" i="2"/>
  <c r="BB304" i="2"/>
  <c r="BB303" i="2"/>
  <c r="BB302" i="2"/>
  <c r="BB301" i="2"/>
  <c r="BB300" i="2"/>
  <c r="BB299" i="2"/>
  <c r="BB298" i="2"/>
  <c r="BB297" i="2"/>
  <c r="BB296" i="2"/>
  <c r="BB295" i="2"/>
  <c r="BB294" i="2"/>
  <c r="BB293" i="2"/>
  <c r="BB292" i="2"/>
  <c r="BB291" i="2"/>
  <c r="BB290" i="2"/>
  <c r="BB289" i="2"/>
  <c r="BB288" i="2"/>
  <c r="BB287" i="2"/>
  <c r="BB286" i="2"/>
  <c r="BB285" i="2"/>
  <c r="BB284" i="2"/>
  <c r="BB283" i="2"/>
  <c r="BB282" i="2"/>
  <c r="BB281" i="2"/>
  <c r="BB280" i="2"/>
  <c r="BB279" i="2"/>
  <c r="BB278" i="2"/>
  <c r="BB277" i="2"/>
  <c r="BB276" i="2"/>
  <c r="BB275" i="2"/>
  <c r="BB274" i="2"/>
  <c r="BB273" i="2"/>
  <c r="BB272" i="2"/>
  <c r="BB271" i="2"/>
  <c r="BB270" i="2"/>
  <c r="BB269" i="2"/>
  <c r="BB268" i="2"/>
  <c r="BB267" i="2"/>
  <c r="BB266" i="2"/>
  <c r="BB265" i="2"/>
  <c r="BB264" i="2"/>
  <c r="BB263" i="2"/>
  <c r="BB262" i="2"/>
  <c r="BB261" i="2"/>
  <c r="BB260" i="2"/>
  <c r="BB259" i="2"/>
  <c r="BB258" i="2"/>
  <c r="BB257" i="2"/>
  <c r="BB256" i="2"/>
  <c r="BB255" i="2"/>
  <c r="BB254" i="2"/>
  <c r="BB253" i="2"/>
  <c r="BB252" i="2"/>
  <c r="BB251" i="2"/>
  <c r="BB250" i="2"/>
  <c r="BB249" i="2"/>
  <c r="BB248" i="2"/>
  <c r="BB247" i="2"/>
  <c r="BB246" i="2"/>
  <c r="BB245" i="2"/>
  <c r="BB244" i="2"/>
  <c r="BB243" i="2"/>
  <c r="BB242" i="2"/>
  <c r="BB241" i="2"/>
  <c r="BB240" i="2"/>
  <c r="BB239" i="2"/>
  <c r="BB238" i="2"/>
  <c r="BB237" i="2"/>
  <c r="BB236" i="2"/>
  <c r="BB235" i="2"/>
  <c r="BB234" i="2"/>
  <c r="BB233" i="2"/>
  <c r="BB232" i="2"/>
  <c r="BB231" i="2"/>
  <c r="BB230" i="2"/>
  <c r="BB229" i="2"/>
  <c r="BB228" i="2"/>
  <c r="BB227" i="2"/>
  <c r="BB226" i="2"/>
  <c r="BB225" i="2"/>
  <c r="BB224" i="2"/>
  <c r="BB223" i="2"/>
  <c r="BB222" i="2"/>
  <c r="BB221" i="2"/>
  <c r="BB220" i="2"/>
  <c r="BB219" i="2"/>
  <c r="BB218" i="2"/>
  <c r="BB217" i="2"/>
  <c r="BB216" i="2"/>
  <c r="BB215" i="2"/>
  <c r="BB214" i="2"/>
  <c r="BB213" i="2"/>
  <c r="BB212" i="2"/>
  <c r="BB211" i="2"/>
  <c r="BB210" i="2"/>
  <c r="BB209" i="2"/>
  <c r="BB208" i="2"/>
  <c r="BB207" i="2"/>
  <c r="BB206" i="2"/>
  <c r="BB205" i="2"/>
  <c r="BB204" i="2"/>
  <c r="BB203" i="2"/>
  <c r="BB202" i="2"/>
  <c r="BB201" i="2"/>
  <c r="BB200" i="2"/>
  <c r="BB199" i="2"/>
  <c r="BB198" i="2"/>
  <c r="BB197" i="2"/>
  <c r="BB196" i="2"/>
  <c r="BB195" i="2"/>
  <c r="BB194" i="2"/>
  <c r="BB193" i="2"/>
  <c r="BB192" i="2"/>
  <c r="BB191" i="2"/>
  <c r="BB190" i="2"/>
  <c r="BB189" i="2"/>
  <c r="BB188" i="2"/>
  <c r="BB187" i="2"/>
  <c r="BB186" i="2"/>
  <c r="BB185" i="2"/>
  <c r="BB184" i="2"/>
  <c r="BB183" i="2"/>
  <c r="BB182" i="2"/>
  <c r="BB181" i="2"/>
  <c r="BB180" i="2"/>
  <c r="BB179" i="2"/>
  <c r="BB178" i="2"/>
  <c r="BB177" i="2"/>
  <c r="BB176" i="2"/>
  <c r="BB175" i="2"/>
  <c r="BB174" i="2"/>
  <c r="BB173" i="2"/>
  <c r="BB172" i="2"/>
  <c r="BB171" i="2"/>
  <c r="BB170" i="2"/>
  <c r="BB169" i="2"/>
  <c r="BB168" i="2"/>
  <c r="BB167" i="2"/>
  <c r="BB166" i="2"/>
  <c r="BB165" i="2"/>
  <c r="BB164" i="2"/>
  <c r="BB163" i="2"/>
  <c r="BB162" i="2"/>
  <c r="BB161" i="2"/>
  <c r="BB160" i="2"/>
  <c r="BB159" i="2"/>
  <c r="BB158" i="2"/>
  <c r="BB157" i="2"/>
  <c r="BB156" i="2"/>
  <c r="BB155" i="2"/>
  <c r="BB154" i="2"/>
  <c r="BB153" i="2"/>
  <c r="BB152" i="2"/>
  <c r="BB151" i="2"/>
  <c r="BB150" i="2"/>
  <c r="BB149" i="2"/>
  <c r="BB148" i="2"/>
  <c r="BB147" i="2"/>
  <c r="BB146" i="2"/>
  <c r="BB145" i="2"/>
  <c r="BB144" i="2"/>
  <c r="BB143" i="2"/>
  <c r="BB142" i="2"/>
  <c r="BB141" i="2"/>
  <c r="BB140" i="2"/>
  <c r="BB139" i="2"/>
  <c r="BB138" i="2"/>
  <c r="BB137" i="2"/>
  <c r="BB136" i="2"/>
  <c r="BB135" i="2"/>
  <c r="BB134" i="2"/>
  <c r="BB133" i="2"/>
  <c r="BB132" i="2"/>
  <c r="BB131" i="2"/>
  <c r="BB130" i="2"/>
  <c r="BB129" i="2"/>
  <c r="BB128" i="2"/>
  <c r="BB127" i="2"/>
  <c r="BB126" i="2"/>
  <c r="BB125" i="2"/>
  <c r="BB124" i="2"/>
  <c r="BB123" i="2"/>
  <c r="BB122" i="2"/>
  <c r="BB121" i="2"/>
  <c r="BB120" i="2"/>
  <c r="BB119" i="2"/>
  <c r="BB118" i="2"/>
  <c r="BB117" i="2"/>
  <c r="BB116" i="2"/>
  <c r="BB115" i="2"/>
  <c r="BB114" i="2"/>
  <c r="BB113" i="2"/>
  <c r="BB112" i="2"/>
  <c r="BB111" i="2"/>
  <c r="BB110" i="2"/>
  <c r="BB109" i="2"/>
  <c r="BB108" i="2"/>
  <c r="BB107" i="2"/>
  <c r="BB106" i="2"/>
  <c r="BB105" i="2"/>
  <c r="BB104" i="2"/>
  <c r="BB103" i="2"/>
  <c r="BB102" i="2"/>
  <c r="BB101" i="2"/>
  <c r="BB100" i="2"/>
  <c r="BB99" i="2"/>
  <c r="BB98" i="2"/>
  <c r="BB97" i="2"/>
  <c r="BB96" i="2"/>
  <c r="BB95" i="2"/>
  <c r="BB94" i="2"/>
  <c r="BB93" i="2"/>
  <c r="BB92" i="2"/>
  <c r="BB91" i="2"/>
  <c r="BB90" i="2"/>
  <c r="BB89" i="2"/>
  <c r="BB88" i="2"/>
  <c r="BB87" i="2"/>
  <c r="BB86" i="2"/>
  <c r="BB85" i="2"/>
  <c r="BB84" i="2"/>
  <c r="BB83" i="2"/>
  <c r="BB82" i="2"/>
  <c r="BB81" i="2"/>
  <c r="BB80" i="2"/>
  <c r="BB79" i="2"/>
  <c r="BB78" i="2"/>
  <c r="BB77" i="2"/>
  <c r="BB76" i="2"/>
  <c r="BB75" i="2"/>
  <c r="BB74" i="2"/>
  <c r="BB73" i="2"/>
  <c r="BB72" i="2"/>
  <c r="BB71" i="2"/>
  <c r="BB70" i="2"/>
  <c r="BB69" i="2"/>
  <c r="BB68" i="2"/>
  <c r="BB67" i="2"/>
  <c r="BB66" i="2"/>
  <c r="BB65" i="2"/>
  <c r="BB64" i="2"/>
  <c r="BB63" i="2"/>
  <c r="BB62" i="2"/>
  <c r="BB61" i="2"/>
  <c r="BB60" i="2"/>
  <c r="BB59" i="2"/>
  <c r="BB58" i="2"/>
  <c r="BB57" i="2"/>
  <c r="BB56" i="2"/>
  <c r="BB55" i="2"/>
  <c r="BB54" i="2"/>
  <c r="BB53" i="2"/>
  <c r="BB52" i="2"/>
  <c r="BB51" i="2"/>
  <c r="BB50" i="2"/>
  <c r="BB49" i="2"/>
  <c r="BB48" i="2"/>
  <c r="BB47" i="2"/>
  <c r="BB46" i="2"/>
  <c r="BB45" i="2"/>
  <c r="BB44" i="2"/>
  <c r="BB43" i="2"/>
  <c r="BB42" i="2"/>
  <c r="BB41" i="2"/>
  <c r="BB40" i="2"/>
  <c r="BB39" i="2"/>
  <c r="BB38" i="2"/>
  <c r="BB37" i="2"/>
  <c r="BB36" i="2"/>
  <c r="BB35" i="2"/>
  <c r="BB34" i="2"/>
  <c r="BB33" i="2"/>
  <c r="BB32" i="2"/>
  <c r="BB31" i="2"/>
  <c r="BB30" i="2"/>
  <c r="BB29" i="2"/>
  <c r="BB28" i="2"/>
  <c r="BB27" i="2"/>
  <c r="BB26" i="2"/>
  <c r="BB25" i="2"/>
  <c r="BB24" i="2"/>
  <c r="BB23" i="2"/>
  <c r="BB22" i="2"/>
  <c r="BB21" i="2"/>
  <c r="BB20" i="2"/>
  <c r="BB19" i="2"/>
  <c r="BB18" i="2"/>
  <c r="BB17" i="2"/>
  <c r="BB16" i="2"/>
  <c r="BB15" i="2"/>
  <c r="BB14" i="2"/>
  <c r="BB13" i="2"/>
  <c r="BB12" i="2"/>
  <c r="BB11" i="2"/>
  <c r="BB10" i="2"/>
  <c r="BB9" i="2"/>
  <c r="BB8" i="2"/>
  <c r="BB7" i="2"/>
  <c r="BB6" i="2"/>
  <c r="BB5" i="2"/>
  <c r="BB4" i="2"/>
  <c r="AY448" i="2"/>
  <c r="AY447" i="2"/>
  <c r="AY446" i="2"/>
  <c r="AY445" i="2"/>
  <c r="AY444" i="2"/>
  <c r="AY443" i="2"/>
  <c r="AY442" i="2"/>
  <c r="AY441" i="2"/>
  <c r="AY440" i="2"/>
  <c r="AY439" i="2"/>
  <c r="AY438" i="2"/>
  <c r="AY437" i="2"/>
  <c r="AY436" i="2"/>
  <c r="AY435" i="2"/>
  <c r="AY434" i="2"/>
  <c r="AY433" i="2"/>
  <c r="AY432" i="2"/>
  <c r="AY431" i="2"/>
  <c r="AY430" i="2"/>
  <c r="AY429" i="2"/>
  <c r="AY428" i="2"/>
  <c r="AY427" i="2"/>
  <c r="AY426" i="2"/>
  <c r="AY425" i="2"/>
  <c r="AY424" i="2"/>
  <c r="AY423" i="2"/>
  <c r="AY422" i="2"/>
  <c r="AY421" i="2"/>
  <c r="AY420" i="2"/>
  <c r="AY419" i="2"/>
  <c r="AY418" i="2"/>
  <c r="AY417" i="2"/>
  <c r="AY416" i="2"/>
  <c r="AY415" i="2"/>
  <c r="AY414" i="2"/>
  <c r="AY413" i="2"/>
  <c r="AY412" i="2"/>
  <c r="AY411" i="2"/>
  <c r="AY410" i="2"/>
  <c r="AY409" i="2"/>
  <c r="AY408" i="2"/>
  <c r="AY407" i="2"/>
  <c r="AY406" i="2"/>
  <c r="AY405" i="2"/>
  <c r="AY404" i="2"/>
  <c r="AY403" i="2"/>
  <c r="AY402" i="2"/>
  <c r="AY401" i="2"/>
  <c r="AY400" i="2"/>
  <c r="AY399" i="2"/>
  <c r="AY398" i="2"/>
  <c r="AY397" i="2"/>
  <c r="AY396" i="2"/>
  <c r="AY395" i="2"/>
  <c r="AY394" i="2"/>
  <c r="AY393" i="2"/>
  <c r="AY392" i="2"/>
  <c r="AY391" i="2"/>
  <c r="AY390" i="2"/>
  <c r="AY389" i="2"/>
  <c r="AY388" i="2"/>
  <c r="AY387" i="2"/>
  <c r="AY386" i="2"/>
  <c r="AY385" i="2"/>
  <c r="AY384" i="2"/>
  <c r="AY383" i="2"/>
  <c r="AY382" i="2"/>
  <c r="AY381" i="2"/>
  <c r="AY380" i="2"/>
  <c r="AY379" i="2"/>
  <c r="AY378" i="2"/>
  <c r="AY377" i="2"/>
  <c r="AY376" i="2"/>
  <c r="AY375" i="2"/>
  <c r="AY374" i="2"/>
  <c r="AY373" i="2"/>
  <c r="AY372" i="2"/>
  <c r="AY371" i="2"/>
  <c r="AY370" i="2"/>
  <c r="AY369" i="2"/>
  <c r="AY368" i="2"/>
  <c r="AY367" i="2"/>
  <c r="AY366" i="2"/>
  <c r="AY365" i="2"/>
  <c r="AY364" i="2"/>
  <c r="AY363" i="2"/>
  <c r="AY362" i="2"/>
  <c r="AY361" i="2"/>
  <c r="AY360" i="2"/>
  <c r="AY359" i="2"/>
  <c r="AY358" i="2"/>
  <c r="AY357" i="2"/>
  <c r="AY356" i="2"/>
  <c r="AY355" i="2"/>
  <c r="AY354" i="2"/>
  <c r="AY353" i="2"/>
  <c r="AY352" i="2"/>
  <c r="AY351" i="2"/>
  <c r="AY350" i="2"/>
  <c r="AY349" i="2"/>
  <c r="AY348" i="2"/>
  <c r="AY347" i="2"/>
  <c r="AY346" i="2"/>
  <c r="AY345" i="2"/>
  <c r="AY344" i="2"/>
  <c r="AY343" i="2"/>
  <c r="AY342" i="2"/>
  <c r="AY341" i="2"/>
  <c r="AY340" i="2"/>
  <c r="AY339" i="2"/>
  <c r="AY338" i="2"/>
  <c r="AY337" i="2"/>
  <c r="AY336" i="2"/>
  <c r="AY335" i="2"/>
  <c r="AY334" i="2"/>
  <c r="AY333" i="2"/>
  <c r="AY332" i="2"/>
  <c r="AY331" i="2"/>
  <c r="AY330" i="2"/>
  <c r="AY329" i="2"/>
  <c r="AY328" i="2"/>
  <c r="AY327" i="2"/>
  <c r="AY326" i="2"/>
  <c r="AY325" i="2"/>
  <c r="AY324" i="2"/>
  <c r="AY323" i="2"/>
  <c r="AY322" i="2"/>
  <c r="AY321" i="2"/>
  <c r="AY320" i="2"/>
  <c r="AY319" i="2"/>
  <c r="AY318" i="2"/>
  <c r="AY317" i="2"/>
  <c r="AY316" i="2"/>
  <c r="AY315" i="2"/>
  <c r="AY314" i="2"/>
  <c r="AY313" i="2"/>
  <c r="AY312" i="2"/>
  <c r="AY311" i="2"/>
  <c r="AY310" i="2"/>
  <c r="AY309" i="2"/>
  <c r="AY308" i="2"/>
  <c r="AY307" i="2"/>
  <c r="AY306" i="2"/>
  <c r="AY305" i="2"/>
  <c r="AY304" i="2"/>
  <c r="AY303" i="2"/>
  <c r="AY302" i="2"/>
  <c r="AY301" i="2"/>
  <c r="AY300" i="2"/>
  <c r="AY299" i="2"/>
  <c r="AY298" i="2"/>
  <c r="AY297" i="2"/>
  <c r="AY296" i="2"/>
  <c r="AY295" i="2"/>
  <c r="AY294" i="2"/>
  <c r="AY293" i="2"/>
  <c r="AY292" i="2"/>
  <c r="AY291" i="2"/>
  <c r="AY290" i="2"/>
  <c r="AY289" i="2"/>
  <c r="AY288" i="2"/>
  <c r="AY287" i="2"/>
  <c r="AY286" i="2"/>
  <c r="AY285" i="2"/>
  <c r="AY284" i="2"/>
  <c r="AY283" i="2"/>
  <c r="AY282" i="2"/>
  <c r="AY281" i="2"/>
  <c r="AY280" i="2"/>
  <c r="AY279" i="2"/>
  <c r="AY278" i="2"/>
  <c r="AY277" i="2"/>
  <c r="AY276" i="2"/>
  <c r="AY275" i="2"/>
  <c r="AY274" i="2"/>
  <c r="AY273" i="2"/>
  <c r="AY272" i="2"/>
  <c r="AY271" i="2"/>
  <c r="AY270" i="2"/>
  <c r="AY269" i="2"/>
  <c r="AY268" i="2"/>
  <c r="AY267" i="2"/>
  <c r="AY266" i="2"/>
  <c r="AY265" i="2"/>
  <c r="AY264" i="2"/>
  <c r="AY263" i="2"/>
  <c r="AY262" i="2"/>
  <c r="AY261" i="2"/>
  <c r="AY260" i="2"/>
  <c r="AY259" i="2"/>
  <c r="AY258" i="2"/>
  <c r="AY257" i="2"/>
  <c r="AY256" i="2"/>
  <c r="AY255" i="2"/>
  <c r="AY254" i="2"/>
  <c r="AY253" i="2"/>
  <c r="AY252" i="2"/>
  <c r="AY251" i="2"/>
  <c r="AY250" i="2"/>
  <c r="AY249" i="2"/>
  <c r="AY248" i="2"/>
  <c r="AY247" i="2"/>
  <c r="AY246" i="2"/>
  <c r="AY245" i="2"/>
  <c r="AY244" i="2"/>
  <c r="AY243" i="2"/>
  <c r="AY242" i="2"/>
  <c r="AY241" i="2"/>
  <c r="AY240" i="2"/>
  <c r="AY239" i="2"/>
  <c r="AY238" i="2"/>
  <c r="AY237" i="2"/>
  <c r="AY236" i="2"/>
  <c r="AY235" i="2"/>
  <c r="AY234" i="2"/>
  <c r="AY233" i="2"/>
  <c r="AY232" i="2"/>
  <c r="AY231" i="2"/>
  <c r="AY230" i="2"/>
  <c r="AY229" i="2"/>
  <c r="AY228" i="2"/>
  <c r="AY227" i="2"/>
  <c r="AY226" i="2"/>
  <c r="AY225" i="2"/>
  <c r="AY224" i="2"/>
  <c r="AY223" i="2"/>
  <c r="AY222" i="2"/>
  <c r="AY221" i="2"/>
  <c r="AY220" i="2"/>
  <c r="AY219" i="2"/>
  <c r="AY218" i="2"/>
  <c r="AY217" i="2"/>
  <c r="AY216" i="2"/>
  <c r="AY215" i="2"/>
  <c r="AY214" i="2"/>
  <c r="AY213" i="2"/>
  <c r="AY212" i="2"/>
  <c r="AY211" i="2"/>
  <c r="AY210" i="2"/>
  <c r="AY209" i="2"/>
  <c r="AY208" i="2"/>
  <c r="AY207" i="2"/>
  <c r="AY206" i="2"/>
  <c r="AY205" i="2"/>
  <c r="AY204" i="2"/>
  <c r="AY203" i="2"/>
  <c r="AY202" i="2"/>
  <c r="AY201" i="2"/>
  <c r="AY200" i="2"/>
  <c r="AY199" i="2"/>
  <c r="AY198" i="2"/>
  <c r="AY197" i="2"/>
  <c r="AY196" i="2"/>
  <c r="AY195" i="2"/>
  <c r="AY194" i="2"/>
  <c r="AY193" i="2"/>
  <c r="AY192" i="2"/>
  <c r="AY191" i="2"/>
  <c r="AY190" i="2"/>
  <c r="AY189" i="2"/>
  <c r="AY188" i="2"/>
  <c r="AY187" i="2"/>
  <c r="AY186" i="2"/>
  <c r="AY185" i="2"/>
  <c r="AY184" i="2"/>
  <c r="AY183" i="2"/>
  <c r="AY182" i="2"/>
  <c r="AY181" i="2"/>
  <c r="AY180" i="2"/>
  <c r="AY179" i="2"/>
  <c r="AY178" i="2"/>
  <c r="AY177" i="2"/>
  <c r="AY176" i="2"/>
  <c r="AY175" i="2"/>
  <c r="AY174" i="2"/>
  <c r="AY173" i="2"/>
  <c r="AY172" i="2"/>
  <c r="AY171" i="2"/>
  <c r="AY170" i="2"/>
  <c r="AY169" i="2"/>
  <c r="AY168" i="2"/>
  <c r="AY167" i="2"/>
  <c r="AY166" i="2"/>
  <c r="AY165" i="2"/>
  <c r="AY164" i="2"/>
  <c r="AY163" i="2"/>
  <c r="AY162" i="2"/>
  <c r="AY161" i="2"/>
  <c r="AY160" i="2"/>
  <c r="AY159" i="2"/>
  <c r="AY158" i="2"/>
  <c r="AY157" i="2"/>
  <c r="AY156" i="2"/>
  <c r="AY155" i="2"/>
  <c r="AY154" i="2"/>
  <c r="AY153" i="2"/>
  <c r="AY152" i="2"/>
  <c r="AY151" i="2"/>
  <c r="AY150" i="2"/>
  <c r="AY149" i="2"/>
  <c r="AY148" i="2"/>
  <c r="AY147" i="2"/>
  <c r="AY146" i="2"/>
  <c r="AY145" i="2"/>
  <c r="AY144" i="2"/>
  <c r="AY143" i="2"/>
  <c r="AY142" i="2"/>
  <c r="AY141" i="2"/>
  <c r="AY140" i="2"/>
  <c r="AY139" i="2"/>
  <c r="AY138" i="2"/>
  <c r="AY137" i="2"/>
  <c r="AY136" i="2"/>
  <c r="AY135" i="2"/>
  <c r="AY134" i="2"/>
  <c r="AY133" i="2"/>
  <c r="AY132" i="2"/>
  <c r="AY131" i="2"/>
  <c r="AY130" i="2"/>
  <c r="AY129" i="2"/>
  <c r="AY128" i="2"/>
  <c r="AY127" i="2"/>
  <c r="AY126" i="2"/>
  <c r="AY125" i="2"/>
  <c r="AY124" i="2"/>
  <c r="AY123" i="2"/>
  <c r="AY122" i="2"/>
  <c r="AY121" i="2"/>
  <c r="AY120" i="2"/>
  <c r="AY119" i="2"/>
  <c r="AY118" i="2"/>
  <c r="AY117" i="2"/>
  <c r="AY116" i="2"/>
  <c r="AY115" i="2"/>
  <c r="AY114" i="2"/>
  <c r="AY113" i="2"/>
  <c r="AY112" i="2"/>
  <c r="AY111" i="2"/>
  <c r="AY110" i="2"/>
  <c r="AY109" i="2"/>
  <c r="AY108" i="2"/>
  <c r="AY107" i="2"/>
  <c r="AY106" i="2"/>
  <c r="AY105" i="2"/>
  <c r="AY104" i="2"/>
  <c r="AY103" i="2"/>
  <c r="AY102" i="2"/>
  <c r="AY101" i="2"/>
  <c r="AY100" i="2"/>
  <c r="AY99" i="2"/>
  <c r="AY98" i="2"/>
  <c r="AY97" i="2"/>
  <c r="AY96" i="2"/>
  <c r="AY95" i="2"/>
  <c r="AY94" i="2"/>
  <c r="AY93" i="2"/>
  <c r="AY92" i="2"/>
  <c r="AY91" i="2"/>
  <c r="AY90" i="2"/>
  <c r="AY89" i="2"/>
  <c r="AY88" i="2"/>
  <c r="AY87" i="2"/>
  <c r="AY86" i="2"/>
  <c r="AY85" i="2"/>
  <c r="AY84" i="2"/>
  <c r="AY83" i="2"/>
  <c r="AY82" i="2"/>
  <c r="AY81" i="2"/>
  <c r="AY80" i="2"/>
  <c r="AY79" i="2"/>
  <c r="AY78" i="2"/>
  <c r="AY77" i="2"/>
  <c r="AY76" i="2"/>
  <c r="AY75" i="2"/>
  <c r="AY74" i="2"/>
  <c r="AY73" i="2"/>
  <c r="AY72" i="2"/>
  <c r="AY71" i="2"/>
  <c r="AY70" i="2"/>
  <c r="AY69" i="2"/>
  <c r="AY68" i="2"/>
  <c r="AY67" i="2"/>
  <c r="AY66" i="2"/>
  <c r="AY65" i="2"/>
  <c r="AY64" i="2"/>
  <c r="AY63" i="2"/>
  <c r="AY62" i="2"/>
  <c r="AY61" i="2"/>
  <c r="AY60" i="2"/>
  <c r="AY59" i="2"/>
  <c r="AY58" i="2"/>
  <c r="AY57" i="2"/>
  <c r="AY56" i="2"/>
  <c r="AY55" i="2"/>
  <c r="AY54" i="2"/>
  <c r="AY53" i="2"/>
  <c r="AY52" i="2"/>
  <c r="AY51" i="2"/>
  <c r="AY50" i="2"/>
  <c r="AY49" i="2"/>
  <c r="AY48" i="2"/>
  <c r="AY47" i="2"/>
  <c r="AY46" i="2"/>
  <c r="AY45" i="2"/>
  <c r="AY44" i="2"/>
  <c r="AY43" i="2"/>
  <c r="AY42" i="2"/>
  <c r="AY41" i="2"/>
  <c r="AY40" i="2"/>
  <c r="AY39" i="2"/>
  <c r="AY38" i="2"/>
  <c r="AY37" i="2"/>
  <c r="AY36" i="2"/>
  <c r="AY35" i="2"/>
  <c r="AY34" i="2"/>
  <c r="AY33" i="2"/>
  <c r="AY32" i="2"/>
  <c r="AY31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7" i="2"/>
  <c r="AY16" i="2"/>
  <c r="AY15" i="2"/>
  <c r="AY14" i="2"/>
  <c r="AY13" i="2"/>
  <c r="AY12" i="2"/>
  <c r="AY11" i="2"/>
  <c r="AY10" i="2"/>
  <c r="AY9" i="2"/>
  <c r="AY8" i="2"/>
  <c r="AY7" i="2"/>
  <c r="AY6" i="2"/>
  <c r="AY5" i="2"/>
  <c r="AY4" i="2"/>
  <c r="AY3" i="2"/>
  <c r="AV448" i="2"/>
  <c r="AV447" i="2"/>
  <c r="AV446" i="2"/>
  <c r="AV445" i="2"/>
  <c r="AV444" i="2"/>
  <c r="AV443" i="2"/>
  <c r="AV442" i="2"/>
  <c r="AV441" i="2"/>
  <c r="AV440" i="2"/>
  <c r="AV439" i="2"/>
  <c r="AV438" i="2"/>
  <c r="AV437" i="2"/>
  <c r="AV436" i="2"/>
  <c r="AV435" i="2"/>
  <c r="AV434" i="2"/>
  <c r="AV433" i="2"/>
  <c r="AV432" i="2"/>
  <c r="AV431" i="2"/>
  <c r="AV430" i="2"/>
  <c r="AV429" i="2"/>
  <c r="AV428" i="2"/>
  <c r="AV427" i="2"/>
  <c r="AV426" i="2"/>
  <c r="AV425" i="2"/>
  <c r="AV424" i="2"/>
  <c r="AV423" i="2"/>
  <c r="AV422" i="2"/>
  <c r="AV421" i="2"/>
  <c r="AV420" i="2"/>
  <c r="AV419" i="2"/>
  <c r="AV418" i="2"/>
  <c r="AV417" i="2"/>
  <c r="AV416" i="2"/>
  <c r="AV415" i="2"/>
  <c r="AV414" i="2"/>
  <c r="AV413" i="2"/>
  <c r="AV412" i="2"/>
  <c r="AV411" i="2"/>
  <c r="AV410" i="2"/>
  <c r="AV409" i="2"/>
  <c r="AV408" i="2"/>
  <c r="AV407" i="2"/>
  <c r="AV406" i="2"/>
  <c r="AV405" i="2"/>
  <c r="AV404" i="2"/>
  <c r="AV403" i="2"/>
  <c r="AV402" i="2"/>
  <c r="AV401" i="2"/>
  <c r="AV400" i="2"/>
  <c r="AV399" i="2"/>
  <c r="AV398" i="2"/>
  <c r="AV397" i="2"/>
  <c r="AV396" i="2"/>
  <c r="AV395" i="2"/>
  <c r="AV394" i="2"/>
  <c r="AV393" i="2"/>
  <c r="AV392" i="2"/>
  <c r="AV391" i="2"/>
  <c r="AV390" i="2"/>
  <c r="AV389" i="2"/>
  <c r="AV388" i="2"/>
  <c r="AV387" i="2"/>
  <c r="AV386" i="2"/>
  <c r="AV385" i="2"/>
  <c r="AV384" i="2"/>
  <c r="AV383" i="2"/>
  <c r="AV382" i="2"/>
  <c r="AV381" i="2"/>
  <c r="AV380" i="2"/>
  <c r="AV379" i="2"/>
  <c r="AV378" i="2"/>
  <c r="AV377" i="2"/>
  <c r="AV376" i="2"/>
  <c r="AV375" i="2"/>
  <c r="AV374" i="2"/>
  <c r="AV373" i="2"/>
  <c r="AV372" i="2"/>
  <c r="AV371" i="2"/>
  <c r="AV370" i="2"/>
  <c r="AV369" i="2"/>
  <c r="AV368" i="2"/>
  <c r="AV367" i="2"/>
  <c r="AV366" i="2"/>
  <c r="AV365" i="2"/>
  <c r="AV364" i="2"/>
  <c r="AV363" i="2"/>
  <c r="AV362" i="2"/>
  <c r="AV361" i="2"/>
  <c r="AV360" i="2"/>
  <c r="AV359" i="2"/>
  <c r="AV358" i="2"/>
  <c r="AV357" i="2"/>
  <c r="AV356" i="2"/>
  <c r="AV355" i="2"/>
  <c r="AV354" i="2"/>
  <c r="AV353" i="2"/>
  <c r="AV352" i="2"/>
  <c r="AV351" i="2"/>
  <c r="AV350" i="2"/>
  <c r="AV349" i="2"/>
  <c r="AV348" i="2"/>
  <c r="AV347" i="2"/>
  <c r="AV346" i="2"/>
  <c r="AV345" i="2"/>
  <c r="AV344" i="2"/>
  <c r="AV343" i="2"/>
  <c r="AV342" i="2"/>
  <c r="AV341" i="2"/>
  <c r="AV340" i="2"/>
  <c r="AV339" i="2"/>
  <c r="AV338" i="2"/>
  <c r="AV337" i="2"/>
  <c r="AV336" i="2"/>
  <c r="AV335" i="2"/>
  <c r="AV334" i="2"/>
  <c r="AV333" i="2"/>
  <c r="AV332" i="2"/>
  <c r="AV331" i="2"/>
  <c r="AV330" i="2"/>
  <c r="AV329" i="2"/>
  <c r="AV328" i="2"/>
  <c r="AV327" i="2"/>
  <c r="AV326" i="2"/>
  <c r="AV325" i="2"/>
  <c r="AV324" i="2"/>
  <c r="AV323" i="2"/>
  <c r="AV322" i="2"/>
  <c r="AV321" i="2"/>
  <c r="AV320" i="2"/>
  <c r="AV319" i="2"/>
  <c r="AV318" i="2"/>
  <c r="AV317" i="2"/>
  <c r="AV316" i="2"/>
  <c r="AV315" i="2"/>
  <c r="AV314" i="2"/>
  <c r="AV313" i="2"/>
  <c r="AV312" i="2"/>
  <c r="AV311" i="2"/>
  <c r="AV310" i="2"/>
  <c r="AV309" i="2"/>
  <c r="AV308" i="2"/>
  <c r="AV307" i="2"/>
  <c r="AV306" i="2"/>
  <c r="AV305" i="2"/>
  <c r="AV304" i="2"/>
  <c r="AV303" i="2"/>
  <c r="AV302" i="2"/>
  <c r="AV301" i="2"/>
  <c r="AV300" i="2"/>
  <c r="AV299" i="2"/>
  <c r="AV298" i="2"/>
  <c r="AV297" i="2"/>
  <c r="AV296" i="2"/>
  <c r="AV295" i="2"/>
  <c r="AV294" i="2"/>
  <c r="AV293" i="2"/>
  <c r="AV292" i="2"/>
  <c r="AV291" i="2"/>
  <c r="AV290" i="2"/>
  <c r="AV289" i="2"/>
  <c r="AV288" i="2"/>
  <c r="AV287" i="2"/>
  <c r="AV286" i="2"/>
  <c r="AV285" i="2"/>
  <c r="AV284" i="2"/>
  <c r="AV283" i="2"/>
  <c r="AV282" i="2"/>
  <c r="AV281" i="2"/>
  <c r="AV280" i="2"/>
  <c r="AV279" i="2"/>
  <c r="AV278" i="2"/>
  <c r="AV277" i="2"/>
  <c r="AV276" i="2"/>
  <c r="AV275" i="2"/>
  <c r="AV274" i="2"/>
  <c r="AV273" i="2"/>
  <c r="AV272" i="2"/>
  <c r="AV271" i="2"/>
  <c r="AV270" i="2"/>
  <c r="AV269" i="2"/>
  <c r="AV268" i="2"/>
  <c r="AV267" i="2"/>
  <c r="AV266" i="2"/>
  <c r="AV265" i="2"/>
  <c r="AV264" i="2"/>
  <c r="AV263" i="2"/>
  <c r="AV262" i="2"/>
  <c r="AV261" i="2"/>
  <c r="AV260" i="2"/>
  <c r="AV259" i="2"/>
  <c r="AV258" i="2"/>
  <c r="AV257" i="2"/>
  <c r="AV256" i="2"/>
  <c r="AV255" i="2"/>
  <c r="AV254" i="2"/>
  <c r="AV253" i="2"/>
  <c r="AV252" i="2"/>
  <c r="AV251" i="2"/>
  <c r="AV250" i="2"/>
  <c r="AV249" i="2"/>
  <c r="AV248" i="2"/>
  <c r="AV247" i="2"/>
  <c r="AV246" i="2"/>
  <c r="AV245" i="2"/>
  <c r="AV244" i="2"/>
  <c r="AV243" i="2"/>
  <c r="AV242" i="2"/>
  <c r="AV241" i="2"/>
  <c r="AV240" i="2"/>
  <c r="AV239" i="2"/>
  <c r="AV238" i="2"/>
  <c r="AV237" i="2"/>
  <c r="AV236" i="2"/>
  <c r="AV235" i="2"/>
  <c r="AV234" i="2"/>
  <c r="AV233" i="2"/>
  <c r="AV232" i="2"/>
  <c r="AV231" i="2"/>
  <c r="AV230" i="2"/>
  <c r="AV229" i="2"/>
  <c r="AV228" i="2"/>
  <c r="AV227" i="2"/>
  <c r="AV226" i="2"/>
  <c r="AV225" i="2"/>
  <c r="AV224" i="2"/>
  <c r="AV223" i="2"/>
  <c r="AV222" i="2"/>
  <c r="AV221" i="2"/>
  <c r="AV220" i="2"/>
  <c r="AV219" i="2"/>
  <c r="AV218" i="2"/>
  <c r="AV217" i="2"/>
  <c r="AV216" i="2"/>
  <c r="AV215" i="2"/>
  <c r="AV214" i="2"/>
  <c r="AV213" i="2"/>
  <c r="AV212" i="2"/>
  <c r="AV211" i="2"/>
  <c r="AV210" i="2"/>
  <c r="AV209" i="2"/>
  <c r="AV208" i="2"/>
  <c r="AV207" i="2"/>
  <c r="AV206" i="2"/>
  <c r="AV205" i="2"/>
  <c r="AV204" i="2"/>
  <c r="AV203" i="2"/>
  <c r="AV202" i="2"/>
  <c r="AV201" i="2"/>
  <c r="AV200" i="2"/>
  <c r="AV199" i="2"/>
  <c r="AV198" i="2"/>
  <c r="AV197" i="2"/>
  <c r="AV196" i="2"/>
  <c r="AV195" i="2"/>
  <c r="AV194" i="2"/>
  <c r="AV193" i="2"/>
  <c r="AV192" i="2"/>
  <c r="AV191" i="2"/>
  <c r="AV190" i="2"/>
  <c r="AV189" i="2"/>
  <c r="AV188" i="2"/>
  <c r="AV187" i="2"/>
  <c r="AV186" i="2"/>
  <c r="AV185" i="2"/>
  <c r="AV184" i="2"/>
  <c r="AV183" i="2"/>
  <c r="AV182" i="2"/>
  <c r="AV181" i="2"/>
  <c r="AV180" i="2"/>
  <c r="AV179" i="2"/>
  <c r="AV178" i="2"/>
  <c r="AV177" i="2"/>
  <c r="AV176" i="2"/>
  <c r="AV175" i="2"/>
  <c r="AV174" i="2"/>
  <c r="AV173" i="2"/>
  <c r="AV172" i="2"/>
  <c r="AV171" i="2"/>
  <c r="AV170" i="2"/>
  <c r="AV169" i="2"/>
  <c r="AV168" i="2"/>
  <c r="AV167" i="2"/>
  <c r="AV166" i="2"/>
  <c r="AV165" i="2"/>
  <c r="AV164" i="2"/>
  <c r="AV163" i="2"/>
  <c r="AV162" i="2"/>
  <c r="AV161" i="2"/>
  <c r="AV160" i="2"/>
  <c r="AV159" i="2"/>
  <c r="AV158" i="2"/>
  <c r="AV157" i="2"/>
  <c r="AV156" i="2"/>
  <c r="AV155" i="2"/>
  <c r="AV154" i="2"/>
  <c r="AV153" i="2"/>
  <c r="AV152" i="2"/>
  <c r="AV151" i="2"/>
  <c r="AV150" i="2"/>
  <c r="AV149" i="2"/>
  <c r="AV148" i="2"/>
  <c r="AV147" i="2"/>
  <c r="AV146" i="2"/>
  <c r="AV145" i="2"/>
  <c r="AV144" i="2"/>
  <c r="AV143" i="2"/>
  <c r="AV142" i="2"/>
  <c r="AV141" i="2"/>
  <c r="AV140" i="2"/>
  <c r="AV139" i="2"/>
  <c r="AV138" i="2"/>
  <c r="AV137" i="2"/>
  <c r="AV136" i="2"/>
  <c r="AV135" i="2"/>
  <c r="AV134" i="2"/>
  <c r="AV133" i="2"/>
  <c r="AV132" i="2"/>
  <c r="AV131" i="2"/>
  <c r="AV130" i="2"/>
  <c r="AV129" i="2"/>
  <c r="AV128" i="2"/>
  <c r="AV127" i="2"/>
  <c r="AV126" i="2"/>
  <c r="AV125" i="2"/>
  <c r="AV124" i="2"/>
  <c r="AV123" i="2"/>
  <c r="AV122" i="2"/>
  <c r="AV121" i="2"/>
  <c r="AV120" i="2"/>
  <c r="AV119" i="2"/>
  <c r="AV118" i="2"/>
  <c r="AV117" i="2"/>
  <c r="AV116" i="2"/>
  <c r="AV115" i="2"/>
  <c r="AV114" i="2"/>
  <c r="AV113" i="2"/>
  <c r="AV112" i="2"/>
  <c r="AV111" i="2"/>
  <c r="AV110" i="2"/>
  <c r="AV109" i="2"/>
  <c r="AV108" i="2"/>
  <c r="AV107" i="2"/>
  <c r="AV106" i="2"/>
  <c r="AV105" i="2"/>
  <c r="AV104" i="2"/>
  <c r="AV103" i="2"/>
  <c r="AV102" i="2"/>
  <c r="AV101" i="2"/>
  <c r="AV100" i="2"/>
  <c r="AV99" i="2"/>
  <c r="AV98" i="2"/>
  <c r="AV97" i="2"/>
  <c r="AV96" i="2"/>
  <c r="AV95" i="2"/>
  <c r="AV94" i="2"/>
  <c r="AV93" i="2"/>
  <c r="AV92" i="2"/>
  <c r="AV91" i="2"/>
  <c r="AV90" i="2"/>
  <c r="AV89" i="2"/>
  <c r="AV88" i="2"/>
  <c r="AV87" i="2"/>
  <c r="AV86" i="2"/>
  <c r="AV85" i="2"/>
  <c r="AV84" i="2"/>
  <c r="AV83" i="2"/>
  <c r="AV82" i="2"/>
  <c r="AV81" i="2"/>
  <c r="AV80" i="2"/>
  <c r="AV79" i="2"/>
  <c r="AV78" i="2"/>
  <c r="AV77" i="2"/>
  <c r="AV76" i="2"/>
  <c r="AV75" i="2"/>
  <c r="AV74" i="2"/>
  <c r="AV73" i="2"/>
  <c r="AV72" i="2"/>
  <c r="AV71" i="2"/>
  <c r="AV70" i="2"/>
  <c r="AV69" i="2"/>
  <c r="AV68" i="2"/>
  <c r="AV67" i="2"/>
  <c r="AV66" i="2"/>
  <c r="AV65" i="2"/>
  <c r="AV64" i="2"/>
  <c r="AV63" i="2"/>
  <c r="AV62" i="2"/>
  <c r="AV61" i="2"/>
  <c r="AV60" i="2"/>
  <c r="AV59" i="2"/>
  <c r="AV58" i="2"/>
  <c r="AV57" i="2"/>
  <c r="AV56" i="2"/>
  <c r="AV55" i="2"/>
  <c r="AV54" i="2"/>
  <c r="AV53" i="2"/>
  <c r="AV52" i="2"/>
  <c r="AV51" i="2"/>
  <c r="AV50" i="2"/>
  <c r="AV49" i="2"/>
  <c r="AV48" i="2"/>
  <c r="AV47" i="2"/>
  <c r="AV46" i="2"/>
  <c r="AV45" i="2"/>
  <c r="AV44" i="2"/>
  <c r="AV43" i="2"/>
  <c r="AV42" i="2"/>
  <c r="AV41" i="2"/>
  <c r="AV40" i="2"/>
  <c r="AV39" i="2"/>
  <c r="AV38" i="2"/>
  <c r="AV37" i="2"/>
  <c r="AV36" i="2"/>
  <c r="AV35" i="2"/>
  <c r="AV34" i="2"/>
  <c r="AV33" i="2"/>
  <c r="AV32" i="2"/>
  <c r="AV31" i="2"/>
  <c r="AV30" i="2"/>
  <c r="AV29" i="2"/>
  <c r="AV28" i="2"/>
  <c r="AV27" i="2"/>
  <c r="AV26" i="2"/>
  <c r="AV25" i="2"/>
  <c r="AV24" i="2"/>
  <c r="AV23" i="2"/>
  <c r="AV22" i="2"/>
  <c r="AV21" i="2"/>
  <c r="AV20" i="2"/>
  <c r="AV19" i="2"/>
  <c r="AV18" i="2"/>
  <c r="AV17" i="2"/>
  <c r="AV16" i="2"/>
  <c r="AV15" i="2"/>
  <c r="AV14" i="2"/>
  <c r="AV13" i="2"/>
  <c r="AV12" i="2"/>
  <c r="AV11" i="2"/>
  <c r="AV10" i="2"/>
  <c r="AV9" i="2"/>
  <c r="AV8" i="2"/>
  <c r="AV7" i="2"/>
  <c r="AV6" i="2"/>
  <c r="AV5" i="2"/>
  <c r="AV4" i="2"/>
  <c r="AV3" i="2"/>
  <c r="AS448" i="2"/>
  <c r="AS447" i="2"/>
  <c r="AS446" i="2"/>
  <c r="AS445" i="2"/>
  <c r="AS444" i="2"/>
  <c r="AS443" i="2"/>
  <c r="AS442" i="2"/>
  <c r="AS441" i="2"/>
  <c r="AS440" i="2"/>
  <c r="AS439" i="2"/>
  <c r="AS438" i="2"/>
  <c r="AS437" i="2"/>
  <c r="AS436" i="2"/>
  <c r="AS435" i="2"/>
  <c r="AS434" i="2"/>
  <c r="AS433" i="2"/>
  <c r="AS432" i="2"/>
  <c r="AS431" i="2"/>
  <c r="AS430" i="2"/>
  <c r="AS429" i="2"/>
  <c r="AS428" i="2"/>
  <c r="AS427" i="2"/>
  <c r="AS426" i="2"/>
  <c r="AS425" i="2"/>
  <c r="AS424" i="2"/>
  <c r="AS423" i="2"/>
  <c r="AS422" i="2"/>
  <c r="AS421" i="2"/>
  <c r="AS420" i="2"/>
  <c r="AS419" i="2"/>
  <c r="AS418" i="2"/>
  <c r="AS417" i="2"/>
  <c r="AS416" i="2"/>
  <c r="AS415" i="2"/>
  <c r="AS414" i="2"/>
  <c r="AS413" i="2"/>
  <c r="AS412" i="2"/>
  <c r="AS411" i="2"/>
  <c r="AS410" i="2"/>
  <c r="AS409" i="2"/>
  <c r="AS408" i="2"/>
  <c r="AS407" i="2"/>
  <c r="AS406" i="2"/>
  <c r="AS405" i="2"/>
  <c r="AS404" i="2"/>
  <c r="AS403" i="2"/>
  <c r="AS402" i="2"/>
  <c r="AS401" i="2"/>
  <c r="AS400" i="2"/>
  <c r="AS399" i="2"/>
  <c r="AS398" i="2"/>
  <c r="AS397" i="2"/>
  <c r="AS396" i="2"/>
  <c r="AS395" i="2"/>
  <c r="AS394" i="2"/>
  <c r="AS393" i="2"/>
  <c r="AS392" i="2"/>
  <c r="AS391" i="2"/>
  <c r="AS390" i="2"/>
  <c r="AS389" i="2"/>
  <c r="AS388" i="2"/>
  <c r="AS387" i="2"/>
  <c r="AS386" i="2"/>
  <c r="AS385" i="2"/>
  <c r="AS384" i="2"/>
  <c r="AS383" i="2"/>
  <c r="AS382" i="2"/>
  <c r="AS381" i="2"/>
  <c r="AS380" i="2"/>
  <c r="AS379" i="2"/>
  <c r="AS378" i="2"/>
  <c r="AS377" i="2"/>
  <c r="AS376" i="2"/>
  <c r="AS375" i="2"/>
  <c r="AS374" i="2"/>
  <c r="AS373" i="2"/>
  <c r="AS372" i="2"/>
  <c r="AS371" i="2"/>
  <c r="AS370" i="2"/>
  <c r="AS369" i="2"/>
  <c r="AS368" i="2"/>
  <c r="AS367" i="2"/>
  <c r="AS366" i="2"/>
  <c r="AS365" i="2"/>
  <c r="AS364" i="2"/>
  <c r="AS363" i="2"/>
  <c r="AS362" i="2"/>
  <c r="AS361" i="2"/>
  <c r="AS360" i="2"/>
  <c r="AS359" i="2"/>
  <c r="AS358" i="2"/>
  <c r="AS357" i="2"/>
  <c r="AS356" i="2"/>
  <c r="AS355" i="2"/>
  <c r="AS354" i="2"/>
  <c r="AS353" i="2"/>
  <c r="AS352" i="2"/>
  <c r="AS351" i="2"/>
  <c r="AS350" i="2"/>
  <c r="AS349" i="2"/>
  <c r="AS348" i="2"/>
  <c r="AS347" i="2"/>
  <c r="AS346" i="2"/>
  <c r="AS345" i="2"/>
  <c r="AS344" i="2"/>
  <c r="AS343" i="2"/>
  <c r="AS342" i="2"/>
  <c r="AS341" i="2"/>
  <c r="AS340" i="2"/>
  <c r="AS339" i="2"/>
  <c r="AS338" i="2"/>
  <c r="AS337" i="2"/>
  <c r="AS336" i="2"/>
  <c r="AS335" i="2"/>
  <c r="AS334" i="2"/>
  <c r="AS333" i="2"/>
  <c r="AS332" i="2"/>
  <c r="AS331" i="2"/>
  <c r="AS330" i="2"/>
  <c r="AS329" i="2"/>
  <c r="AS328" i="2"/>
  <c r="AS327" i="2"/>
  <c r="AS326" i="2"/>
  <c r="AS325" i="2"/>
  <c r="AS324" i="2"/>
  <c r="AS323" i="2"/>
  <c r="AS322" i="2"/>
  <c r="AS321" i="2"/>
  <c r="AS320" i="2"/>
  <c r="AS319" i="2"/>
  <c r="AS318" i="2"/>
  <c r="AS317" i="2"/>
  <c r="AS316" i="2"/>
  <c r="AS315" i="2"/>
  <c r="AS314" i="2"/>
  <c r="AS313" i="2"/>
  <c r="AS312" i="2"/>
  <c r="AS311" i="2"/>
  <c r="AS310" i="2"/>
  <c r="AS309" i="2"/>
  <c r="AS308" i="2"/>
  <c r="AS307" i="2"/>
  <c r="AS306" i="2"/>
  <c r="AS305" i="2"/>
  <c r="AS304" i="2"/>
  <c r="AS303" i="2"/>
  <c r="AS302" i="2"/>
  <c r="AS301" i="2"/>
  <c r="AS300" i="2"/>
  <c r="AS299" i="2"/>
  <c r="AS298" i="2"/>
  <c r="AS297" i="2"/>
  <c r="AS296" i="2"/>
  <c r="AS295" i="2"/>
  <c r="AS294" i="2"/>
  <c r="AS293" i="2"/>
  <c r="AS292" i="2"/>
  <c r="AS291" i="2"/>
  <c r="AS290" i="2"/>
  <c r="AS289" i="2"/>
  <c r="AS288" i="2"/>
  <c r="AS287" i="2"/>
  <c r="AS286" i="2"/>
  <c r="AS285" i="2"/>
  <c r="AS284" i="2"/>
  <c r="AS283" i="2"/>
  <c r="AS282" i="2"/>
  <c r="AS281" i="2"/>
  <c r="AS280" i="2"/>
  <c r="AS279" i="2"/>
  <c r="AS278" i="2"/>
  <c r="AS277" i="2"/>
  <c r="AS276" i="2"/>
  <c r="AS275" i="2"/>
  <c r="AS274" i="2"/>
  <c r="AS273" i="2"/>
  <c r="AS272" i="2"/>
  <c r="AS271" i="2"/>
  <c r="AS270" i="2"/>
  <c r="AS269" i="2"/>
  <c r="AS268" i="2"/>
  <c r="AS267" i="2"/>
  <c r="AS266" i="2"/>
  <c r="AS265" i="2"/>
  <c r="AS264" i="2"/>
  <c r="AS263" i="2"/>
  <c r="AS262" i="2"/>
  <c r="AS261" i="2"/>
  <c r="AS260" i="2"/>
  <c r="AS259" i="2"/>
  <c r="AS258" i="2"/>
  <c r="AS257" i="2"/>
  <c r="AS256" i="2"/>
  <c r="AS255" i="2"/>
  <c r="AS254" i="2"/>
  <c r="AS253" i="2"/>
  <c r="AS252" i="2"/>
  <c r="AS251" i="2"/>
  <c r="AS250" i="2"/>
  <c r="AS249" i="2"/>
  <c r="AS248" i="2"/>
  <c r="AS247" i="2"/>
  <c r="AS246" i="2"/>
  <c r="AS245" i="2"/>
  <c r="AS244" i="2"/>
  <c r="AS243" i="2"/>
  <c r="AS242" i="2"/>
  <c r="AS241" i="2"/>
  <c r="AS240" i="2"/>
  <c r="AS239" i="2"/>
  <c r="AS238" i="2"/>
  <c r="AS237" i="2"/>
  <c r="AS236" i="2"/>
  <c r="AS235" i="2"/>
  <c r="AS234" i="2"/>
  <c r="AS233" i="2"/>
  <c r="AS232" i="2"/>
  <c r="AS231" i="2"/>
  <c r="AS230" i="2"/>
  <c r="AS229" i="2"/>
  <c r="AS228" i="2"/>
  <c r="AS227" i="2"/>
  <c r="AS226" i="2"/>
  <c r="AS225" i="2"/>
  <c r="AS224" i="2"/>
  <c r="AS223" i="2"/>
  <c r="AS222" i="2"/>
  <c r="AS221" i="2"/>
  <c r="AS220" i="2"/>
  <c r="AS219" i="2"/>
  <c r="AS218" i="2"/>
  <c r="AS217" i="2"/>
  <c r="AS216" i="2"/>
  <c r="AS215" i="2"/>
  <c r="AS214" i="2"/>
  <c r="AS213" i="2"/>
  <c r="AS212" i="2"/>
  <c r="AS211" i="2"/>
  <c r="AS210" i="2"/>
  <c r="AS209" i="2"/>
  <c r="AS208" i="2"/>
  <c r="AS207" i="2"/>
  <c r="AS206" i="2"/>
  <c r="AS205" i="2"/>
  <c r="AS204" i="2"/>
  <c r="AS203" i="2"/>
  <c r="AS202" i="2"/>
  <c r="AS201" i="2"/>
  <c r="AS200" i="2"/>
  <c r="AS199" i="2"/>
  <c r="AS198" i="2"/>
  <c r="AS197" i="2"/>
  <c r="AS196" i="2"/>
  <c r="AS195" i="2"/>
  <c r="AS194" i="2"/>
  <c r="AS193" i="2"/>
  <c r="AS192" i="2"/>
  <c r="AS191" i="2"/>
  <c r="AS190" i="2"/>
  <c r="AS189" i="2"/>
  <c r="AS188" i="2"/>
  <c r="AS187" i="2"/>
  <c r="AS186" i="2"/>
  <c r="AS185" i="2"/>
  <c r="AS184" i="2"/>
  <c r="AS183" i="2"/>
  <c r="AS182" i="2"/>
  <c r="AS181" i="2"/>
  <c r="AS180" i="2"/>
  <c r="AS179" i="2"/>
  <c r="AS178" i="2"/>
  <c r="AS177" i="2"/>
  <c r="AS176" i="2"/>
  <c r="AS175" i="2"/>
  <c r="AS174" i="2"/>
  <c r="AS173" i="2"/>
  <c r="AS172" i="2"/>
  <c r="AS171" i="2"/>
  <c r="AS170" i="2"/>
  <c r="AS169" i="2"/>
  <c r="AS168" i="2"/>
  <c r="AS167" i="2"/>
  <c r="AS166" i="2"/>
  <c r="AS165" i="2"/>
  <c r="AS164" i="2"/>
  <c r="AS163" i="2"/>
  <c r="AS162" i="2"/>
  <c r="AS161" i="2"/>
  <c r="AS160" i="2"/>
  <c r="AS159" i="2"/>
  <c r="AS158" i="2"/>
  <c r="AS157" i="2"/>
  <c r="AS156" i="2"/>
  <c r="AS155" i="2"/>
  <c r="AS154" i="2"/>
  <c r="AS153" i="2"/>
  <c r="AS152" i="2"/>
  <c r="AS151" i="2"/>
  <c r="AS150" i="2"/>
  <c r="AS149" i="2"/>
  <c r="AS148" i="2"/>
  <c r="AS147" i="2"/>
  <c r="AS146" i="2"/>
  <c r="AS145" i="2"/>
  <c r="AS144" i="2"/>
  <c r="AS143" i="2"/>
  <c r="AS142" i="2"/>
  <c r="AS141" i="2"/>
  <c r="AS140" i="2"/>
  <c r="AS139" i="2"/>
  <c r="AS138" i="2"/>
  <c r="AS137" i="2"/>
  <c r="AS136" i="2"/>
  <c r="AS135" i="2"/>
  <c r="AS134" i="2"/>
  <c r="AS133" i="2"/>
  <c r="AS132" i="2"/>
  <c r="AS131" i="2"/>
  <c r="AS130" i="2"/>
  <c r="AS129" i="2"/>
  <c r="AS128" i="2"/>
  <c r="AS127" i="2"/>
  <c r="AS126" i="2"/>
  <c r="AS125" i="2"/>
  <c r="AS124" i="2"/>
  <c r="AS123" i="2"/>
  <c r="AS122" i="2"/>
  <c r="AS121" i="2"/>
  <c r="AS120" i="2"/>
  <c r="AS119" i="2"/>
  <c r="AS118" i="2"/>
  <c r="AS117" i="2"/>
  <c r="AS116" i="2"/>
  <c r="AS115" i="2"/>
  <c r="AS114" i="2"/>
  <c r="AS113" i="2"/>
  <c r="AS112" i="2"/>
  <c r="AS111" i="2"/>
  <c r="AS110" i="2"/>
  <c r="AS109" i="2"/>
  <c r="AS108" i="2"/>
  <c r="AS107" i="2"/>
  <c r="AS106" i="2"/>
  <c r="AS105" i="2"/>
  <c r="AS104" i="2"/>
  <c r="AS103" i="2"/>
  <c r="AS102" i="2"/>
  <c r="AS101" i="2"/>
  <c r="AS100" i="2"/>
  <c r="AS99" i="2"/>
  <c r="AS98" i="2"/>
  <c r="AS97" i="2"/>
  <c r="AS96" i="2"/>
  <c r="AS95" i="2"/>
  <c r="AS94" i="2"/>
  <c r="AS93" i="2"/>
  <c r="AS92" i="2"/>
  <c r="AS91" i="2"/>
  <c r="AS90" i="2"/>
  <c r="AS89" i="2"/>
  <c r="AS88" i="2"/>
  <c r="AS87" i="2"/>
  <c r="AS86" i="2"/>
  <c r="AS85" i="2"/>
  <c r="AS84" i="2"/>
  <c r="AS83" i="2"/>
  <c r="AS82" i="2"/>
  <c r="AS81" i="2"/>
  <c r="AS80" i="2"/>
  <c r="AS79" i="2"/>
  <c r="AS78" i="2"/>
  <c r="AS77" i="2"/>
  <c r="AS76" i="2"/>
  <c r="AS75" i="2"/>
  <c r="AS74" i="2"/>
  <c r="AS73" i="2"/>
  <c r="AS72" i="2"/>
  <c r="AS71" i="2"/>
  <c r="AS70" i="2"/>
  <c r="AS69" i="2"/>
  <c r="AS68" i="2"/>
  <c r="AS67" i="2"/>
  <c r="AS66" i="2"/>
  <c r="AS65" i="2"/>
  <c r="AS64" i="2"/>
  <c r="AS63" i="2"/>
  <c r="AS62" i="2"/>
  <c r="AS61" i="2"/>
  <c r="AS60" i="2"/>
  <c r="AS59" i="2"/>
  <c r="AS58" i="2"/>
  <c r="AS57" i="2"/>
  <c r="AS56" i="2"/>
  <c r="AS55" i="2"/>
  <c r="AS54" i="2"/>
  <c r="AS53" i="2"/>
  <c r="AS52" i="2"/>
  <c r="AS51" i="2"/>
  <c r="AS50" i="2"/>
  <c r="AS49" i="2"/>
  <c r="AS48" i="2"/>
  <c r="AS47" i="2"/>
  <c r="AS46" i="2"/>
  <c r="AS45" i="2"/>
  <c r="AS44" i="2"/>
  <c r="AS43" i="2"/>
  <c r="AS42" i="2"/>
  <c r="AS41" i="2"/>
  <c r="AS40" i="2"/>
  <c r="AS39" i="2"/>
  <c r="AS38" i="2"/>
  <c r="AS37" i="2"/>
  <c r="AS36" i="2"/>
  <c r="AS35" i="2"/>
  <c r="AS34" i="2"/>
  <c r="AS33" i="2"/>
  <c r="AS32" i="2"/>
  <c r="AS31" i="2"/>
  <c r="AS30" i="2"/>
  <c r="AS29" i="2"/>
  <c r="AS28" i="2"/>
  <c r="AS27" i="2"/>
  <c r="AS26" i="2"/>
  <c r="AS25" i="2"/>
  <c r="AS24" i="2"/>
  <c r="AS23" i="2"/>
  <c r="AS22" i="2"/>
  <c r="AS21" i="2"/>
  <c r="AS20" i="2"/>
  <c r="AS19" i="2"/>
  <c r="AS18" i="2"/>
  <c r="AS17" i="2"/>
  <c r="AS16" i="2"/>
  <c r="AS15" i="2"/>
  <c r="AS14" i="2"/>
  <c r="AS13" i="2"/>
  <c r="AS12" i="2"/>
  <c r="AS11" i="2"/>
  <c r="AS10" i="2"/>
  <c r="AS9" i="2"/>
  <c r="AS8" i="2"/>
  <c r="AS7" i="2"/>
  <c r="AS6" i="2"/>
  <c r="AS5" i="2"/>
  <c r="AS4" i="2"/>
  <c r="AS3" i="2"/>
  <c r="AP448" i="2"/>
  <c r="AP447" i="2"/>
  <c r="AP446" i="2"/>
  <c r="AP445" i="2"/>
  <c r="AP444" i="2"/>
  <c r="AP443" i="2"/>
  <c r="AP442" i="2"/>
  <c r="AP441" i="2"/>
  <c r="AP440" i="2"/>
  <c r="AP439" i="2"/>
  <c r="AP438" i="2"/>
  <c r="AP437" i="2"/>
  <c r="AP436" i="2"/>
  <c r="AP435" i="2"/>
  <c r="AP434" i="2"/>
  <c r="AP433" i="2"/>
  <c r="AP432" i="2"/>
  <c r="AP431" i="2"/>
  <c r="AP430" i="2"/>
  <c r="AP429" i="2"/>
  <c r="AP428" i="2"/>
  <c r="AP427" i="2"/>
  <c r="AP426" i="2"/>
  <c r="AP425" i="2"/>
  <c r="AP424" i="2"/>
  <c r="AP423" i="2"/>
  <c r="AP422" i="2"/>
  <c r="AP421" i="2"/>
  <c r="AP420" i="2"/>
  <c r="AP419" i="2"/>
  <c r="AP418" i="2"/>
  <c r="AP417" i="2"/>
  <c r="AP416" i="2"/>
  <c r="AP415" i="2"/>
  <c r="AP414" i="2"/>
  <c r="AP413" i="2"/>
  <c r="AP412" i="2"/>
  <c r="AP411" i="2"/>
  <c r="AP410" i="2"/>
  <c r="AP409" i="2"/>
  <c r="AP408" i="2"/>
  <c r="AP407" i="2"/>
  <c r="AP406" i="2"/>
  <c r="AP405" i="2"/>
  <c r="AP404" i="2"/>
  <c r="AP403" i="2"/>
  <c r="AP402" i="2"/>
  <c r="AP401" i="2"/>
  <c r="AP400" i="2"/>
  <c r="AP399" i="2"/>
  <c r="AP398" i="2"/>
  <c r="AP397" i="2"/>
  <c r="AP396" i="2"/>
  <c r="AP395" i="2"/>
  <c r="AP394" i="2"/>
  <c r="AP393" i="2"/>
  <c r="AP392" i="2"/>
  <c r="AP391" i="2"/>
  <c r="AP390" i="2"/>
  <c r="AP389" i="2"/>
  <c r="AP388" i="2"/>
  <c r="AP387" i="2"/>
  <c r="AP386" i="2"/>
  <c r="AP385" i="2"/>
  <c r="AP384" i="2"/>
  <c r="AP383" i="2"/>
  <c r="AP382" i="2"/>
  <c r="AP381" i="2"/>
  <c r="AP380" i="2"/>
  <c r="AP379" i="2"/>
  <c r="AP378" i="2"/>
  <c r="AP377" i="2"/>
  <c r="AP376" i="2"/>
  <c r="AP375" i="2"/>
  <c r="AP374" i="2"/>
  <c r="AP373" i="2"/>
  <c r="AP372" i="2"/>
  <c r="AP371" i="2"/>
  <c r="AP370" i="2"/>
  <c r="AP369" i="2"/>
  <c r="AP368" i="2"/>
  <c r="AP367" i="2"/>
  <c r="AP366" i="2"/>
  <c r="AP365" i="2"/>
  <c r="AP364" i="2"/>
  <c r="AP363" i="2"/>
  <c r="AP362" i="2"/>
  <c r="AP361" i="2"/>
  <c r="AP360" i="2"/>
  <c r="AP359" i="2"/>
  <c r="AP358" i="2"/>
  <c r="AP357" i="2"/>
  <c r="AP356" i="2"/>
  <c r="AP355" i="2"/>
  <c r="AP354" i="2"/>
  <c r="AP353" i="2"/>
  <c r="AP352" i="2"/>
  <c r="AP351" i="2"/>
  <c r="AP350" i="2"/>
  <c r="AP349" i="2"/>
  <c r="AP348" i="2"/>
  <c r="AP347" i="2"/>
  <c r="AP346" i="2"/>
  <c r="AP345" i="2"/>
  <c r="AP344" i="2"/>
  <c r="AP343" i="2"/>
  <c r="AP342" i="2"/>
  <c r="AP341" i="2"/>
  <c r="AP340" i="2"/>
  <c r="AP339" i="2"/>
  <c r="AP338" i="2"/>
  <c r="AP337" i="2"/>
  <c r="AP336" i="2"/>
  <c r="AP335" i="2"/>
  <c r="AP334" i="2"/>
  <c r="AP333" i="2"/>
  <c r="AP332" i="2"/>
  <c r="AP331" i="2"/>
  <c r="AP330" i="2"/>
  <c r="AP329" i="2"/>
  <c r="AP328" i="2"/>
  <c r="AP327" i="2"/>
  <c r="AP326" i="2"/>
  <c r="AP325" i="2"/>
  <c r="AP324" i="2"/>
  <c r="AP323" i="2"/>
  <c r="AP322" i="2"/>
  <c r="AP321" i="2"/>
  <c r="AP320" i="2"/>
  <c r="AP319" i="2"/>
  <c r="AP318" i="2"/>
  <c r="AP317" i="2"/>
  <c r="AP316" i="2"/>
  <c r="AP315" i="2"/>
  <c r="AP314" i="2"/>
  <c r="AP313" i="2"/>
  <c r="AP312" i="2"/>
  <c r="AP311" i="2"/>
  <c r="AP310" i="2"/>
  <c r="AP309" i="2"/>
  <c r="AP308" i="2"/>
  <c r="AP307" i="2"/>
  <c r="AP306" i="2"/>
  <c r="AP305" i="2"/>
  <c r="AP304" i="2"/>
  <c r="AP303" i="2"/>
  <c r="AP302" i="2"/>
  <c r="AP301" i="2"/>
  <c r="AP300" i="2"/>
  <c r="AP299" i="2"/>
  <c r="AP298" i="2"/>
  <c r="AP297" i="2"/>
  <c r="AP296" i="2"/>
  <c r="AP295" i="2"/>
  <c r="AP294" i="2"/>
  <c r="AP293" i="2"/>
  <c r="AP292" i="2"/>
  <c r="AP291" i="2"/>
  <c r="AP290" i="2"/>
  <c r="AP289" i="2"/>
  <c r="AP288" i="2"/>
  <c r="AP287" i="2"/>
  <c r="AP286" i="2"/>
  <c r="AP285" i="2"/>
  <c r="AP284" i="2"/>
  <c r="AP283" i="2"/>
  <c r="AP282" i="2"/>
  <c r="AP281" i="2"/>
  <c r="AP280" i="2"/>
  <c r="AP279" i="2"/>
  <c r="AP278" i="2"/>
  <c r="AP277" i="2"/>
  <c r="AP276" i="2"/>
  <c r="AP275" i="2"/>
  <c r="AP274" i="2"/>
  <c r="AP273" i="2"/>
  <c r="AP272" i="2"/>
  <c r="AP271" i="2"/>
  <c r="AP270" i="2"/>
  <c r="AP269" i="2"/>
  <c r="AP268" i="2"/>
  <c r="AP267" i="2"/>
  <c r="AP266" i="2"/>
  <c r="AP265" i="2"/>
  <c r="AP264" i="2"/>
  <c r="AP263" i="2"/>
  <c r="AP262" i="2"/>
  <c r="AP261" i="2"/>
  <c r="AP260" i="2"/>
  <c r="AP259" i="2"/>
  <c r="AP258" i="2"/>
  <c r="AP257" i="2"/>
  <c r="AP256" i="2"/>
  <c r="AP255" i="2"/>
  <c r="AP254" i="2"/>
  <c r="AP253" i="2"/>
  <c r="AP252" i="2"/>
  <c r="AP251" i="2"/>
  <c r="AP250" i="2"/>
  <c r="AP249" i="2"/>
  <c r="AP248" i="2"/>
  <c r="AP247" i="2"/>
  <c r="AP246" i="2"/>
  <c r="AP245" i="2"/>
  <c r="AP244" i="2"/>
  <c r="AP243" i="2"/>
  <c r="AP242" i="2"/>
  <c r="AP241" i="2"/>
  <c r="AP240" i="2"/>
  <c r="AP239" i="2"/>
  <c r="AP238" i="2"/>
  <c r="AP237" i="2"/>
  <c r="AP236" i="2"/>
  <c r="AP235" i="2"/>
  <c r="AP234" i="2"/>
  <c r="AP233" i="2"/>
  <c r="AP232" i="2"/>
  <c r="AP231" i="2"/>
  <c r="AP230" i="2"/>
  <c r="AP229" i="2"/>
  <c r="AP228" i="2"/>
  <c r="AP227" i="2"/>
  <c r="AP226" i="2"/>
  <c r="AP225" i="2"/>
  <c r="AP224" i="2"/>
  <c r="AP223" i="2"/>
  <c r="AP222" i="2"/>
  <c r="AP221" i="2"/>
  <c r="AP220" i="2"/>
  <c r="AP219" i="2"/>
  <c r="AP218" i="2"/>
  <c r="AP217" i="2"/>
  <c r="AP216" i="2"/>
  <c r="AP215" i="2"/>
  <c r="AP214" i="2"/>
  <c r="AP213" i="2"/>
  <c r="AP212" i="2"/>
  <c r="AP211" i="2"/>
  <c r="AP210" i="2"/>
  <c r="AP209" i="2"/>
  <c r="AP208" i="2"/>
  <c r="AP207" i="2"/>
  <c r="AP206" i="2"/>
  <c r="AP205" i="2"/>
  <c r="AP204" i="2"/>
  <c r="AP203" i="2"/>
  <c r="AP202" i="2"/>
  <c r="AP201" i="2"/>
  <c r="AP200" i="2"/>
  <c r="AP199" i="2"/>
  <c r="AP198" i="2"/>
  <c r="AP197" i="2"/>
  <c r="AP196" i="2"/>
  <c r="AP195" i="2"/>
  <c r="AP194" i="2"/>
  <c r="AP193" i="2"/>
  <c r="AP192" i="2"/>
  <c r="AP191" i="2"/>
  <c r="AP190" i="2"/>
  <c r="AP189" i="2"/>
  <c r="AP188" i="2"/>
  <c r="AP187" i="2"/>
  <c r="AP186" i="2"/>
  <c r="AP185" i="2"/>
  <c r="AP184" i="2"/>
  <c r="AP183" i="2"/>
  <c r="AP182" i="2"/>
  <c r="AP181" i="2"/>
  <c r="AP180" i="2"/>
  <c r="AP179" i="2"/>
  <c r="AP178" i="2"/>
  <c r="AP177" i="2"/>
  <c r="AP176" i="2"/>
  <c r="AP175" i="2"/>
  <c r="AP174" i="2"/>
  <c r="AP173" i="2"/>
  <c r="AP172" i="2"/>
  <c r="AP171" i="2"/>
  <c r="AP170" i="2"/>
  <c r="AP169" i="2"/>
  <c r="AP168" i="2"/>
  <c r="AP167" i="2"/>
  <c r="AP166" i="2"/>
  <c r="AP165" i="2"/>
  <c r="AP164" i="2"/>
  <c r="AP163" i="2"/>
  <c r="AP162" i="2"/>
  <c r="AP161" i="2"/>
  <c r="AP160" i="2"/>
  <c r="AP159" i="2"/>
  <c r="AP158" i="2"/>
  <c r="AP157" i="2"/>
  <c r="AP156" i="2"/>
  <c r="AP155" i="2"/>
  <c r="AP154" i="2"/>
  <c r="AP153" i="2"/>
  <c r="AP152" i="2"/>
  <c r="AP151" i="2"/>
  <c r="AP150" i="2"/>
  <c r="AP149" i="2"/>
  <c r="AP148" i="2"/>
  <c r="AP147" i="2"/>
  <c r="AP146" i="2"/>
  <c r="AP145" i="2"/>
  <c r="AP144" i="2"/>
  <c r="AP143" i="2"/>
  <c r="AP142" i="2"/>
  <c r="AP141" i="2"/>
  <c r="AP140" i="2"/>
  <c r="AP139" i="2"/>
  <c r="AP138" i="2"/>
  <c r="AP137" i="2"/>
  <c r="AP136" i="2"/>
  <c r="AP135" i="2"/>
  <c r="AP134" i="2"/>
  <c r="AP133" i="2"/>
  <c r="AP132" i="2"/>
  <c r="AP131" i="2"/>
  <c r="AP130" i="2"/>
  <c r="AP129" i="2"/>
  <c r="AP128" i="2"/>
  <c r="AP127" i="2"/>
  <c r="AP126" i="2"/>
  <c r="AP125" i="2"/>
  <c r="AP124" i="2"/>
  <c r="AP123" i="2"/>
  <c r="AP122" i="2"/>
  <c r="AP121" i="2"/>
  <c r="AP120" i="2"/>
  <c r="AP119" i="2"/>
  <c r="AP118" i="2"/>
  <c r="AP117" i="2"/>
  <c r="AP116" i="2"/>
  <c r="AP115" i="2"/>
  <c r="AP114" i="2"/>
  <c r="AP113" i="2"/>
  <c r="AP112" i="2"/>
  <c r="AP111" i="2"/>
  <c r="AP110" i="2"/>
  <c r="AP109" i="2"/>
  <c r="AP108" i="2"/>
  <c r="AP107" i="2"/>
  <c r="AP106" i="2"/>
  <c r="AP105" i="2"/>
  <c r="AP104" i="2"/>
  <c r="AP103" i="2"/>
  <c r="AP102" i="2"/>
  <c r="AP101" i="2"/>
  <c r="AP100" i="2"/>
  <c r="AP99" i="2"/>
  <c r="AP98" i="2"/>
  <c r="AP97" i="2"/>
  <c r="AP96" i="2"/>
  <c r="AP95" i="2"/>
  <c r="AP94" i="2"/>
  <c r="AP93" i="2"/>
  <c r="AP92" i="2"/>
  <c r="AP91" i="2"/>
  <c r="AP90" i="2"/>
  <c r="AP89" i="2"/>
  <c r="AP88" i="2"/>
  <c r="AP87" i="2"/>
  <c r="AP86" i="2"/>
  <c r="AP85" i="2"/>
  <c r="AP84" i="2"/>
  <c r="AP83" i="2"/>
  <c r="AP82" i="2"/>
  <c r="AP81" i="2"/>
  <c r="AP80" i="2"/>
  <c r="AP79" i="2"/>
  <c r="AP78" i="2"/>
  <c r="AP77" i="2"/>
  <c r="AP76" i="2"/>
  <c r="AP75" i="2"/>
  <c r="AP74" i="2"/>
  <c r="AP73" i="2"/>
  <c r="AP72" i="2"/>
  <c r="AP71" i="2"/>
  <c r="AP70" i="2"/>
  <c r="AP69" i="2"/>
  <c r="AP68" i="2"/>
  <c r="AP67" i="2"/>
  <c r="AP66" i="2"/>
  <c r="AP65" i="2"/>
  <c r="AP64" i="2"/>
  <c r="AP63" i="2"/>
  <c r="AP62" i="2"/>
  <c r="AP61" i="2"/>
  <c r="AP60" i="2"/>
  <c r="AP59" i="2"/>
  <c r="AP58" i="2"/>
  <c r="AP57" i="2"/>
  <c r="AP56" i="2"/>
  <c r="AP55" i="2"/>
  <c r="AP54" i="2"/>
  <c r="AP53" i="2"/>
  <c r="AP52" i="2"/>
  <c r="AP51" i="2"/>
  <c r="AP50" i="2"/>
  <c r="AP49" i="2"/>
  <c r="AP48" i="2"/>
  <c r="AP47" i="2"/>
  <c r="AP46" i="2"/>
  <c r="AP45" i="2"/>
  <c r="AP44" i="2"/>
  <c r="AP43" i="2"/>
  <c r="AP42" i="2"/>
  <c r="AP41" i="2"/>
  <c r="AP40" i="2"/>
  <c r="AP39" i="2"/>
  <c r="AP38" i="2"/>
  <c r="AP37" i="2"/>
  <c r="AP36" i="2"/>
  <c r="AP35" i="2"/>
  <c r="AP34" i="2"/>
  <c r="AP33" i="2"/>
  <c r="AP32" i="2"/>
  <c r="AP31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P8" i="2"/>
  <c r="AP7" i="2"/>
  <c r="AP6" i="2"/>
  <c r="AP5" i="2"/>
  <c r="AP4" i="2"/>
  <c r="AP3" i="2"/>
  <c r="AM448" i="2"/>
  <c r="AM447" i="2"/>
  <c r="AM446" i="2"/>
  <c r="AM445" i="2"/>
  <c r="AM444" i="2"/>
  <c r="AM443" i="2"/>
  <c r="AM442" i="2"/>
  <c r="AM441" i="2"/>
  <c r="AM440" i="2"/>
  <c r="AM439" i="2"/>
  <c r="AM438" i="2"/>
  <c r="AM437" i="2"/>
  <c r="AM436" i="2"/>
  <c r="AM435" i="2"/>
  <c r="AM434" i="2"/>
  <c r="AM433" i="2"/>
  <c r="AM432" i="2"/>
  <c r="AM431" i="2"/>
  <c r="AM430" i="2"/>
  <c r="AM429" i="2"/>
  <c r="AM428" i="2"/>
  <c r="AM427" i="2"/>
  <c r="AM426" i="2"/>
  <c r="AM425" i="2"/>
  <c r="AM424" i="2"/>
  <c r="AM423" i="2"/>
  <c r="AM422" i="2"/>
  <c r="AM421" i="2"/>
  <c r="AM420" i="2"/>
  <c r="AM419" i="2"/>
  <c r="AM418" i="2"/>
  <c r="AM417" i="2"/>
  <c r="AM416" i="2"/>
  <c r="AM415" i="2"/>
  <c r="AM414" i="2"/>
  <c r="AM413" i="2"/>
  <c r="AM412" i="2"/>
  <c r="AM411" i="2"/>
  <c r="AM410" i="2"/>
  <c r="AM409" i="2"/>
  <c r="AM408" i="2"/>
  <c r="AM407" i="2"/>
  <c r="AM406" i="2"/>
  <c r="AM405" i="2"/>
  <c r="AM404" i="2"/>
  <c r="AM403" i="2"/>
  <c r="AM402" i="2"/>
  <c r="AM401" i="2"/>
  <c r="AM400" i="2"/>
  <c r="AM399" i="2"/>
  <c r="AM398" i="2"/>
  <c r="AM397" i="2"/>
  <c r="AM396" i="2"/>
  <c r="AM395" i="2"/>
  <c r="AM394" i="2"/>
  <c r="AM393" i="2"/>
  <c r="AM392" i="2"/>
  <c r="AM391" i="2"/>
  <c r="AM390" i="2"/>
  <c r="AM389" i="2"/>
  <c r="AM388" i="2"/>
  <c r="AM387" i="2"/>
  <c r="AM386" i="2"/>
  <c r="AM385" i="2"/>
  <c r="AM384" i="2"/>
  <c r="AM383" i="2"/>
  <c r="AM382" i="2"/>
  <c r="AM381" i="2"/>
  <c r="AM380" i="2"/>
  <c r="AM379" i="2"/>
  <c r="AM378" i="2"/>
  <c r="AM377" i="2"/>
  <c r="AM376" i="2"/>
  <c r="AM375" i="2"/>
  <c r="AM374" i="2"/>
  <c r="AM373" i="2"/>
  <c r="AM372" i="2"/>
  <c r="AM371" i="2"/>
  <c r="AM370" i="2"/>
  <c r="AM369" i="2"/>
  <c r="AM368" i="2"/>
  <c r="AM367" i="2"/>
  <c r="AM366" i="2"/>
  <c r="AM365" i="2"/>
  <c r="AM364" i="2"/>
  <c r="AM363" i="2"/>
  <c r="AM362" i="2"/>
  <c r="AM361" i="2"/>
  <c r="AM360" i="2"/>
  <c r="AM359" i="2"/>
  <c r="AM358" i="2"/>
  <c r="AM357" i="2"/>
  <c r="AM356" i="2"/>
  <c r="AM355" i="2"/>
  <c r="AM354" i="2"/>
  <c r="AM353" i="2"/>
  <c r="AM352" i="2"/>
  <c r="AM351" i="2"/>
  <c r="AM350" i="2"/>
  <c r="AM349" i="2"/>
  <c r="AM348" i="2"/>
  <c r="AM347" i="2"/>
  <c r="AM346" i="2"/>
  <c r="AM345" i="2"/>
  <c r="AM344" i="2"/>
  <c r="AM343" i="2"/>
  <c r="AM342" i="2"/>
  <c r="AM341" i="2"/>
  <c r="AM340" i="2"/>
  <c r="AM339" i="2"/>
  <c r="AM338" i="2"/>
  <c r="AM337" i="2"/>
  <c r="AM336" i="2"/>
  <c r="AM335" i="2"/>
  <c r="AM334" i="2"/>
  <c r="AM333" i="2"/>
  <c r="AM332" i="2"/>
  <c r="AM331" i="2"/>
  <c r="AM330" i="2"/>
  <c r="AM329" i="2"/>
  <c r="AM328" i="2"/>
  <c r="AM327" i="2"/>
  <c r="AM326" i="2"/>
  <c r="AM325" i="2"/>
  <c r="AM324" i="2"/>
  <c r="AM323" i="2"/>
  <c r="AM322" i="2"/>
  <c r="AM321" i="2"/>
  <c r="AM320" i="2"/>
  <c r="AM319" i="2"/>
  <c r="AM318" i="2"/>
  <c r="AM317" i="2"/>
  <c r="AM316" i="2"/>
  <c r="AM315" i="2"/>
  <c r="AM314" i="2"/>
  <c r="AM313" i="2"/>
  <c r="AM312" i="2"/>
  <c r="AM311" i="2"/>
  <c r="AM310" i="2"/>
  <c r="AM309" i="2"/>
  <c r="AM308" i="2"/>
  <c r="AM307" i="2"/>
  <c r="AM306" i="2"/>
  <c r="AM305" i="2"/>
  <c r="AM304" i="2"/>
  <c r="AM303" i="2"/>
  <c r="AM302" i="2"/>
  <c r="AM301" i="2"/>
  <c r="AM300" i="2"/>
  <c r="AM299" i="2"/>
  <c r="AM298" i="2"/>
  <c r="AM297" i="2"/>
  <c r="AM296" i="2"/>
  <c r="AM295" i="2"/>
  <c r="AM294" i="2"/>
  <c r="AM293" i="2"/>
  <c r="AM292" i="2"/>
  <c r="AM291" i="2"/>
  <c r="AM290" i="2"/>
  <c r="AM289" i="2"/>
  <c r="AM288" i="2"/>
  <c r="AM287" i="2"/>
  <c r="AM286" i="2"/>
  <c r="AM285" i="2"/>
  <c r="AM284" i="2"/>
  <c r="AM283" i="2"/>
  <c r="AM282" i="2"/>
  <c r="AM281" i="2"/>
  <c r="AM280" i="2"/>
  <c r="AM279" i="2"/>
  <c r="AM278" i="2"/>
  <c r="AM277" i="2"/>
  <c r="AM276" i="2"/>
  <c r="AM275" i="2"/>
  <c r="AM274" i="2"/>
  <c r="AM273" i="2"/>
  <c r="AM272" i="2"/>
  <c r="AM271" i="2"/>
  <c r="AM270" i="2"/>
  <c r="AM269" i="2"/>
  <c r="AM268" i="2"/>
  <c r="AM267" i="2"/>
  <c r="AM266" i="2"/>
  <c r="AM265" i="2"/>
  <c r="AM264" i="2"/>
  <c r="AM263" i="2"/>
  <c r="AM262" i="2"/>
  <c r="AM261" i="2"/>
  <c r="AM260" i="2"/>
  <c r="AM259" i="2"/>
  <c r="AM258" i="2"/>
  <c r="AM257" i="2"/>
  <c r="AM256" i="2"/>
  <c r="AM255" i="2"/>
  <c r="AM254" i="2"/>
  <c r="AM253" i="2"/>
  <c r="AM252" i="2"/>
  <c r="AM251" i="2"/>
  <c r="AM250" i="2"/>
  <c r="AM249" i="2"/>
  <c r="AM248" i="2"/>
  <c r="AM247" i="2"/>
  <c r="AM246" i="2"/>
  <c r="AM245" i="2"/>
  <c r="AM244" i="2"/>
  <c r="AM243" i="2"/>
  <c r="AM242" i="2"/>
  <c r="AM241" i="2"/>
  <c r="AM240" i="2"/>
  <c r="AM239" i="2"/>
  <c r="AM238" i="2"/>
  <c r="AM237" i="2"/>
  <c r="AM236" i="2"/>
  <c r="AM235" i="2"/>
  <c r="AM234" i="2"/>
  <c r="AM233" i="2"/>
  <c r="AM232" i="2"/>
  <c r="AM231" i="2"/>
  <c r="AM230" i="2"/>
  <c r="AM229" i="2"/>
  <c r="AM228" i="2"/>
  <c r="AM227" i="2"/>
  <c r="AM226" i="2"/>
  <c r="AM225" i="2"/>
  <c r="AM224" i="2"/>
  <c r="AM223" i="2"/>
  <c r="AM222" i="2"/>
  <c r="AM221" i="2"/>
  <c r="AM220" i="2"/>
  <c r="AM219" i="2"/>
  <c r="AM218" i="2"/>
  <c r="AM217" i="2"/>
  <c r="AM216" i="2"/>
  <c r="AM215" i="2"/>
  <c r="AM214" i="2"/>
  <c r="AM213" i="2"/>
  <c r="AM212" i="2"/>
  <c r="AM211" i="2"/>
  <c r="AM210" i="2"/>
  <c r="AM209" i="2"/>
  <c r="AM208" i="2"/>
  <c r="AM207" i="2"/>
  <c r="AM206" i="2"/>
  <c r="AM205" i="2"/>
  <c r="AM204" i="2"/>
  <c r="AM203" i="2"/>
  <c r="AM202" i="2"/>
  <c r="AM201" i="2"/>
  <c r="AM200" i="2"/>
  <c r="AM199" i="2"/>
  <c r="AM198" i="2"/>
  <c r="AM197" i="2"/>
  <c r="AM196" i="2"/>
  <c r="AM195" i="2"/>
  <c r="AM194" i="2"/>
  <c r="AM193" i="2"/>
  <c r="AM192" i="2"/>
  <c r="AM191" i="2"/>
  <c r="AM190" i="2"/>
  <c r="AM189" i="2"/>
  <c r="AM188" i="2"/>
  <c r="AM187" i="2"/>
  <c r="AM186" i="2"/>
  <c r="AM185" i="2"/>
  <c r="AM184" i="2"/>
  <c r="AM183" i="2"/>
  <c r="AM182" i="2"/>
  <c r="AM181" i="2"/>
  <c r="AM180" i="2"/>
  <c r="AM179" i="2"/>
  <c r="AM178" i="2"/>
  <c r="AM177" i="2"/>
  <c r="AM176" i="2"/>
  <c r="AM175" i="2"/>
  <c r="AM174" i="2"/>
  <c r="AM173" i="2"/>
  <c r="AM172" i="2"/>
  <c r="AM171" i="2"/>
  <c r="AM170" i="2"/>
  <c r="AM169" i="2"/>
  <c r="AM168" i="2"/>
  <c r="AM167" i="2"/>
  <c r="AM166" i="2"/>
  <c r="AM165" i="2"/>
  <c r="AM164" i="2"/>
  <c r="AM163" i="2"/>
  <c r="AM162" i="2"/>
  <c r="AM161" i="2"/>
  <c r="AM160" i="2"/>
  <c r="AM159" i="2"/>
  <c r="AM158" i="2"/>
  <c r="AM157" i="2"/>
  <c r="AM156" i="2"/>
  <c r="AM155" i="2"/>
  <c r="AM154" i="2"/>
  <c r="AM153" i="2"/>
  <c r="AM152" i="2"/>
  <c r="AM151" i="2"/>
  <c r="AM150" i="2"/>
  <c r="AM149" i="2"/>
  <c r="AM148" i="2"/>
  <c r="AM147" i="2"/>
  <c r="AM146" i="2"/>
  <c r="AM145" i="2"/>
  <c r="AM144" i="2"/>
  <c r="AM143" i="2"/>
  <c r="AM142" i="2"/>
  <c r="AM141" i="2"/>
  <c r="AM140" i="2"/>
  <c r="AM139" i="2"/>
  <c r="AM138" i="2"/>
  <c r="AM137" i="2"/>
  <c r="AM136" i="2"/>
  <c r="AM135" i="2"/>
  <c r="AM134" i="2"/>
  <c r="AM133" i="2"/>
  <c r="AM132" i="2"/>
  <c r="AM131" i="2"/>
  <c r="AM130" i="2"/>
  <c r="AM129" i="2"/>
  <c r="AM128" i="2"/>
  <c r="AM127" i="2"/>
  <c r="AM126" i="2"/>
  <c r="AM125" i="2"/>
  <c r="AM124" i="2"/>
  <c r="AM123" i="2"/>
  <c r="AM122" i="2"/>
  <c r="AM121" i="2"/>
  <c r="AM120" i="2"/>
  <c r="AM119" i="2"/>
  <c r="AM118" i="2"/>
  <c r="AM117" i="2"/>
  <c r="AM116" i="2"/>
  <c r="AM115" i="2"/>
  <c r="AM114" i="2"/>
  <c r="AM113" i="2"/>
  <c r="AM112" i="2"/>
  <c r="AM111" i="2"/>
  <c r="AM110" i="2"/>
  <c r="AM109" i="2"/>
  <c r="AM108" i="2"/>
  <c r="AM107" i="2"/>
  <c r="AM106" i="2"/>
  <c r="AM105" i="2"/>
  <c r="AM104" i="2"/>
  <c r="AM103" i="2"/>
  <c r="AM102" i="2"/>
  <c r="AM101" i="2"/>
  <c r="AM100" i="2"/>
  <c r="AM99" i="2"/>
  <c r="AM98" i="2"/>
  <c r="AM97" i="2"/>
  <c r="AM96" i="2"/>
  <c r="AM95" i="2"/>
  <c r="AM94" i="2"/>
  <c r="AM93" i="2"/>
  <c r="AM92" i="2"/>
  <c r="AM91" i="2"/>
  <c r="AM90" i="2"/>
  <c r="AM89" i="2"/>
  <c r="AM88" i="2"/>
  <c r="AM87" i="2"/>
  <c r="AM86" i="2"/>
  <c r="AM85" i="2"/>
  <c r="AM84" i="2"/>
  <c r="AM83" i="2"/>
  <c r="AM82" i="2"/>
  <c r="AM81" i="2"/>
  <c r="AM80" i="2"/>
  <c r="AM79" i="2"/>
  <c r="AM78" i="2"/>
  <c r="AM77" i="2"/>
  <c r="AM76" i="2"/>
  <c r="AM75" i="2"/>
  <c r="AM74" i="2"/>
  <c r="AM73" i="2"/>
  <c r="AM72" i="2"/>
  <c r="AM71" i="2"/>
  <c r="AM70" i="2"/>
  <c r="AM69" i="2"/>
  <c r="AM68" i="2"/>
  <c r="AM67" i="2"/>
  <c r="AM66" i="2"/>
  <c r="AM65" i="2"/>
  <c r="AM64" i="2"/>
  <c r="AM63" i="2"/>
  <c r="AM62" i="2"/>
  <c r="AM61" i="2"/>
  <c r="AM60" i="2"/>
  <c r="AM59" i="2"/>
  <c r="AM58" i="2"/>
  <c r="AM57" i="2"/>
  <c r="AM56" i="2"/>
  <c r="AM55" i="2"/>
  <c r="AM54" i="2"/>
  <c r="AM53" i="2"/>
  <c r="AM52" i="2"/>
  <c r="AM51" i="2"/>
  <c r="AM50" i="2"/>
  <c r="AM49" i="2"/>
  <c r="AM48" i="2"/>
  <c r="AM47" i="2"/>
  <c r="AM46" i="2"/>
  <c r="AM45" i="2"/>
  <c r="AM44" i="2"/>
  <c r="AM43" i="2"/>
  <c r="AM42" i="2"/>
  <c r="AM41" i="2"/>
  <c r="AM40" i="2"/>
  <c r="AM39" i="2"/>
  <c r="AM38" i="2"/>
  <c r="AM37" i="2"/>
  <c r="AM36" i="2"/>
  <c r="AM35" i="2"/>
  <c r="AM34" i="2"/>
  <c r="AM33" i="2"/>
  <c r="AM32" i="2"/>
  <c r="AM31" i="2"/>
  <c r="AM30" i="2"/>
  <c r="AM29" i="2"/>
  <c r="AM28" i="2"/>
  <c r="AM27" i="2"/>
  <c r="AM26" i="2"/>
  <c r="AM25" i="2"/>
  <c r="AM24" i="2"/>
  <c r="AM23" i="2"/>
  <c r="AM22" i="2"/>
  <c r="AM21" i="2"/>
  <c r="AM20" i="2"/>
  <c r="AM19" i="2"/>
  <c r="AM18" i="2"/>
  <c r="AM17" i="2"/>
  <c r="AM16" i="2"/>
  <c r="AM15" i="2"/>
  <c r="AM14" i="2"/>
  <c r="AM13" i="2"/>
  <c r="AM12" i="2"/>
  <c r="AM11" i="2"/>
  <c r="AM10" i="2"/>
  <c r="AM9" i="2"/>
  <c r="AM8" i="2"/>
  <c r="AM7" i="2"/>
  <c r="AM6" i="2"/>
  <c r="AM5" i="2"/>
  <c r="AM4" i="2"/>
  <c r="AM3" i="2"/>
  <c r="AJ448" i="2"/>
  <c r="AJ447" i="2"/>
  <c r="AJ446" i="2"/>
  <c r="AJ445" i="2"/>
  <c r="AJ444" i="2"/>
  <c r="AJ443" i="2"/>
  <c r="AJ442" i="2"/>
  <c r="AJ441" i="2"/>
  <c r="AJ440" i="2"/>
  <c r="AJ439" i="2"/>
  <c r="AJ438" i="2"/>
  <c r="AJ437" i="2"/>
  <c r="AJ436" i="2"/>
  <c r="AJ435" i="2"/>
  <c r="AJ434" i="2"/>
  <c r="AJ433" i="2"/>
  <c r="AJ432" i="2"/>
  <c r="AJ431" i="2"/>
  <c r="AJ430" i="2"/>
  <c r="AJ429" i="2"/>
  <c r="AJ428" i="2"/>
  <c r="AJ427" i="2"/>
  <c r="AJ426" i="2"/>
  <c r="AJ425" i="2"/>
  <c r="AJ424" i="2"/>
  <c r="AJ423" i="2"/>
  <c r="AJ422" i="2"/>
  <c r="AJ421" i="2"/>
  <c r="AJ420" i="2"/>
  <c r="AJ419" i="2"/>
  <c r="AJ418" i="2"/>
  <c r="AJ417" i="2"/>
  <c r="AJ416" i="2"/>
  <c r="AJ415" i="2"/>
  <c r="AJ414" i="2"/>
  <c r="AJ413" i="2"/>
  <c r="AJ412" i="2"/>
  <c r="AJ411" i="2"/>
  <c r="AJ410" i="2"/>
  <c r="AJ409" i="2"/>
  <c r="AJ408" i="2"/>
  <c r="AJ407" i="2"/>
  <c r="AJ406" i="2"/>
  <c r="AJ405" i="2"/>
  <c r="AJ404" i="2"/>
  <c r="AJ403" i="2"/>
  <c r="AJ402" i="2"/>
  <c r="AJ401" i="2"/>
  <c r="AJ400" i="2"/>
  <c r="AJ399" i="2"/>
  <c r="AJ398" i="2"/>
  <c r="AJ397" i="2"/>
  <c r="AJ396" i="2"/>
  <c r="AJ395" i="2"/>
  <c r="AJ394" i="2"/>
  <c r="AJ393" i="2"/>
  <c r="AJ392" i="2"/>
  <c r="AJ391" i="2"/>
  <c r="AJ390" i="2"/>
  <c r="AJ389" i="2"/>
  <c r="AJ388" i="2"/>
  <c r="AJ387" i="2"/>
  <c r="AJ386" i="2"/>
  <c r="AJ385" i="2"/>
  <c r="AJ384" i="2"/>
  <c r="AJ383" i="2"/>
  <c r="AJ382" i="2"/>
  <c r="AJ381" i="2"/>
  <c r="AJ380" i="2"/>
  <c r="AJ379" i="2"/>
  <c r="AJ378" i="2"/>
  <c r="AJ377" i="2"/>
  <c r="AJ376" i="2"/>
  <c r="AJ375" i="2"/>
  <c r="AJ374" i="2"/>
  <c r="AJ373" i="2"/>
  <c r="AJ372" i="2"/>
  <c r="AJ371" i="2"/>
  <c r="AJ370" i="2"/>
  <c r="AJ369" i="2"/>
  <c r="AJ368" i="2"/>
  <c r="AJ367" i="2"/>
  <c r="AJ366" i="2"/>
  <c r="AJ365" i="2"/>
  <c r="AJ364" i="2"/>
  <c r="AJ363" i="2"/>
  <c r="AJ362" i="2"/>
  <c r="AJ361" i="2"/>
  <c r="AJ360" i="2"/>
  <c r="AJ359" i="2"/>
  <c r="AJ358" i="2"/>
  <c r="AJ357" i="2"/>
  <c r="AJ356" i="2"/>
  <c r="AJ355" i="2"/>
  <c r="AJ354" i="2"/>
  <c r="AJ353" i="2"/>
  <c r="AJ352" i="2"/>
  <c r="AJ351" i="2"/>
  <c r="AJ350" i="2"/>
  <c r="AJ349" i="2"/>
  <c r="AJ348" i="2"/>
  <c r="AJ347" i="2"/>
  <c r="AJ346" i="2"/>
  <c r="AJ345" i="2"/>
  <c r="AJ344" i="2"/>
  <c r="AJ343" i="2"/>
  <c r="AJ342" i="2"/>
  <c r="AJ341" i="2"/>
  <c r="AJ340" i="2"/>
  <c r="AJ339" i="2"/>
  <c r="AJ338" i="2"/>
  <c r="AJ337" i="2"/>
  <c r="AJ336" i="2"/>
  <c r="AJ335" i="2"/>
  <c r="AJ334" i="2"/>
  <c r="AJ333" i="2"/>
  <c r="AJ332" i="2"/>
  <c r="AJ331" i="2"/>
  <c r="AJ330" i="2"/>
  <c r="AJ329" i="2"/>
  <c r="AJ328" i="2"/>
  <c r="AJ327" i="2"/>
  <c r="AJ326" i="2"/>
  <c r="AJ325" i="2"/>
  <c r="AJ324" i="2"/>
  <c r="AJ323" i="2"/>
  <c r="AJ322" i="2"/>
  <c r="AJ321" i="2"/>
  <c r="AJ320" i="2"/>
  <c r="AJ319" i="2"/>
  <c r="AJ318" i="2"/>
  <c r="AJ317" i="2"/>
  <c r="AJ316" i="2"/>
  <c r="AJ315" i="2"/>
  <c r="AJ314" i="2"/>
  <c r="AJ313" i="2"/>
  <c r="AJ312" i="2"/>
  <c r="AJ311" i="2"/>
  <c r="AJ310" i="2"/>
  <c r="AJ309" i="2"/>
  <c r="AJ308" i="2"/>
  <c r="AJ307" i="2"/>
  <c r="AJ306" i="2"/>
  <c r="AJ305" i="2"/>
  <c r="AJ304" i="2"/>
  <c r="AJ303" i="2"/>
  <c r="AJ302" i="2"/>
  <c r="AJ301" i="2"/>
  <c r="AJ300" i="2"/>
  <c r="AJ299" i="2"/>
  <c r="AJ298" i="2"/>
  <c r="AJ297" i="2"/>
  <c r="AJ296" i="2"/>
  <c r="AJ295" i="2"/>
  <c r="AJ294" i="2"/>
  <c r="AJ293" i="2"/>
  <c r="AJ292" i="2"/>
  <c r="AJ291" i="2"/>
  <c r="AJ290" i="2"/>
  <c r="AJ289" i="2"/>
  <c r="AJ288" i="2"/>
  <c r="AJ287" i="2"/>
  <c r="AJ286" i="2"/>
  <c r="AJ285" i="2"/>
  <c r="AJ284" i="2"/>
  <c r="AJ283" i="2"/>
  <c r="AJ282" i="2"/>
  <c r="AJ281" i="2"/>
  <c r="AJ280" i="2"/>
  <c r="AJ279" i="2"/>
  <c r="AJ278" i="2"/>
  <c r="AJ277" i="2"/>
  <c r="AJ276" i="2"/>
  <c r="AJ275" i="2"/>
  <c r="AJ274" i="2"/>
  <c r="AJ273" i="2"/>
  <c r="AJ272" i="2"/>
  <c r="AJ271" i="2"/>
  <c r="AJ270" i="2"/>
  <c r="AJ269" i="2"/>
  <c r="AJ268" i="2"/>
  <c r="AJ267" i="2"/>
  <c r="AJ266" i="2"/>
  <c r="AJ265" i="2"/>
  <c r="AJ264" i="2"/>
  <c r="AJ263" i="2"/>
  <c r="AJ262" i="2"/>
  <c r="AJ261" i="2"/>
  <c r="AJ260" i="2"/>
  <c r="AJ259" i="2"/>
  <c r="AJ258" i="2"/>
  <c r="AJ257" i="2"/>
  <c r="AJ256" i="2"/>
  <c r="AJ255" i="2"/>
  <c r="AJ254" i="2"/>
  <c r="AJ253" i="2"/>
  <c r="AJ252" i="2"/>
  <c r="AJ251" i="2"/>
  <c r="AJ250" i="2"/>
  <c r="AJ249" i="2"/>
  <c r="AJ248" i="2"/>
  <c r="AJ247" i="2"/>
  <c r="AJ246" i="2"/>
  <c r="AJ245" i="2"/>
  <c r="AJ244" i="2"/>
  <c r="AJ243" i="2"/>
  <c r="AJ242" i="2"/>
  <c r="AJ241" i="2"/>
  <c r="AJ240" i="2"/>
  <c r="AJ239" i="2"/>
  <c r="AJ238" i="2"/>
  <c r="AJ237" i="2"/>
  <c r="AJ236" i="2"/>
  <c r="AJ235" i="2"/>
  <c r="AJ234" i="2"/>
  <c r="AJ233" i="2"/>
  <c r="AJ232" i="2"/>
  <c r="AJ231" i="2"/>
  <c r="AJ230" i="2"/>
  <c r="AJ229" i="2"/>
  <c r="AJ228" i="2"/>
  <c r="AJ227" i="2"/>
  <c r="AJ226" i="2"/>
  <c r="AJ225" i="2"/>
  <c r="AJ224" i="2"/>
  <c r="AJ223" i="2"/>
  <c r="AJ222" i="2"/>
  <c r="AJ221" i="2"/>
  <c r="AJ220" i="2"/>
  <c r="AJ219" i="2"/>
  <c r="AJ218" i="2"/>
  <c r="AJ217" i="2"/>
  <c r="AJ216" i="2"/>
  <c r="AJ215" i="2"/>
  <c r="AJ214" i="2"/>
  <c r="AJ213" i="2"/>
  <c r="AJ212" i="2"/>
  <c r="AJ211" i="2"/>
  <c r="AJ210" i="2"/>
  <c r="AJ209" i="2"/>
  <c r="AJ208" i="2"/>
  <c r="AJ207" i="2"/>
  <c r="AJ206" i="2"/>
  <c r="AJ205" i="2"/>
  <c r="AJ204" i="2"/>
  <c r="AJ203" i="2"/>
  <c r="AJ202" i="2"/>
  <c r="AJ201" i="2"/>
  <c r="AJ200" i="2"/>
  <c r="AJ199" i="2"/>
  <c r="AJ198" i="2"/>
  <c r="AJ197" i="2"/>
  <c r="AJ196" i="2"/>
  <c r="AJ195" i="2"/>
  <c r="AJ194" i="2"/>
  <c r="AJ193" i="2"/>
  <c r="AJ192" i="2"/>
  <c r="AJ191" i="2"/>
  <c r="AJ190" i="2"/>
  <c r="AJ189" i="2"/>
  <c r="AJ188" i="2"/>
  <c r="AJ187" i="2"/>
  <c r="AJ186" i="2"/>
  <c r="AJ185" i="2"/>
  <c r="AJ184" i="2"/>
  <c r="AJ183" i="2"/>
  <c r="AJ182" i="2"/>
  <c r="AJ181" i="2"/>
  <c r="AJ180" i="2"/>
  <c r="AJ179" i="2"/>
  <c r="AJ178" i="2"/>
  <c r="AJ177" i="2"/>
  <c r="AJ176" i="2"/>
  <c r="AJ175" i="2"/>
  <c r="AJ174" i="2"/>
  <c r="AJ173" i="2"/>
  <c r="AJ172" i="2"/>
  <c r="AJ171" i="2"/>
  <c r="AJ170" i="2"/>
  <c r="AJ169" i="2"/>
  <c r="AJ168" i="2"/>
  <c r="AJ167" i="2"/>
  <c r="AJ166" i="2"/>
  <c r="AJ165" i="2"/>
  <c r="AJ164" i="2"/>
  <c r="AJ163" i="2"/>
  <c r="AJ162" i="2"/>
  <c r="AJ161" i="2"/>
  <c r="AJ160" i="2"/>
  <c r="AJ159" i="2"/>
  <c r="AJ158" i="2"/>
  <c r="AJ157" i="2"/>
  <c r="AJ156" i="2"/>
  <c r="AJ155" i="2"/>
  <c r="AJ154" i="2"/>
  <c r="AJ153" i="2"/>
  <c r="AJ152" i="2"/>
  <c r="AJ151" i="2"/>
  <c r="AJ150" i="2"/>
  <c r="AJ149" i="2"/>
  <c r="AJ148" i="2"/>
  <c r="AJ147" i="2"/>
  <c r="AJ146" i="2"/>
  <c r="AJ145" i="2"/>
  <c r="AJ144" i="2"/>
  <c r="AJ143" i="2"/>
  <c r="AJ142" i="2"/>
  <c r="AJ141" i="2"/>
  <c r="AJ140" i="2"/>
  <c r="AJ139" i="2"/>
  <c r="AJ138" i="2"/>
  <c r="AJ137" i="2"/>
  <c r="AJ136" i="2"/>
  <c r="AJ135" i="2"/>
  <c r="AJ134" i="2"/>
  <c r="AJ133" i="2"/>
  <c r="AJ132" i="2"/>
  <c r="AJ131" i="2"/>
  <c r="AJ130" i="2"/>
  <c r="AJ129" i="2"/>
  <c r="AJ128" i="2"/>
  <c r="AJ127" i="2"/>
  <c r="AJ126" i="2"/>
  <c r="AJ125" i="2"/>
  <c r="AJ124" i="2"/>
  <c r="AJ123" i="2"/>
  <c r="AJ122" i="2"/>
  <c r="AJ121" i="2"/>
  <c r="AJ120" i="2"/>
  <c r="AJ119" i="2"/>
  <c r="AJ118" i="2"/>
  <c r="AJ117" i="2"/>
  <c r="AJ116" i="2"/>
  <c r="AJ115" i="2"/>
  <c r="AJ114" i="2"/>
  <c r="AJ113" i="2"/>
  <c r="AJ112" i="2"/>
  <c r="AJ111" i="2"/>
  <c r="AJ110" i="2"/>
  <c r="AJ109" i="2"/>
  <c r="AJ108" i="2"/>
  <c r="AJ107" i="2"/>
  <c r="AJ106" i="2"/>
  <c r="AJ105" i="2"/>
  <c r="AJ104" i="2"/>
  <c r="AJ103" i="2"/>
  <c r="AJ102" i="2"/>
  <c r="AJ101" i="2"/>
  <c r="AJ100" i="2"/>
  <c r="AJ99" i="2"/>
  <c r="AJ98" i="2"/>
  <c r="AJ97" i="2"/>
  <c r="AJ96" i="2"/>
  <c r="AJ95" i="2"/>
  <c r="AJ94" i="2"/>
  <c r="AJ93" i="2"/>
  <c r="AJ92" i="2"/>
  <c r="AJ91" i="2"/>
  <c r="AJ90" i="2"/>
  <c r="AJ89" i="2"/>
  <c r="AJ88" i="2"/>
  <c r="AJ87" i="2"/>
  <c r="AJ86" i="2"/>
  <c r="AJ85" i="2"/>
  <c r="AJ84" i="2"/>
  <c r="AJ83" i="2"/>
  <c r="AJ82" i="2"/>
  <c r="AJ81" i="2"/>
  <c r="AJ80" i="2"/>
  <c r="AJ79" i="2"/>
  <c r="AJ78" i="2"/>
  <c r="AJ77" i="2"/>
  <c r="AJ76" i="2"/>
  <c r="AJ75" i="2"/>
  <c r="AJ74" i="2"/>
  <c r="AJ73" i="2"/>
  <c r="AJ72" i="2"/>
  <c r="AJ71" i="2"/>
  <c r="AJ70" i="2"/>
  <c r="AJ69" i="2"/>
  <c r="AJ68" i="2"/>
  <c r="AJ67" i="2"/>
  <c r="AJ66" i="2"/>
  <c r="AJ65" i="2"/>
  <c r="AJ64" i="2"/>
  <c r="AJ63" i="2"/>
  <c r="AJ62" i="2"/>
  <c r="AJ61" i="2"/>
  <c r="AJ60" i="2"/>
  <c r="AJ59" i="2"/>
  <c r="AJ58" i="2"/>
  <c r="AJ57" i="2"/>
  <c r="AJ56" i="2"/>
  <c r="AJ55" i="2"/>
  <c r="AJ54" i="2"/>
  <c r="AJ53" i="2"/>
  <c r="AJ52" i="2"/>
  <c r="AJ51" i="2"/>
  <c r="AJ50" i="2"/>
  <c r="AJ49" i="2"/>
  <c r="AJ48" i="2"/>
  <c r="AJ47" i="2"/>
  <c r="AJ46" i="2"/>
  <c r="AJ45" i="2"/>
  <c r="AJ44" i="2"/>
  <c r="AJ43" i="2"/>
  <c r="AJ42" i="2"/>
  <c r="AJ41" i="2"/>
  <c r="AJ40" i="2"/>
  <c r="AJ39" i="2"/>
  <c r="AJ38" i="2"/>
  <c r="AJ37" i="2"/>
  <c r="AJ36" i="2"/>
  <c r="AJ35" i="2"/>
  <c r="AJ34" i="2"/>
  <c r="AJ33" i="2"/>
  <c r="AJ32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J4" i="2"/>
  <c r="AJ3" i="2"/>
  <c r="AG448" i="2"/>
  <c r="AG447" i="2"/>
  <c r="AG446" i="2"/>
  <c r="AG445" i="2"/>
  <c r="AG444" i="2"/>
  <c r="AG443" i="2"/>
  <c r="AG442" i="2"/>
  <c r="AG441" i="2"/>
  <c r="AG440" i="2"/>
  <c r="AG439" i="2"/>
  <c r="AG438" i="2"/>
  <c r="AG437" i="2"/>
  <c r="AG436" i="2"/>
  <c r="AG435" i="2"/>
  <c r="AG434" i="2"/>
  <c r="AG433" i="2"/>
  <c r="AG432" i="2"/>
  <c r="AG431" i="2"/>
  <c r="AG430" i="2"/>
  <c r="AG429" i="2"/>
  <c r="AG428" i="2"/>
  <c r="AG427" i="2"/>
  <c r="AG426" i="2"/>
  <c r="AG425" i="2"/>
  <c r="AG424" i="2"/>
  <c r="AG423" i="2"/>
  <c r="AG422" i="2"/>
  <c r="AG421" i="2"/>
  <c r="AG420" i="2"/>
  <c r="AG419" i="2"/>
  <c r="AG418" i="2"/>
  <c r="AG417" i="2"/>
  <c r="AG416" i="2"/>
  <c r="AG415" i="2"/>
  <c r="AG414" i="2"/>
  <c r="AG413" i="2"/>
  <c r="AG412" i="2"/>
  <c r="AG411" i="2"/>
  <c r="AG410" i="2"/>
  <c r="AG409" i="2"/>
  <c r="AG408" i="2"/>
  <c r="AG407" i="2"/>
  <c r="AG406" i="2"/>
  <c r="AG405" i="2"/>
  <c r="AG404" i="2"/>
  <c r="AG403" i="2"/>
  <c r="AG402" i="2"/>
  <c r="AG401" i="2"/>
  <c r="AG400" i="2"/>
  <c r="AG399" i="2"/>
  <c r="AG398" i="2"/>
  <c r="AG397" i="2"/>
  <c r="AG396" i="2"/>
  <c r="AG395" i="2"/>
  <c r="AG394" i="2"/>
  <c r="AG393" i="2"/>
  <c r="AG392" i="2"/>
  <c r="AG391" i="2"/>
  <c r="AG390" i="2"/>
  <c r="AG389" i="2"/>
  <c r="AG388" i="2"/>
  <c r="AG387" i="2"/>
  <c r="AG386" i="2"/>
  <c r="AG385" i="2"/>
  <c r="AG384" i="2"/>
  <c r="AG383" i="2"/>
  <c r="AG382" i="2"/>
  <c r="AG381" i="2"/>
  <c r="AG380" i="2"/>
  <c r="AG379" i="2"/>
  <c r="AG378" i="2"/>
  <c r="AG377" i="2"/>
  <c r="AG376" i="2"/>
  <c r="AG375" i="2"/>
  <c r="AG374" i="2"/>
  <c r="AG373" i="2"/>
  <c r="AG372" i="2"/>
  <c r="AG371" i="2"/>
  <c r="AG370" i="2"/>
  <c r="AG369" i="2"/>
  <c r="AG368" i="2"/>
  <c r="AG367" i="2"/>
  <c r="AG366" i="2"/>
  <c r="AG365" i="2"/>
  <c r="AG364" i="2"/>
  <c r="AG363" i="2"/>
  <c r="AG362" i="2"/>
  <c r="AG361" i="2"/>
  <c r="AG360" i="2"/>
  <c r="AG359" i="2"/>
  <c r="AG358" i="2"/>
  <c r="AG357" i="2"/>
  <c r="AG356" i="2"/>
  <c r="AG355" i="2"/>
  <c r="AG354" i="2"/>
  <c r="AG353" i="2"/>
  <c r="AG352" i="2"/>
  <c r="AG351" i="2"/>
  <c r="AG350" i="2"/>
  <c r="AG349" i="2"/>
  <c r="AG348" i="2"/>
  <c r="AG347" i="2"/>
  <c r="AG346" i="2"/>
  <c r="AG345" i="2"/>
  <c r="AG344" i="2"/>
  <c r="AG343" i="2"/>
  <c r="AG342" i="2"/>
  <c r="AG341" i="2"/>
  <c r="AG340" i="2"/>
  <c r="AG339" i="2"/>
  <c r="AG338" i="2"/>
  <c r="AG337" i="2"/>
  <c r="AG336" i="2"/>
  <c r="AG335" i="2"/>
  <c r="AG334" i="2"/>
  <c r="AG333" i="2"/>
  <c r="AG332" i="2"/>
  <c r="AG331" i="2"/>
  <c r="AG330" i="2"/>
  <c r="AG329" i="2"/>
  <c r="AG328" i="2"/>
  <c r="AG327" i="2"/>
  <c r="AG326" i="2"/>
  <c r="AG325" i="2"/>
  <c r="AG324" i="2"/>
  <c r="AG323" i="2"/>
  <c r="AG322" i="2"/>
  <c r="AG321" i="2"/>
  <c r="AG320" i="2"/>
  <c r="AG319" i="2"/>
  <c r="AG318" i="2"/>
  <c r="AG317" i="2"/>
  <c r="AG316" i="2"/>
  <c r="AG315" i="2"/>
  <c r="AG314" i="2"/>
  <c r="AG313" i="2"/>
  <c r="AG312" i="2"/>
  <c r="AG311" i="2"/>
  <c r="AG310" i="2"/>
  <c r="AG309" i="2"/>
  <c r="AG308" i="2"/>
  <c r="AG307" i="2"/>
  <c r="AG306" i="2"/>
  <c r="AG305" i="2"/>
  <c r="AG304" i="2"/>
  <c r="AG303" i="2"/>
  <c r="AG302" i="2"/>
  <c r="AG301" i="2"/>
  <c r="AG300" i="2"/>
  <c r="AG299" i="2"/>
  <c r="AG298" i="2"/>
  <c r="AG297" i="2"/>
  <c r="AG296" i="2"/>
  <c r="AG295" i="2"/>
  <c r="AG294" i="2"/>
  <c r="AG293" i="2"/>
  <c r="AG292" i="2"/>
  <c r="AG291" i="2"/>
  <c r="AG290" i="2"/>
  <c r="AG289" i="2"/>
  <c r="AG288" i="2"/>
  <c r="AG287" i="2"/>
  <c r="AG286" i="2"/>
  <c r="AG285" i="2"/>
  <c r="AG284" i="2"/>
  <c r="AG283" i="2"/>
  <c r="AG282" i="2"/>
  <c r="AG281" i="2"/>
  <c r="AG280" i="2"/>
  <c r="AG279" i="2"/>
  <c r="AG278" i="2"/>
  <c r="AG277" i="2"/>
  <c r="AG276" i="2"/>
  <c r="AG275" i="2"/>
  <c r="AG274" i="2"/>
  <c r="AG273" i="2"/>
  <c r="AG272" i="2"/>
  <c r="AG271" i="2"/>
  <c r="AG270" i="2"/>
  <c r="AG269" i="2"/>
  <c r="AG268" i="2"/>
  <c r="AG267" i="2"/>
  <c r="AG266" i="2"/>
  <c r="AG265" i="2"/>
  <c r="AG264" i="2"/>
  <c r="AG263" i="2"/>
  <c r="AG262" i="2"/>
  <c r="AG261" i="2"/>
  <c r="AG260" i="2"/>
  <c r="AG259" i="2"/>
  <c r="AG258" i="2"/>
  <c r="AG257" i="2"/>
  <c r="AG256" i="2"/>
  <c r="AG255" i="2"/>
  <c r="AG254" i="2"/>
  <c r="AG253" i="2"/>
  <c r="AG252" i="2"/>
  <c r="AG251" i="2"/>
  <c r="AG250" i="2"/>
  <c r="AG249" i="2"/>
  <c r="AG248" i="2"/>
  <c r="AG247" i="2"/>
  <c r="AG246" i="2"/>
  <c r="AG245" i="2"/>
  <c r="AG244" i="2"/>
  <c r="AG243" i="2"/>
  <c r="AG242" i="2"/>
  <c r="AG241" i="2"/>
  <c r="AG240" i="2"/>
  <c r="AG239" i="2"/>
  <c r="AG238" i="2"/>
  <c r="AG237" i="2"/>
  <c r="AG236" i="2"/>
  <c r="AG235" i="2"/>
  <c r="AG234" i="2"/>
  <c r="AG233" i="2"/>
  <c r="AG232" i="2"/>
  <c r="AG231" i="2"/>
  <c r="AG230" i="2"/>
  <c r="AG229" i="2"/>
  <c r="AG228" i="2"/>
  <c r="AG227" i="2"/>
  <c r="AG226" i="2"/>
  <c r="AG225" i="2"/>
  <c r="AG224" i="2"/>
  <c r="AG223" i="2"/>
  <c r="AG222" i="2"/>
  <c r="AG221" i="2"/>
  <c r="AG220" i="2"/>
  <c r="AG219" i="2"/>
  <c r="AG218" i="2"/>
  <c r="AG217" i="2"/>
  <c r="AG216" i="2"/>
  <c r="AG215" i="2"/>
  <c r="AG214" i="2"/>
  <c r="AG213" i="2"/>
  <c r="AG212" i="2"/>
  <c r="AG211" i="2"/>
  <c r="AG210" i="2"/>
  <c r="AG209" i="2"/>
  <c r="AG208" i="2"/>
  <c r="AG207" i="2"/>
  <c r="AG206" i="2"/>
  <c r="AG205" i="2"/>
  <c r="AG204" i="2"/>
  <c r="AG203" i="2"/>
  <c r="AG202" i="2"/>
  <c r="AG201" i="2"/>
  <c r="AG200" i="2"/>
  <c r="AG199" i="2"/>
  <c r="AG198" i="2"/>
  <c r="AG197" i="2"/>
  <c r="AG196" i="2"/>
  <c r="AG195" i="2"/>
  <c r="AG194" i="2"/>
  <c r="AG193" i="2"/>
  <c r="AG192" i="2"/>
  <c r="AG191" i="2"/>
  <c r="AG190" i="2"/>
  <c r="AG189" i="2"/>
  <c r="AG188" i="2"/>
  <c r="AG187" i="2"/>
  <c r="AG186" i="2"/>
  <c r="AG185" i="2"/>
  <c r="AG184" i="2"/>
  <c r="AG183" i="2"/>
  <c r="AG182" i="2"/>
  <c r="AG181" i="2"/>
  <c r="AG180" i="2"/>
  <c r="AG179" i="2"/>
  <c r="AG178" i="2"/>
  <c r="AG177" i="2"/>
  <c r="AG176" i="2"/>
  <c r="AG175" i="2"/>
  <c r="AG174" i="2"/>
  <c r="AG173" i="2"/>
  <c r="AG172" i="2"/>
  <c r="AG171" i="2"/>
  <c r="AG170" i="2"/>
  <c r="AG169" i="2"/>
  <c r="AG168" i="2"/>
  <c r="AG167" i="2"/>
  <c r="AG166" i="2"/>
  <c r="AG165" i="2"/>
  <c r="AG164" i="2"/>
  <c r="AG163" i="2"/>
  <c r="AG162" i="2"/>
  <c r="AG161" i="2"/>
  <c r="AG160" i="2"/>
  <c r="AG159" i="2"/>
  <c r="AG158" i="2"/>
  <c r="AG157" i="2"/>
  <c r="AG156" i="2"/>
  <c r="AG155" i="2"/>
  <c r="AG154" i="2"/>
  <c r="AG153" i="2"/>
  <c r="AG152" i="2"/>
  <c r="AG151" i="2"/>
  <c r="AG150" i="2"/>
  <c r="AG149" i="2"/>
  <c r="AG148" i="2"/>
  <c r="AG147" i="2"/>
  <c r="AG146" i="2"/>
  <c r="AG145" i="2"/>
  <c r="AG144" i="2"/>
  <c r="AG143" i="2"/>
  <c r="AG142" i="2"/>
  <c r="AG141" i="2"/>
  <c r="AG140" i="2"/>
  <c r="AG139" i="2"/>
  <c r="AG138" i="2"/>
  <c r="AG137" i="2"/>
  <c r="AG136" i="2"/>
  <c r="AG135" i="2"/>
  <c r="AG134" i="2"/>
  <c r="AG133" i="2"/>
  <c r="AG132" i="2"/>
  <c r="AG131" i="2"/>
  <c r="AG130" i="2"/>
  <c r="AG129" i="2"/>
  <c r="AG128" i="2"/>
  <c r="AG127" i="2"/>
  <c r="AG126" i="2"/>
  <c r="AG125" i="2"/>
  <c r="AG124" i="2"/>
  <c r="AG123" i="2"/>
  <c r="AG122" i="2"/>
  <c r="AG121" i="2"/>
  <c r="AG120" i="2"/>
  <c r="AG119" i="2"/>
  <c r="AG118" i="2"/>
  <c r="AG117" i="2"/>
  <c r="AG116" i="2"/>
  <c r="AG115" i="2"/>
  <c r="AG114" i="2"/>
  <c r="AG113" i="2"/>
  <c r="AG112" i="2"/>
  <c r="AG111" i="2"/>
  <c r="AG110" i="2"/>
  <c r="AG109" i="2"/>
  <c r="AG108" i="2"/>
  <c r="AG107" i="2"/>
  <c r="AG106" i="2"/>
  <c r="AG105" i="2"/>
  <c r="AG104" i="2"/>
  <c r="AG103" i="2"/>
  <c r="AG102" i="2"/>
  <c r="AG101" i="2"/>
  <c r="AG100" i="2"/>
  <c r="AG99" i="2"/>
  <c r="AG98" i="2"/>
  <c r="AG97" i="2"/>
  <c r="AG96" i="2"/>
  <c r="AG95" i="2"/>
  <c r="AG94" i="2"/>
  <c r="AG93" i="2"/>
  <c r="AG92" i="2"/>
  <c r="AG91" i="2"/>
  <c r="AG90" i="2"/>
  <c r="AG89" i="2"/>
  <c r="AG88" i="2"/>
  <c r="AG87" i="2"/>
  <c r="AG86" i="2"/>
  <c r="AG85" i="2"/>
  <c r="AG84" i="2"/>
  <c r="AG83" i="2"/>
  <c r="AG82" i="2"/>
  <c r="AG81" i="2"/>
  <c r="AG80" i="2"/>
  <c r="AG79" i="2"/>
  <c r="AG78" i="2"/>
  <c r="AG77" i="2"/>
  <c r="AG76" i="2"/>
  <c r="AG75" i="2"/>
  <c r="AG74" i="2"/>
  <c r="AG73" i="2"/>
  <c r="AG72" i="2"/>
  <c r="AG71" i="2"/>
  <c r="AG70" i="2"/>
  <c r="AG69" i="2"/>
  <c r="AG68" i="2"/>
  <c r="AG67" i="2"/>
  <c r="AG66" i="2"/>
  <c r="AG65" i="2"/>
  <c r="AG64" i="2"/>
  <c r="AG63" i="2"/>
  <c r="AG62" i="2"/>
  <c r="AG61" i="2"/>
  <c r="AG60" i="2"/>
  <c r="AG59" i="2"/>
  <c r="AG58" i="2"/>
  <c r="AG57" i="2"/>
  <c r="AG56" i="2"/>
  <c r="AG55" i="2"/>
  <c r="AG54" i="2"/>
  <c r="AG53" i="2"/>
  <c r="AG52" i="2"/>
  <c r="AG51" i="2"/>
  <c r="AG50" i="2"/>
  <c r="AG49" i="2"/>
  <c r="AG48" i="2"/>
  <c r="AG47" i="2"/>
  <c r="AG46" i="2"/>
  <c r="AG45" i="2"/>
  <c r="AG44" i="2"/>
  <c r="AG43" i="2"/>
  <c r="AG42" i="2"/>
  <c r="AG41" i="2"/>
  <c r="AG40" i="2"/>
  <c r="AG39" i="2"/>
  <c r="AG38" i="2"/>
  <c r="AG37" i="2"/>
  <c r="AG36" i="2"/>
  <c r="AG35" i="2"/>
  <c r="AG34" i="2"/>
  <c r="AG33" i="2"/>
  <c r="AG32" i="2"/>
  <c r="AG31" i="2"/>
  <c r="AG30" i="2"/>
  <c r="AG29" i="2"/>
  <c r="AG28" i="2"/>
  <c r="AG27" i="2"/>
  <c r="AG26" i="2"/>
  <c r="AG25" i="2"/>
  <c r="AG24" i="2"/>
  <c r="AG23" i="2"/>
  <c r="AG22" i="2"/>
  <c r="AG21" i="2"/>
  <c r="AG20" i="2"/>
  <c r="AG19" i="2"/>
  <c r="AG18" i="2"/>
  <c r="AG17" i="2"/>
  <c r="AG16" i="2"/>
  <c r="AG15" i="2"/>
  <c r="AG14" i="2"/>
  <c r="AG13" i="2"/>
  <c r="AG12" i="2"/>
  <c r="AG11" i="2"/>
  <c r="AG10" i="2"/>
  <c r="AG9" i="2"/>
  <c r="AG8" i="2"/>
  <c r="AG7" i="2"/>
  <c r="AG6" i="2"/>
  <c r="AG5" i="2"/>
  <c r="AG4" i="2"/>
  <c r="AG3" i="2"/>
  <c r="AD448" i="2"/>
  <c r="AD447" i="2"/>
  <c r="AD446" i="2"/>
  <c r="AD445" i="2"/>
  <c r="AD444" i="2"/>
  <c r="AD443" i="2"/>
  <c r="AD442" i="2"/>
  <c r="AD441" i="2"/>
  <c r="AD440" i="2"/>
  <c r="AD439" i="2"/>
  <c r="AD438" i="2"/>
  <c r="AD437" i="2"/>
  <c r="AD436" i="2"/>
  <c r="AD435" i="2"/>
  <c r="AD434" i="2"/>
  <c r="AD433" i="2"/>
  <c r="AD432" i="2"/>
  <c r="AD431" i="2"/>
  <c r="AD430" i="2"/>
  <c r="AD429" i="2"/>
  <c r="AD428" i="2"/>
  <c r="AD427" i="2"/>
  <c r="AD426" i="2"/>
  <c r="AD425" i="2"/>
  <c r="AD424" i="2"/>
  <c r="AD423" i="2"/>
  <c r="AD422" i="2"/>
  <c r="AD421" i="2"/>
  <c r="AD420" i="2"/>
  <c r="AD419" i="2"/>
  <c r="AD418" i="2"/>
  <c r="AD417" i="2"/>
  <c r="AD416" i="2"/>
  <c r="AD415" i="2"/>
  <c r="AD414" i="2"/>
  <c r="AD413" i="2"/>
  <c r="AD412" i="2"/>
  <c r="AD411" i="2"/>
  <c r="AD410" i="2"/>
  <c r="AD409" i="2"/>
  <c r="AD408" i="2"/>
  <c r="AD407" i="2"/>
  <c r="AD406" i="2"/>
  <c r="AD405" i="2"/>
  <c r="AD404" i="2"/>
  <c r="AD403" i="2"/>
  <c r="AD402" i="2"/>
  <c r="AD401" i="2"/>
  <c r="AD400" i="2"/>
  <c r="AD399" i="2"/>
  <c r="AD398" i="2"/>
  <c r="AD397" i="2"/>
  <c r="AD396" i="2"/>
  <c r="AD395" i="2"/>
  <c r="AD394" i="2"/>
  <c r="AD393" i="2"/>
  <c r="AD392" i="2"/>
  <c r="AD391" i="2"/>
  <c r="AD390" i="2"/>
  <c r="AD389" i="2"/>
  <c r="AD388" i="2"/>
  <c r="AD387" i="2"/>
  <c r="AD386" i="2"/>
  <c r="AD385" i="2"/>
  <c r="AD384" i="2"/>
  <c r="AD383" i="2"/>
  <c r="AD382" i="2"/>
  <c r="AD381" i="2"/>
  <c r="AD380" i="2"/>
  <c r="AD379" i="2"/>
  <c r="AD378" i="2"/>
  <c r="AD377" i="2"/>
  <c r="AD376" i="2"/>
  <c r="AD375" i="2"/>
  <c r="AD374" i="2"/>
  <c r="AD373" i="2"/>
  <c r="AD372" i="2"/>
  <c r="AD371" i="2"/>
  <c r="AD370" i="2"/>
  <c r="AD369" i="2"/>
  <c r="AD368" i="2"/>
  <c r="AD367" i="2"/>
  <c r="AD366" i="2"/>
  <c r="AD365" i="2"/>
  <c r="AD364" i="2"/>
  <c r="AD363" i="2"/>
  <c r="AD362" i="2"/>
  <c r="AD361" i="2"/>
  <c r="AD360" i="2"/>
  <c r="AD359" i="2"/>
  <c r="AD358" i="2"/>
  <c r="AD357" i="2"/>
  <c r="AD356" i="2"/>
  <c r="AD355" i="2"/>
  <c r="AD354" i="2"/>
  <c r="AD353" i="2"/>
  <c r="AD352" i="2"/>
  <c r="AD351" i="2"/>
  <c r="AD350" i="2"/>
  <c r="AD349" i="2"/>
  <c r="AD348" i="2"/>
  <c r="AD347" i="2"/>
  <c r="AD346" i="2"/>
  <c r="AD345" i="2"/>
  <c r="AD344" i="2"/>
  <c r="AD343" i="2"/>
  <c r="AD342" i="2"/>
  <c r="AD341" i="2"/>
  <c r="AD340" i="2"/>
  <c r="AD339" i="2"/>
  <c r="AD338" i="2"/>
  <c r="AD337" i="2"/>
  <c r="AD336" i="2"/>
  <c r="AD335" i="2"/>
  <c r="AD334" i="2"/>
  <c r="AD333" i="2"/>
  <c r="AD332" i="2"/>
  <c r="AD331" i="2"/>
  <c r="AD330" i="2"/>
  <c r="AD329" i="2"/>
  <c r="AD328" i="2"/>
  <c r="AD327" i="2"/>
  <c r="AD326" i="2"/>
  <c r="AD325" i="2"/>
  <c r="AD324" i="2"/>
  <c r="AD323" i="2"/>
  <c r="AD322" i="2"/>
  <c r="AD321" i="2"/>
  <c r="AD320" i="2"/>
  <c r="AD319" i="2"/>
  <c r="AD318" i="2"/>
  <c r="AD317" i="2"/>
  <c r="AD316" i="2"/>
  <c r="AD315" i="2"/>
  <c r="AD314" i="2"/>
  <c r="AD313" i="2"/>
  <c r="AD312" i="2"/>
  <c r="AD311" i="2"/>
  <c r="AD310" i="2"/>
  <c r="AD309" i="2"/>
  <c r="AD308" i="2"/>
  <c r="AD307" i="2"/>
  <c r="AD306" i="2"/>
  <c r="AD305" i="2"/>
  <c r="AD304" i="2"/>
  <c r="AD303" i="2"/>
  <c r="AD302" i="2"/>
  <c r="AD301" i="2"/>
  <c r="AD300" i="2"/>
  <c r="AD299" i="2"/>
  <c r="AD298" i="2"/>
  <c r="AD297" i="2"/>
  <c r="AD296" i="2"/>
  <c r="AD295" i="2"/>
  <c r="AD294" i="2"/>
  <c r="AD293" i="2"/>
  <c r="AD292" i="2"/>
  <c r="AD291" i="2"/>
  <c r="AD290" i="2"/>
  <c r="AD289" i="2"/>
  <c r="AD288" i="2"/>
  <c r="AD287" i="2"/>
  <c r="AD286" i="2"/>
  <c r="AD285" i="2"/>
  <c r="AD284" i="2"/>
  <c r="AD283" i="2"/>
  <c r="AD282" i="2"/>
  <c r="AD281" i="2"/>
  <c r="AD280" i="2"/>
  <c r="AD279" i="2"/>
  <c r="AD278" i="2"/>
  <c r="AD277" i="2"/>
  <c r="AD276" i="2"/>
  <c r="AD275" i="2"/>
  <c r="AD274" i="2"/>
  <c r="AD273" i="2"/>
  <c r="AD272" i="2"/>
  <c r="AD271" i="2"/>
  <c r="AD270" i="2"/>
  <c r="AD269" i="2"/>
  <c r="AD268" i="2"/>
  <c r="AD267" i="2"/>
  <c r="AD266" i="2"/>
  <c r="AD265" i="2"/>
  <c r="AD264" i="2"/>
  <c r="AD263" i="2"/>
  <c r="AD262" i="2"/>
  <c r="AD261" i="2"/>
  <c r="AD260" i="2"/>
  <c r="AD259" i="2"/>
  <c r="AD258" i="2"/>
  <c r="AD257" i="2"/>
  <c r="AD256" i="2"/>
  <c r="AD255" i="2"/>
  <c r="AD254" i="2"/>
  <c r="AD253" i="2"/>
  <c r="AD252" i="2"/>
  <c r="AD251" i="2"/>
  <c r="AD250" i="2"/>
  <c r="AD249" i="2"/>
  <c r="AD248" i="2"/>
  <c r="AD247" i="2"/>
  <c r="AD246" i="2"/>
  <c r="AD245" i="2"/>
  <c r="AD244" i="2"/>
  <c r="AD243" i="2"/>
  <c r="AD242" i="2"/>
  <c r="AD241" i="2"/>
  <c r="AD240" i="2"/>
  <c r="AD239" i="2"/>
  <c r="AD238" i="2"/>
  <c r="AD237" i="2"/>
  <c r="AD236" i="2"/>
  <c r="AD235" i="2"/>
  <c r="AD234" i="2"/>
  <c r="AD233" i="2"/>
  <c r="AD232" i="2"/>
  <c r="AD231" i="2"/>
  <c r="AD230" i="2"/>
  <c r="AD229" i="2"/>
  <c r="AD228" i="2"/>
  <c r="AD227" i="2"/>
  <c r="AD226" i="2"/>
  <c r="AD225" i="2"/>
  <c r="AD224" i="2"/>
  <c r="AD223" i="2"/>
  <c r="AD222" i="2"/>
  <c r="AD221" i="2"/>
  <c r="AD220" i="2"/>
  <c r="AD219" i="2"/>
  <c r="AD218" i="2"/>
  <c r="AD217" i="2"/>
  <c r="AD216" i="2"/>
  <c r="AD215" i="2"/>
  <c r="AD214" i="2"/>
  <c r="AD213" i="2"/>
  <c r="AD212" i="2"/>
  <c r="AD211" i="2"/>
  <c r="AD210" i="2"/>
  <c r="AD209" i="2"/>
  <c r="AD208" i="2"/>
  <c r="AD207" i="2"/>
  <c r="AD206" i="2"/>
  <c r="AD205" i="2"/>
  <c r="AD204" i="2"/>
  <c r="AD203" i="2"/>
  <c r="AD202" i="2"/>
  <c r="AD201" i="2"/>
  <c r="AD200" i="2"/>
  <c r="AD199" i="2"/>
  <c r="AD198" i="2"/>
  <c r="AD197" i="2"/>
  <c r="AD196" i="2"/>
  <c r="AD195" i="2"/>
  <c r="AD194" i="2"/>
  <c r="AD193" i="2"/>
  <c r="AD192" i="2"/>
  <c r="AD191" i="2"/>
  <c r="AD190" i="2"/>
  <c r="AD189" i="2"/>
  <c r="AD188" i="2"/>
  <c r="AD187" i="2"/>
  <c r="AD186" i="2"/>
  <c r="AD185" i="2"/>
  <c r="AD184" i="2"/>
  <c r="AD183" i="2"/>
  <c r="AD182" i="2"/>
  <c r="AD181" i="2"/>
  <c r="AD180" i="2"/>
  <c r="AD179" i="2"/>
  <c r="AD178" i="2"/>
  <c r="AD177" i="2"/>
  <c r="AD176" i="2"/>
  <c r="AD175" i="2"/>
  <c r="AD174" i="2"/>
  <c r="AD173" i="2"/>
  <c r="AD172" i="2"/>
  <c r="AD171" i="2"/>
  <c r="AD170" i="2"/>
  <c r="AD169" i="2"/>
  <c r="AD168" i="2"/>
  <c r="AD167" i="2"/>
  <c r="AD166" i="2"/>
  <c r="AD165" i="2"/>
  <c r="AD164" i="2"/>
  <c r="AD163" i="2"/>
  <c r="AD162" i="2"/>
  <c r="AD161" i="2"/>
  <c r="AD160" i="2"/>
  <c r="AD159" i="2"/>
  <c r="AD158" i="2"/>
  <c r="AD157" i="2"/>
  <c r="AD156" i="2"/>
  <c r="AD155" i="2"/>
  <c r="AD154" i="2"/>
  <c r="AD153" i="2"/>
  <c r="AD152" i="2"/>
  <c r="AD151" i="2"/>
  <c r="AD150" i="2"/>
  <c r="AD149" i="2"/>
  <c r="AD148" i="2"/>
  <c r="AD147" i="2"/>
  <c r="AD146" i="2"/>
  <c r="AD145" i="2"/>
  <c r="AD144" i="2"/>
  <c r="AD143" i="2"/>
  <c r="AD142" i="2"/>
  <c r="AD141" i="2"/>
  <c r="AD140" i="2"/>
  <c r="AD139" i="2"/>
  <c r="AD138" i="2"/>
  <c r="AD137" i="2"/>
  <c r="AD136" i="2"/>
  <c r="AD135" i="2"/>
  <c r="AD134" i="2"/>
  <c r="AD133" i="2"/>
  <c r="AD132" i="2"/>
  <c r="AD131" i="2"/>
  <c r="AD130" i="2"/>
  <c r="AD129" i="2"/>
  <c r="AD128" i="2"/>
  <c r="AD127" i="2"/>
  <c r="AD126" i="2"/>
  <c r="AD125" i="2"/>
  <c r="AD124" i="2"/>
  <c r="AD123" i="2"/>
  <c r="AD122" i="2"/>
  <c r="AD121" i="2"/>
  <c r="AD120" i="2"/>
  <c r="AD119" i="2"/>
  <c r="AD118" i="2"/>
  <c r="AD117" i="2"/>
  <c r="AD116" i="2"/>
  <c r="AD115" i="2"/>
  <c r="AD114" i="2"/>
  <c r="AD113" i="2"/>
  <c r="AD112" i="2"/>
  <c r="AD111" i="2"/>
  <c r="AD110" i="2"/>
  <c r="AD109" i="2"/>
  <c r="AD108" i="2"/>
  <c r="AD107" i="2"/>
  <c r="AD106" i="2"/>
  <c r="AD105" i="2"/>
  <c r="AD104" i="2"/>
  <c r="AD103" i="2"/>
  <c r="AD102" i="2"/>
  <c r="AD101" i="2"/>
  <c r="AD100" i="2"/>
  <c r="AD99" i="2"/>
  <c r="AD98" i="2"/>
  <c r="AD97" i="2"/>
  <c r="AD96" i="2"/>
  <c r="AD95" i="2"/>
  <c r="AD94" i="2"/>
  <c r="AD93" i="2"/>
  <c r="AD92" i="2"/>
  <c r="AD91" i="2"/>
  <c r="AD90" i="2"/>
  <c r="AD89" i="2"/>
  <c r="AD88" i="2"/>
  <c r="AD87" i="2"/>
  <c r="AD86" i="2"/>
  <c r="AD85" i="2"/>
  <c r="AD84" i="2"/>
  <c r="AD83" i="2"/>
  <c r="AD82" i="2"/>
  <c r="AD81" i="2"/>
  <c r="AD80" i="2"/>
  <c r="AD79" i="2"/>
  <c r="AD78" i="2"/>
  <c r="AD77" i="2"/>
  <c r="AD76" i="2"/>
  <c r="AD75" i="2"/>
  <c r="AD74" i="2"/>
  <c r="AD73" i="2"/>
  <c r="AD72" i="2"/>
  <c r="AD71" i="2"/>
  <c r="AD70" i="2"/>
  <c r="AD69" i="2"/>
  <c r="AD68" i="2"/>
  <c r="AD67" i="2"/>
  <c r="AD66" i="2"/>
  <c r="AD65" i="2"/>
  <c r="AD64" i="2"/>
  <c r="AD63" i="2"/>
  <c r="AD62" i="2"/>
  <c r="AD61" i="2"/>
  <c r="AD60" i="2"/>
  <c r="AD59" i="2"/>
  <c r="AD58" i="2"/>
  <c r="AD57" i="2"/>
  <c r="AD56" i="2"/>
  <c r="AD55" i="2"/>
  <c r="AD54" i="2"/>
  <c r="AD53" i="2"/>
  <c r="AD52" i="2"/>
  <c r="AD51" i="2"/>
  <c r="AD50" i="2"/>
  <c r="AD49" i="2"/>
  <c r="AD48" i="2"/>
  <c r="AD47" i="2"/>
  <c r="AD46" i="2"/>
  <c r="AD45" i="2"/>
  <c r="AD44" i="2"/>
  <c r="AD43" i="2"/>
  <c r="AD42" i="2"/>
  <c r="AD41" i="2"/>
  <c r="AD40" i="2"/>
  <c r="AD39" i="2"/>
  <c r="AD38" i="2"/>
  <c r="AD37" i="2"/>
  <c r="AD36" i="2"/>
  <c r="AD35" i="2"/>
  <c r="AD34" i="2"/>
  <c r="AD33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D4" i="2"/>
  <c r="AD3" i="2"/>
  <c r="AA448" i="2"/>
  <c r="AA447" i="2"/>
  <c r="AA446" i="2"/>
  <c r="AA445" i="2"/>
  <c r="AA444" i="2"/>
  <c r="AA443" i="2"/>
  <c r="AA442" i="2"/>
  <c r="AA441" i="2"/>
  <c r="AA440" i="2"/>
  <c r="AA439" i="2"/>
  <c r="AA438" i="2"/>
  <c r="AA437" i="2"/>
  <c r="AA436" i="2"/>
  <c r="AA435" i="2"/>
  <c r="AA434" i="2"/>
  <c r="AA433" i="2"/>
  <c r="AA432" i="2"/>
  <c r="AA431" i="2"/>
  <c r="AA430" i="2"/>
  <c r="AA429" i="2"/>
  <c r="AA428" i="2"/>
  <c r="AA427" i="2"/>
  <c r="AA426" i="2"/>
  <c r="AA425" i="2"/>
  <c r="AA424" i="2"/>
  <c r="AA423" i="2"/>
  <c r="AA422" i="2"/>
  <c r="AA421" i="2"/>
  <c r="AA420" i="2"/>
  <c r="AA419" i="2"/>
  <c r="AA418" i="2"/>
  <c r="AA417" i="2"/>
  <c r="AA416" i="2"/>
  <c r="AA415" i="2"/>
  <c r="AA414" i="2"/>
  <c r="AA413" i="2"/>
  <c r="AA412" i="2"/>
  <c r="AA411" i="2"/>
  <c r="AA410" i="2"/>
  <c r="AA409" i="2"/>
  <c r="AA408" i="2"/>
  <c r="AA407" i="2"/>
  <c r="AA406" i="2"/>
  <c r="AA405" i="2"/>
  <c r="AA404" i="2"/>
  <c r="AA403" i="2"/>
  <c r="AA402" i="2"/>
  <c r="AA401" i="2"/>
  <c r="AA400" i="2"/>
  <c r="AA399" i="2"/>
  <c r="AA398" i="2"/>
  <c r="AA397" i="2"/>
  <c r="AA396" i="2"/>
  <c r="AA395" i="2"/>
  <c r="AA394" i="2"/>
  <c r="AA393" i="2"/>
  <c r="AA392" i="2"/>
  <c r="AA391" i="2"/>
  <c r="AA390" i="2"/>
  <c r="AA389" i="2"/>
  <c r="AA388" i="2"/>
  <c r="AA387" i="2"/>
  <c r="AA386" i="2"/>
  <c r="AA385" i="2"/>
  <c r="AA384" i="2"/>
  <c r="AA383" i="2"/>
  <c r="AA382" i="2"/>
  <c r="AA381" i="2"/>
  <c r="AA380" i="2"/>
  <c r="AA379" i="2"/>
  <c r="AA378" i="2"/>
  <c r="AA377" i="2"/>
  <c r="AA376" i="2"/>
  <c r="AA375" i="2"/>
  <c r="AA374" i="2"/>
  <c r="AA373" i="2"/>
  <c r="AA372" i="2"/>
  <c r="AA371" i="2"/>
  <c r="AA370" i="2"/>
  <c r="AA369" i="2"/>
  <c r="AA368" i="2"/>
  <c r="AA367" i="2"/>
  <c r="AA366" i="2"/>
  <c r="AA365" i="2"/>
  <c r="AA364" i="2"/>
  <c r="AA363" i="2"/>
  <c r="AA362" i="2"/>
  <c r="AA361" i="2"/>
  <c r="AA360" i="2"/>
  <c r="AA359" i="2"/>
  <c r="AA358" i="2"/>
  <c r="AA357" i="2"/>
  <c r="AA356" i="2"/>
  <c r="AA355" i="2"/>
  <c r="AA354" i="2"/>
  <c r="AA353" i="2"/>
  <c r="AA352" i="2"/>
  <c r="AA351" i="2"/>
  <c r="AA350" i="2"/>
  <c r="AA349" i="2"/>
  <c r="AA348" i="2"/>
  <c r="AA347" i="2"/>
  <c r="AA346" i="2"/>
  <c r="AA345" i="2"/>
  <c r="AA344" i="2"/>
  <c r="AA343" i="2"/>
  <c r="AA342" i="2"/>
  <c r="AA341" i="2"/>
  <c r="AA340" i="2"/>
  <c r="AA339" i="2"/>
  <c r="AA338" i="2"/>
  <c r="AA337" i="2"/>
  <c r="AA336" i="2"/>
  <c r="AA335" i="2"/>
  <c r="AA334" i="2"/>
  <c r="AA333" i="2"/>
  <c r="AA332" i="2"/>
  <c r="AA331" i="2"/>
  <c r="AA330" i="2"/>
  <c r="AA329" i="2"/>
  <c r="AA328" i="2"/>
  <c r="AA327" i="2"/>
  <c r="AA326" i="2"/>
  <c r="AA325" i="2"/>
  <c r="AA324" i="2"/>
  <c r="AA323" i="2"/>
  <c r="AA322" i="2"/>
  <c r="AA321" i="2"/>
  <c r="AA320" i="2"/>
  <c r="AA319" i="2"/>
  <c r="AA318" i="2"/>
  <c r="AA317" i="2"/>
  <c r="AA316" i="2"/>
  <c r="AA315" i="2"/>
  <c r="AA314" i="2"/>
  <c r="AA313" i="2"/>
  <c r="AA312" i="2"/>
  <c r="AA311" i="2"/>
  <c r="AA310" i="2"/>
  <c r="AA309" i="2"/>
  <c r="AA308" i="2"/>
  <c r="AA307" i="2"/>
  <c r="AA306" i="2"/>
  <c r="AA305" i="2"/>
  <c r="AA304" i="2"/>
  <c r="AA303" i="2"/>
  <c r="AA302" i="2"/>
  <c r="AA301" i="2"/>
  <c r="AA300" i="2"/>
  <c r="AA299" i="2"/>
  <c r="AA298" i="2"/>
  <c r="AA297" i="2"/>
  <c r="AA296" i="2"/>
  <c r="AA295" i="2"/>
  <c r="AA294" i="2"/>
  <c r="AA293" i="2"/>
  <c r="AA292" i="2"/>
  <c r="AA291" i="2"/>
  <c r="AA290" i="2"/>
  <c r="AA289" i="2"/>
  <c r="AA288" i="2"/>
  <c r="AA287" i="2"/>
  <c r="AA286" i="2"/>
  <c r="AA285" i="2"/>
  <c r="AA284" i="2"/>
  <c r="AA283" i="2"/>
  <c r="AA282" i="2"/>
  <c r="AA281" i="2"/>
  <c r="AA280" i="2"/>
  <c r="AA279" i="2"/>
  <c r="AA278" i="2"/>
  <c r="AA277" i="2"/>
  <c r="AA276" i="2"/>
  <c r="AA275" i="2"/>
  <c r="AA274" i="2"/>
  <c r="AA273" i="2"/>
  <c r="AA272" i="2"/>
  <c r="AA271" i="2"/>
  <c r="AA270" i="2"/>
  <c r="AA269" i="2"/>
  <c r="AA268" i="2"/>
  <c r="AA267" i="2"/>
  <c r="AA266" i="2"/>
  <c r="AA265" i="2"/>
  <c r="AA264" i="2"/>
  <c r="AA263" i="2"/>
  <c r="AA262" i="2"/>
  <c r="AA261" i="2"/>
  <c r="AA260" i="2"/>
  <c r="AA259" i="2"/>
  <c r="AA258" i="2"/>
  <c r="AA257" i="2"/>
  <c r="AA256" i="2"/>
  <c r="AA255" i="2"/>
  <c r="AA254" i="2"/>
  <c r="AA253" i="2"/>
  <c r="AA252" i="2"/>
  <c r="AA251" i="2"/>
  <c r="AA250" i="2"/>
  <c r="AA249" i="2"/>
  <c r="AA248" i="2"/>
  <c r="AA247" i="2"/>
  <c r="AA246" i="2"/>
  <c r="AA245" i="2"/>
  <c r="AA244" i="2"/>
  <c r="AA243" i="2"/>
  <c r="AA242" i="2"/>
  <c r="AA241" i="2"/>
  <c r="AA240" i="2"/>
  <c r="AA239" i="2"/>
  <c r="AA238" i="2"/>
  <c r="AA237" i="2"/>
  <c r="AA236" i="2"/>
  <c r="AA235" i="2"/>
  <c r="AA234" i="2"/>
  <c r="AA233" i="2"/>
  <c r="AA232" i="2"/>
  <c r="AA231" i="2"/>
  <c r="AA230" i="2"/>
  <c r="AA229" i="2"/>
  <c r="AA228" i="2"/>
  <c r="AA227" i="2"/>
  <c r="AA226" i="2"/>
  <c r="AA225" i="2"/>
  <c r="AA224" i="2"/>
  <c r="AA223" i="2"/>
  <c r="AA222" i="2"/>
  <c r="AA221" i="2"/>
  <c r="AA220" i="2"/>
  <c r="AA219" i="2"/>
  <c r="AA218" i="2"/>
  <c r="AA217" i="2"/>
  <c r="AA216" i="2"/>
  <c r="AA215" i="2"/>
  <c r="AA214" i="2"/>
  <c r="AA213" i="2"/>
  <c r="AA212" i="2"/>
  <c r="AA211" i="2"/>
  <c r="AA210" i="2"/>
  <c r="AA209" i="2"/>
  <c r="AA208" i="2"/>
  <c r="AA207" i="2"/>
  <c r="AA206" i="2"/>
  <c r="AA205" i="2"/>
  <c r="AA204" i="2"/>
  <c r="AA203" i="2"/>
  <c r="AA202" i="2"/>
  <c r="AA201" i="2"/>
  <c r="AA200" i="2"/>
  <c r="AA199" i="2"/>
  <c r="AA198" i="2"/>
  <c r="AA197" i="2"/>
  <c r="AA196" i="2"/>
  <c r="AA195" i="2"/>
  <c r="AA194" i="2"/>
  <c r="AA193" i="2"/>
  <c r="AA192" i="2"/>
  <c r="AA191" i="2"/>
  <c r="AA190" i="2"/>
  <c r="AA189" i="2"/>
  <c r="AA188" i="2"/>
  <c r="AA187" i="2"/>
  <c r="AA186" i="2"/>
  <c r="AA185" i="2"/>
  <c r="AA184" i="2"/>
  <c r="AA183" i="2"/>
  <c r="AA182" i="2"/>
  <c r="AA181" i="2"/>
  <c r="AA180" i="2"/>
  <c r="AA179" i="2"/>
  <c r="AA178" i="2"/>
  <c r="AA177" i="2"/>
  <c r="AA176" i="2"/>
  <c r="AA175" i="2"/>
  <c r="AA174" i="2"/>
  <c r="AA173" i="2"/>
  <c r="AA172" i="2"/>
  <c r="AA171" i="2"/>
  <c r="AA170" i="2"/>
  <c r="AA169" i="2"/>
  <c r="AA168" i="2"/>
  <c r="AA167" i="2"/>
  <c r="AA166" i="2"/>
  <c r="AA165" i="2"/>
  <c r="AA164" i="2"/>
  <c r="AA163" i="2"/>
  <c r="AA162" i="2"/>
  <c r="AA161" i="2"/>
  <c r="AA160" i="2"/>
  <c r="AA159" i="2"/>
  <c r="AA158" i="2"/>
  <c r="AA157" i="2"/>
  <c r="AA156" i="2"/>
  <c r="AA155" i="2"/>
  <c r="AA154" i="2"/>
  <c r="AA153" i="2"/>
  <c r="AA152" i="2"/>
  <c r="AA151" i="2"/>
  <c r="AA150" i="2"/>
  <c r="AA149" i="2"/>
  <c r="AA148" i="2"/>
  <c r="AA147" i="2"/>
  <c r="AA146" i="2"/>
  <c r="AA145" i="2"/>
  <c r="AA144" i="2"/>
  <c r="AA143" i="2"/>
  <c r="AA142" i="2"/>
  <c r="AA141" i="2"/>
  <c r="AA140" i="2"/>
  <c r="AA139" i="2"/>
  <c r="AA138" i="2"/>
  <c r="AA137" i="2"/>
  <c r="AA136" i="2"/>
  <c r="AA135" i="2"/>
  <c r="AA134" i="2"/>
  <c r="AA133" i="2"/>
  <c r="AA132" i="2"/>
  <c r="AA131" i="2"/>
  <c r="AA130" i="2"/>
  <c r="AA129" i="2"/>
  <c r="AA128" i="2"/>
  <c r="AA127" i="2"/>
  <c r="AA126" i="2"/>
  <c r="AA125" i="2"/>
  <c r="AA124" i="2"/>
  <c r="AA123" i="2"/>
  <c r="AA122" i="2"/>
  <c r="AA121" i="2"/>
  <c r="AA120" i="2"/>
  <c r="AA119" i="2"/>
  <c r="AA118" i="2"/>
  <c r="AA117" i="2"/>
  <c r="AA116" i="2"/>
  <c r="AA115" i="2"/>
  <c r="AA114" i="2"/>
  <c r="AA113" i="2"/>
  <c r="AA112" i="2"/>
  <c r="AA111" i="2"/>
  <c r="AA110" i="2"/>
  <c r="AA109" i="2"/>
  <c r="AA108" i="2"/>
  <c r="AA107" i="2"/>
  <c r="AA106" i="2"/>
  <c r="AA105" i="2"/>
  <c r="AA104" i="2"/>
  <c r="AA103" i="2"/>
  <c r="AA102" i="2"/>
  <c r="AA101" i="2"/>
  <c r="AA100" i="2"/>
  <c r="AA99" i="2"/>
  <c r="AA98" i="2"/>
  <c r="AA97" i="2"/>
  <c r="AA96" i="2"/>
  <c r="AA95" i="2"/>
  <c r="AA94" i="2"/>
  <c r="AA93" i="2"/>
  <c r="AA92" i="2"/>
  <c r="AA91" i="2"/>
  <c r="AA90" i="2"/>
  <c r="AA89" i="2"/>
  <c r="AA88" i="2"/>
  <c r="AA87" i="2"/>
  <c r="AA86" i="2"/>
  <c r="AA85" i="2"/>
  <c r="AA84" i="2"/>
  <c r="AA83" i="2"/>
  <c r="AA82" i="2"/>
  <c r="AA81" i="2"/>
  <c r="AA80" i="2"/>
  <c r="AA79" i="2"/>
  <c r="AA78" i="2"/>
  <c r="AA77" i="2"/>
  <c r="AA76" i="2"/>
  <c r="AA75" i="2"/>
  <c r="AA74" i="2"/>
  <c r="AA73" i="2"/>
  <c r="AA72" i="2"/>
  <c r="AA71" i="2"/>
  <c r="AA70" i="2"/>
  <c r="AA69" i="2"/>
  <c r="AA68" i="2"/>
  <c r="AA67" i="2"/>
  <c r="AA66" i="2"/>
  <c r="AA65" i="2"/>
  <c r="AA64" i="2"/>
  <c r="AA63" i="2"/>
  <c r="AA62" i="2"/>
  <c r="AA61" i="2"/>
  <c r="AA60" i="2"/>
  <c r="AA59" i="2"/>
  <c r="AA58" i="2"/>
  <c r="AA57" i="2"/>
  <c r="AA56" i="2"/>
  <c r="AA55" i="2"/>
  <c r="AA54" i="2"/>
  <c r="AA53" i="2"/>
  <c r="AA52" i="2"/>
  <c r="AA51" i="2"/>
  <c r="AA50" i="2"/>
  <c r="AA49" i="2"/>
  <c r="AA48" i="2"/>
  <c r="AA47" i="2"/>
  <c r="AA46" i="2"/>
  <c r="AA45" i="2"/>
  <c r="AA44" i="2"/>
  <c r="AA43" i="2"/>
  <c r="AA42" i="2"/>
  <c r="AA41" i="2"/>
  <c r="AA40" i="2"/>
  <c r="AA39" i="2"/>
  <c r="AA38" i="2"/>
  <c r="AA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5" i="2"/>
  <c r="AA4" i="2"/>
  <c r="AA3" i="2"/>
  <c r="X448" i="2"/>
  <c r="X447" i="2"/>
  <c r="X446" i="2"/>
  <c r="X445" i="2"/>
  <c r="X444" i="2"/>
  <c r="X443" i="2"/>
  <c r="X442" i="2"/>
  <c r="X441" i="2"/>
  <c r="X440" i="2"/>
  <c r="X439" i="2"/>
  <c r="X438" i="2"/>
  <c r="X437" i="2"/>
  <c r="X436" i="2"/>
  <c r="X435" i="2"/>
  <c r="X434" i="2"/>
  <c r="X433" i="2"/>
  <c r="X432" i="2"/>
  <c r="X431" i="2"/>
  <c r="X430" i="2"/>
  <c r="X429" i="2"/>
  <c r="X428" i="2"/>
  <c r="X427" i="2"/>
  <c r="X426" i="2"/>
  <c r="X425" i="2"/>
  <c r="X424" i="2"/>
  <c r="X423" i="2"/>
  <c r="X422" i="2"/>
  <c r="X421" i="2"/>
  <c r="X420" i="2"/>
  <c r="X419" i="2"/>
  <c r="X418" i="2"/>
  <c r="X417" i="2"/>
  <c r="X416" i="2"/>
  <c r="X415" i="2"/>
  <c r="X414" i="2"/>
  <c r="X413" i="2"/>
  <c r="X412" i="2"/>
  <c r="X411" i="2"/>
  <c r="X410" i="2"/>
  <c r="X409" i="2"/>
  <c r="X408" i="2"/>
  <c r="X407" i="2"/>
  <c r="X406" i="2"/>
  <c r="X405" i="2"/>
  <c r="X404" i="2"/>
  <c r="X403" i="2"/>
  <c r="X402" i="2"/>
  <c r="X401" i="2"/>
  <c r="X400" i="2"/>
  <c r="X399" i="2"/>
  <c r="X398" i="2"/>
  <c r="X397" i="2"/>
  <c r="X396" i="2"/>
  <c r="X395" i="2"/>
  <c r="X394" i="2"/>
  <c r="X393" i="2"/>
  <c r="X392" i="2"/>
  <c r="X391" i="2"/>
  <c r="X390" i="2"/>
  <c r="X389" i="2"/>
  <c r="X388" i="2"/>
  <c r="X387" i="2"/>
  <c r="X386" i="2"/>
  <c r="X385" i="2"/>
  <c r="X384" i="2"/>
  <c r="X383" i="2"/>
  <c r="X382" i="2"/>
  <c r="X381" i="2"/>
  <c r="X380" i="2"/>
  <c r="X379" i="2"/>
  <c r="X378" i="2"/>
  <c r="X377" i="2"/>
  <c r="X376" i="2"/>
  <c r="X375" i="2"/>
  <c r="X374" i="2"/>
  <c r="X373" i="2"/>
  <c r="X372" i="2"/>
  <c r="X371" i="2"/>
  <c r="X370" i="2"/>
  <c r="X369" i="2"/>
  <c r="X368" i="2"/>
  <c r="X367" i="2"/>
  <c r="X366" i="2"/>
  <c r="X365" i="2"/>
  <c r="X364" i="2"/>
  <c r="X363" i="2"/>
  <c r="X362" i="2"/>
  <c r="X361" i="2"/>
  <c r="X360" i="2"/>
  <c r="X359" i="2"/>
  <c r="X358" i="2"/>
  <c r="X357" i="2"/>
  <c r="X356" i="2"/>
  <c r="X355" i="2"/>
  <c r="X354" i="2"/>
  <c r="X353" i="2"/>
  <c r="X352" i="2"/>
  <c r="X351" i="2"/>
  <c r="X350" i="2"/>
  <c r="X349" i="2"/>
  <c r="X348" i="2"/>
  <c r="X347" i="2"/>
  <c r="X346" i="2"/>
  <c r="X345" i="2"/>
  <c r="X344" i="2"/>
  <c r="X343" i="2"/>
  <c r="X342" i="2"/>
  <c r="X341" i="2"/>
  <c r="X340" i="2"/>
  <c r="X339" i="2"/>
  <c r="X338" i="2"/>
  <c r="X337" i="2"/>
  <c r="X336" i="2"/>
  <c r="X335" i="2"/>
  <c r="X334" i="2"/>
  <c r="X333" i="2"/>
  <c r="X332" i="2"/>
  <c r="X331" i="2"/>
  <c r="X330" i="2"/>
  <c r="X329" i="2"/>
  <c r="X328" i="2"/>
  <c r="X327" i="2"/>
  <c r="X326" i="2"/>
  <c r="X325" i="2"/>
  <c r="X324" i="2"/>
  <c r="X323" i="2"/>
  <c r="X322" i="2"/>
  <c r="X321" i="2"/>
  <c r="X320" i="2"/>
  <c r="X319" i="2"/>
  <c r="X318" i="2"/>
  <c r="X317" i="2"/>
  <c r="X316" i="2"/>
  <c r="X315" i="2"/>
  <c r="X314" i="2"/>
  <c r="X313" i="2"/>
  <c r="X312" i="2"/>
  <c r="X311" i="2"/>
  <c r="X310" i="2"/>
  <c r="X309" i="2"/>
  <c r="X308" i="2"/>
  <c r="X307" i="2"/>
  <c r="X306" i="2"/>
  <c r="X305" i="2"/>
  <c r="X304" i="2"/>
  <c r="X303" i="2"/>
  <c r="X302" i="2"/>
  <c r="X301" i="2"/>
  <c r="X300" i="2"/>
  <c r="X299" i="2"/>
  <c r="X298" i="2"/>
  <c r="X297" i="2"/>
  <c r="X296" i="2"/>
  <c r="X295" i="2"/>
  <c r="X294" i="2"/>
  <c r="X293" i="2"/>
  <c r="X292" i="2"/>
  <c r="X291" i="2"/>
  <c r="X290" i="2"/>
  <c r="X289" i="2"/>
  <c r="X288" i="2"/>
  <c r="X287" i="2"/>
  <c r="X286" i="2"/>
  <c r="X285" i="2"/>
  <c r="X284" i="2"/>
  <c r="X283" i="2"/>
  <c r="X282" i="2"/>
  <c r="X281" i="2"/>
  <c r="X280" i="2"/>
  <c r="X279" i="2"/>
  <c r="X278" i="2"/>
  <c r="X277" i="2"/>
  <c r="X276" i="2"/>
  <c r="X275" i="2"/>
  <c r="X274" i="2"/>
  <c r="X273" i="2"/>
  <c r="X272" i="2"/>
  <c r="X271" i="2"/>
  <c r="X270" i="2"/>
  <c r="X269" i="2"/>
  <c r="X268" i="2"/>
  <c r="X267" i="2"/>
  <c r="X266" i="2"/>
  <c r="X265" i="2"/>
  <c r="X264" i="2"/>
  <c r="X263" i="2"/>
  <c r="X262" i="2"/>
  <c r="X261" i="2"/>
  <c r="X260" i="2"/>
  <c r="X259" i="2"/>
  <c r="X258" i="2"/>
  <c r="X257" i="2"/>
  <c r="X256" i="2"/>
  <c r="X255" i="2"/>
  <c r="X254" i="2"/>
  <c r="X253" i="2"/>
  <c r="X252" i="2"/>
  <c r="X251" i="2"/>
  <c r="X250" i="2"/>
  <c r="X249" i="2"/>
  <c r="X248" i="2"/>
  <c r="X247" i="2"/>
  <c r="X246" i="2"/>
  <c r="X245" i="2"/>
  <c r="X244" i="2"/>
  <c r="X243" i="2"/>
  <c r="X242" i="2"/>
  <c r="X241" i="2"/>
  <c r="X240" i="2"/>
  <c r="X239" i="2"/>
  <c r="X238" i="2"/>
  <c r="X237" i="2"/>
  <c r="X236" i="2"/>
  <c r="X235" i="2"/>
  <c r="X234" i="2"/>
  <c r="X233" i="2"/>
  <c r="X232" i="2"/>
  <c r="X231" i="2"/>
  <c r="X230" i="2"/>
  <c r="X229" i="2"/>
  <c r="X228" i="2"/>
  <c r="X227" i="2"/>
  <c r="X226" i="2"/>
  <c r="X225" i="2"/>
  <c r="X224" i="2"/>
  <c r="X223" i="2"/>
  <c r="X222" i="2"/>
  <c r="X221" i="2"/>
  <c r="X220" i="2"/>
  <c r="X219" i="2"/>
  <c r="X218" i="2"/>
  <c r="X217" i="2"/>
  <c r="X216" i="2"/>
  <c r="X215" i="2"/>
  <c r="X214" i="2"/>
  <c r="X213" i="2"/>
  <c r="X212" i="2"/>
  <c r="X211" i="2"/>
  <c r="X210" i="2"/>
  <c r="X209" i="2"/>
  <c r="X208" i="2"/>
  <c r="X207" i="2"/>
  <c r="X206" i="2"/>
  <c r="X205" i="2"/>
  <c r="X204" i="2"/>
  <c r="X203" i="2"/>
  <c r="X202" i="2"/>
  <c r="X201" i="2"/>
  <c r="X200" i="2"/>
  <c r="X199" i="2"/>
  <c r="X198" i="2"/>
  <c r="X197" i="2"/>
  <c r="X196" i="2"/>
  <c r="X195" i="2"/>
  <c r="X194" i="2"/>
  <c r="X193" i="2"/>
  <c r="X192" i="2"/>
  <c r="X191" i="2"/>
  <c r="X190" i="2"/>
  <c r="X189" i="2"/>
  <c r="X188" i="2"/>
  <c r="X187" i="2"/>
  <c r="X186" i="2"/>
  <c r="X185" i="2"/>
  <c r="X184" i="2"/>
  <c r="X183" i="2"/>
  <c r="X182" i="2"/>
  <c r="X181" i="2"/>
  <c r="X180" i="2"/>
  <c r="X179" i="2"/>
  <c r="X178" i="2"/>
  <c r="X177" i="2"/>
  <c r="X176" i="2"/>
  <c r="X175" i="2"/>
  <c r="X174" i="2"/>
  <c r="X173" i="2"/>
  <c r="X172" i="2"/>
  <c r="X171" i="2"/>
  <c r="X170" i="2"/>
  <c r="X169" i="2"/>
  <c r="X168" i="2"/>
  <c r="X167" i="2"/>
  <c r="X166" i="2"/>
  <c r="X165" i="2"/>
  <c r="X164" i="2"/>
  <c r="X163" i="2"/>
  <c r="X162" i="2"/>
  <c r="X161" i="2"/>
  <c r="X160" i="2"/>
  <c r="X159" i="2"/>
  <c r="X158" i="2"/>
  <c r="X157" i="2"/>
  <c r="X156" i="2"/>
  <c r="X155" i="2"/>
  <c r="X154" i="2"/>
  <c r="X153" i="2"/>
  <c r="X152" i="2"/>
  <c r="X151" i="2"/>
  <c r="X150" i="2"/>
  <c r="X149" i="2"/>
  <c r="X148" i="2"/>
  <c r="X147" i="2"/>
  <c r="X146" i="2"/>
  <c r="X145" i="2"/>
  <c r="X144" i="2"/>
  <c r="X143" i="2"/>
  <c r="X142" i="2"/>
  <c r="X141" i="2"/>
  <c r="X140" i="2"/>
  <c r="X139" i="2"/>
  <c r="X138" i="2"/>
  <c r="X137" i="2"/>
  <c r="X136" i="2"/>
  <c r="X135" i="2"/>
  <c r="X134" i="2"/>
  <c r="X133" i="2"/>
  <c r="X132" i="2"/>
  <c r="X131" i="2"/>
  <c r="X130" i="2"/>
  <c r="X129" i="2"/>
  <c r="X128" i="2"/>
  <c r="X127" i="2"/>
  <c r="X126" i="2"/>
  <c r="X125" i="2"/>
  <c r="X124" i="2"/>
  <c r="X123" i="2"/>
  <c r="X122" i="2"/>
  <c r="X121" i="2"/>
  <c r="X120" i="2"/>
  <c r="X119" i="2"/>
  <c r="X118" i="2"/>
  <c r="X117" i="2"/>
  <c r="X116" i="2"/>
  <c r="X115" i="2"/>
  <c r="X114" i="2"/>
  <c r="X113" i="2"/>
  <c r="X112" i="2"/>
  <c r="X111" i="2"/>
  <c r="X110" i="2"/>
  <c r="X109" i="2"/>
  <c r="X108" i="2"/>
  <c r="X107" i="2"/>
  <c r="X106" i="2"/>
  <c r="X105" i="2"/>
  <c r="X104" i="2"/>
  <c r="X103" i="2"/>
  <c r="X102" i="2"/>
  <c r="X101" i="2"/>
  <c r="X100" i="2"/>
  <c r="X99" i="2"/>
  <c r="X98" i="2"/>
  <c r="X97" i="2"/>
  <c r="X96" i="2"/>
  <c r="X95" i="2"/>
  <c r="X94" i="2"/>
  <c r="X93" i="2"/>
  <c r="X92" i="2"/>
  <c r="X91" i="2"/>
  <c r="X90" i="2"/>
  <c r="X89" i="2"/>
  <c r="X88" i="2"/>
  <c r="X87" i="2"/>
  <c r="X86" i="2"/>
  <c r="X85" i="2"/>
  <c r="X84" i="2"/>
  <c r="X83" i="2"/>
  <c r="X82" i="2"/>
  <c r="X81" i="2"/>
  <c r="X80" i="2"/>
  <c r="X79" i="2"/>
  <c r="X78" i="2"/>
  <c r="X77" i="2"/>
  <c r="X76" i="2"/>
  <c r="X75" i="2"/>
  <c r="X74" i="2"/>
  <c r="X73" i="2"/>
  <c r="X72" i="2"/>
  <c r="X71" i="2"/>
  <c r="X70" i="2"/>
  <c r="X69" i="2"/>
  <c r="X68" i="2"/>
  <c r="X67" i="2"/>
  <c r="X66" i="2"/>
  <c r="X65" i="2"/>
  <c r="X64" i="2"/>
  <c r="X63" i="2"/>
  <c r="X62" i="2"/>
  <c r="X61" i="2"/>
  <c r="X60" i="2"/>
  <c r="X59" i="2"/>
  <c r="X58" i="2"/>
  <c r="X57" i="2"/>
  <c r="X56" i="2"/>
  <c r="X55" i="2"/>
  <c r="X54" i="2"/>
  <c r="X53" i="2"/>
  <c r="X52" i="2"/>
  <c r="X51" i="2"/>
  <c r="X50" i="2"/>
  <c r="X49" i="2"/>
  <c r="X48" i="2"/>
  <c r="X47" i="2"/>
  <c r="X46" i="2"/>
  <c r="X45" i="2"/>
  <c r="X44" i="2"/>
  <c r="X43" i="2"/>
  <c r="X42" i="2"/>
  <c r="X41" i="2"/>
  <c r="X40" i="2"/>
  <c r="X39" i="2"/>
  <c r="X38" i="2"/>
  <c r="X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X4" i="2"/>
  <c r="X3" i="2"/>
  <c r="U448" i="2"/>
  <c r="U447" i="2"/>
  <c r="U446" i="2"/>
  <c r="U445" i="2"/>
  <c r="U444" i="2"/>
  <c r="U443" i="2"/>
  <c r="U442" i="2"/>
  <c r="U441" i="2"/>
  <c r="U440" i="2"/>
  <c r="U439" i="2"/>
  <c r="U438" i="2"/>
  <c r="U437" i="2"/>
  <c r="U436" i="2"/>
  <c r="U435" i="2"/>
  <c r="U434" i="2"/>
  <c r="U433" i="2"/>
  <c r="U432" i="2"/>
  <c r="U431" i="2"/>
  <c r="U430" i="2"/>
  <c r="U429" i="2"/>
  <c r="U428" i="2"/>
  <c r="U427" i="2"/>
  <c r="U426" i="2"/>
  <c r="U425" i="2"/>
  <c r="U424" i="2"/>
  <c r="U423" i="2"/>
  <c r="U422" i="2"/>
  <c r="U421" i="2"/>
  <c r="U420" i="2"/>
  <c r="U419" i="2"/>
  <c r="U418" i="2"/>
  <c r="U417" i="2"/>
  <c r="U416" i="2"/>
  <c r="U415" i="2"/>
  <c r="U414" i="2"/>
  <c r="U413" i="2"/>
  <c r="U412" i="2"/>
  <c r="U411" i="2"/>
  <c r="U410" i="2"/>
  <c r="U409" i="2"/>
  <c r="U408" i="2"/>
  <c r="U407" i="2"/>
  <c r="U406" i="2"/>
  <c r="U405" i="2"/>
  <c r="U404" i="2"/>
  <c r="U403" i="2"/>
  <c r="U402" i="2"/>
  <c r="U401" i="2"/>
  <c r="U400" i="2"/>
  <c r="U399" i="2"/>
  <c r="U398" i="2"/>
  <c r="U397" i="2"/>
  <c r="U396" i="2"/>
  <c r="U395" i="2"/>
  <c r="U394" i="2"/>
  <c r="U393" i="2"/>
  <c r="U392" i="2"/>
  <c r="U391" i="2"/>
  <c r="U390" i="2"/>
  <c r="U389" i="2"/>
  <c r="U388" i="2"/>
  <c r="U387" i="2"/>
  <c r="U386" i="2"/>
  <c r="U385" i="2"/>
  <c r="U384" i="2"/>
  <c r="U383" i="2"/>
  <c r="U382" i="2"/>
  <c r="U381" i="2"/>
  <c r="U380" i="2"/>
  <c r="U379" i="2"/>
  <c r="U378" i="2"/>
  <c r="U377" i="2"/>
  <c r="U376" i="2"/>
  <c r="U375" i="2"/>
  <c r="U374" i="2"/>
  <c r="U373" i="2"/>
  <c r="U372" i="2"/>
  <c r="U371" i="2"/>
  <c r="U370" i="2"/>
  <c r="U369" i="2"/>
  <c r="U368" i="2"/>
  <c r="U367" i="2"/>
  <c r="U366" i="2"/>
  <c r="U365" i="2"/>
  <c r="U364" i="2"/>
  <c r="U363" i="2"/>
  <c r="U362" i="2"/>
  <c r="U361" i="2"/>
  <c r="U360" i="2"/>
  <c r="U359" i="2"/>
  <c r="U358" i="2"/>
  <c r="U357" i="2"/>
  <c r="U356" i="2"/>
  <c r="U355" i="2"/>
  <c r="U354" i="2"/>
  <c r="U353" i="2"/>
  <c r="U352" i="2"/>
  <c r="U351" i="2"/>
  <c r="U350" i="2"/>
  <c r="U349" i="2"/>
  <c r="U348" i="2"/>
  <c r="U347" i="2"/>
  <c r="U346" i="2"/>
  <c r="U345" i="2"/>
  <c r="U344" i="2"/>
  <c r="U343" i="2"/>
  <c r="U342" i="2"/>
  <c r="U341" i="2"/>
  <c r="U340" i="2"/>
  <c r="U339" i="2"/>
  <c r="U338" i="2"/>
  <c r="U337" i="2"/>
  <c r="U336" i="2"/>
  <c r="U335" i="2"/>
  <c r="U334" i="2"/>
  <c r="U333" i="2"/>
  <c r="U332" i="2"/>
  <c r="U331" i="2"/>
  <c r="U330" i="2"/>
  <c r="U329" i="2"/>
  <c r="U328" i="2"/>
  <c r="U327" i="2"/>
  <c r="U326" i="2"/>
  <c r="U325" i="2"/>
  <c r="U324" i="2"/>
  <c r="U323" i="2"/>
  <c r="U322" i="2"/>
  <c r="U321" i="2"/>
  <c r="U320" i="2"/>
  <c r="U319" i="2"/>
  <c r="U318" i="2"/>
  <c r="U317" i="2"/>
  <c r="U316" i="2"/>
  <c r="U315" i="2"/>
  <c r="U314" i="2"/>
  <c r="U313" i="2"/>
  <c r="U312" i="2"/>
  <c r="U311" i="2"/>
  <c r="U310" i="2"/>
  <c r="U309" i="2"/>
  <c r="U308" i="2"/>
  <c r="U307" i="2"/>
  <c r="U306" i="2"/>
  <c r="U305" i="2"/>
  <c r="U304" i="2"/>
  <c r="U303" i="2"/>
  <c r="U302" i="2"/>
  <c r="U301" i="2"/>
  <c r="U300" i="2"/>
  <c r="U299" i="2"/>
  <c r="U298" i="2"/>
  <c r="U297" i="2"/>
  <c r="U296" i="2"/>
  <c r="U295" i="2"/>
  <c r="U294" i="2"/>
  <c r="U293" i="2"/>
  <c r="U292" i="2"/>
  <c r="U291" i="2"/>
  <c r="U290" i="2"/>
  <c r="U289" i="2"/>
  <c r="U288" i="2"/>
  <c r="U287" i="2"/>
  <c r="U286" i="2"/>
  <c r="U285" i="2"/>
  <c r="U284" i="2"/>
  <c r="U283" i="2"/>
  <c r="U282" i="2"/>
  <c r="U281" i="2"/>
  <c r="U280" i="2"/>
  <c r="U279" i="2"/>
  <c r="U278" i="2"/>
  <c r="U277" i="2"/>
  <c r="U276" i="2"/>
  <c r="U275" i="2"/>
  <c r="U274" i="2"/>
  <c r="U273" i="2"/>
  <c r="U272" i="2"/>
  <c r="U271" i="2"/>
  <c r="U270" i="2"/>
  <c r="U269" i="2"/>
  <c r="U268" i="2"/>
  <c r="U267" i="2"/>
  <c r="U266" i="2"/>
  <c r="U265" i="2"/>
  <c r="U264" i="2"/>
  <c r="U263" i="2"/>
  <c r="U262" i="2"/>
  <c r="U261" i="2"/>
  <c r="U260" i="2"/>
  <c r="U259" i="2"/>
  <c r="U258" i="2"/>
  <c r="U257" i="2"/>
  <c r="U256" i="2"/>
  <c r="U255" i="2"/>
  <c r="U254" i="2"/>
  <c r="U253" i="2"/>
  <c r="U252" i="2"/>
  <c r="U251" i="2"/>
  <c r="U250" i="2"/>
  <c r="U249" i="2"/>
  <c r="U248" i="2"/>
  <c r="U247" i="2"/>
  <c r="U246" i="2"/>
  <c r="U245" i="2"/>
  <c r="U244" i="2"/>
  <c r="U243" i="2"/>
  <c r="U242" i="2"/>
  <c r="U241" i="2"/>
  <c r="U240" i="2"/>
  <c r="U239" i="2"/>
  <c r="U238" i="2"/>
  <c r="U237" i="2"/>
  <c r="U236" i="2"/>
  <c r="U235" i="2"/>
  <c r="U234" i="2"/>
  <c r="U233" i="2"/>
  <c r="U232" i="2"/>
  <c r="U231" i="2"/>
  <c r="U230" i="2"/>
  <c r="U229" i="2"/>
  <c r="U228" i="2"/>
  <c r="U227" i="2"/>
  <c r="U226" i="2"/>
  <c r="U225" i="2"/>
  <c r="U224" i="2"/>
  <c r="U223" i="2"/>
  <c r="U222" i="2"/>
  <c r="U221" i="2"/>
  <c r="U220" i="2"/>
  <c r="U219" i="2"/>
  <c r="U218" i="2"/>
  <c r="U217" i="2"/>
  <c r="U216" i="2"/>
  <c r="U215" i="2"/>
  <c r="U214" i="2"/>
  <c r="U213" i="2"/>
  <c r="U212" i="2"/>
  <c r="U211" i="2"/>
  <c r="U210" i="2"/>
  <c r="U209" i="2"/>
  <c r="U208" i="2"/>
  <c r="U207" i="2"/>
  <c r="U206" i="2"/>
  <c r="U205" i="2"/>
  <c r="U204" i="2"/>
  <c r="U203" i="2"/>
  <c r="U202" i="2"/>
  <c r="U201" i="2"/>
  <c r="U200" i="2"/>
  <c r="U199" i="2"/>
  <c r="U198" i="2"/>
  <c r="U197" i="2"/>
  <c r="U196" i="2"/>
  <c r="U195" i="2"/>
  <c r="U194" i="2"/>
  <c r="U193" i="2"/>
  <c r="U192" i="2"/>
  <c r="U191" i="2"/>
  <c r="U190" i="2"/>
  <c r="U189" i="2"/>
  <c r="U188" i="2"/>
  <c r="U187" i="2"/>
  <c r="U186" i="2"/>
  <c r="U185" i="2"/>
  <c r="U184" i="2"/>
  <c r="U183" i="2"/>
  <c r="U182" i="2"/>
  <c r="U181" i="2"/>
  <c r="U180" i="2"/>
  <c r="U179" i="2"/>
  <c r="U178" i="2"/>
  <c r="U177" i="2"/>
  <c r="U176" i="2"/>
  <c r="U175" i="2"/>
  <c r="U174" i="2"/>
  <c r="U173" i="2"/>
  <c r="U172" i="2"/>
  <c r="U171" i="2"/>
  <c r="U170" i="2"/>
  <c r="U169" i="2"/>
  <c r="U168" i="2"/>
  <c r="U167" i="2"/>
  <c r="U166" i="2"/>
  <c r="U165" i="2"/>
  <c r="U164" i="2"/>
  <c r="U163" i="2"/>
  <c r="U162" i="2"/>
  <c r="U161" i="2"/>
  <c r="U160" i="2"/>
  <c r="U159" i="2"/>
  <c r="U158" i="2"/>
  <c r="U157" i="2"/>
  <c r="U156" i="2"/>
  <c r="U155" i="2"/>
  <c r="U154" i="2"/>
  <c r="U153" i="2"/>
  <c r="U152" i="2"/>
  <c r="U151" i="2"/>
  <c r="U150" i="2"/>
  <c r="U149" i="2"/>
  <c r="U148" i="2"/>
  <c r="U147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4" i="2"/>
  <c r="U133" i="2"/>
  <c r="U132" i="2"/>
  <c r="U131" i="2"/>
  <c r="U130" i="2"/>
  <c r="U129" i="2"/>
  <c r="U128" i="2"/>
  <c r="U127" i="2"/>
  <c r="U126" i="2"/>
  <c r="U125" i="2"/>
  <c r="U124" i="2"/>
  <c r="U123" i="2"/>
  <c r="U122" i="2"/>
  <c r="U121" i="2"/>
  <c r="U120" i="2"/>
  <c r="U119" i="2"/>
  <c r="U118" i="2"/>
  <c r="U117" i="2"/>
  <c r="U116" i="2"/>
  <c r="U115" i="2"/>
  <c r="U114" i="2"/>
  <c r="U113" i="2"/>
  <c r="U112" i="2"/>
  <c r="U111" i="2"/>
  <c r="U110" i="2"/>
  <c r="U109" i="2"/>
  <c r="U108" i="2"/>
  <c r="U107" i="2"/>
  <c r="U106" i="2"/>
  <c r="U105" i="2"/>
  <c r="U104" i="2"/>
  <c r="U103" i="2"/>
  <c r="U102" i="2"/>
  <c r="U101" i="2"/>
  <c r="U100" i="2"/>
  <c r="U99" i="2"/>
  <c r="U98" i="2"/>
  <c r="U97" i="2"/>
  <c r="U96" i="2"/>
  <c r="U95" i="2"/>
  <c r="U94" i="2"/>
  <c r="U93" i="2"/>
  <c r="U92" i="2"/>
  <c r="U91" i="2"/>
  <c r="U90" i="2"/>
  <c r="U89" i="2"/>
  <c r="U88" i="2"/>
  <c r="U87" i="2"/>
  <c r="U86" i="2"/>
  <c r="U85" i="2"/>
  <c r="U84" i="2"/>
  <c r="U83" i="2"/>
  <c r="U82" i="2"/>
  <c r="U81" i="2"/>
  <c r="U80" i="2"/>
  <c r="U79" i="2"/>
  <c r="U78" i="2"/>
  <c r="U77" i="2"/>
  <c r="U76" i="2"/>
  <c r="U75" i="2"/>
  <c r="U74" i="2"/>
  <c r="U73" i="2"/>
  <c r="U72" i="2"/>
  <c r="U71" i="2"/>
  <c r="U70" i="2"/>
  <c r="U69" i="2"/>
  <c r="U68" i="2"/>
  <c r="U67" i="2"/>
  <c r="U66" i="2"/>
  <c r="U65" i="2"/>
  <c r="U64" i="2"/>
  <c r="U63" i="2"/>
  <c r="U62" i="2"/>
  <c r="U61" i="2"/>
  <c r="U60" i="2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  <c r="U4" i="2"/>
  <c r="U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3" i="2"/>
  <c r="E8" i="6"/>
  <c r="F28" i="5" l="1"/>
  <c r="G28" i="5" s="1"/>
  <c r="F33" i="5"/>
  <c r="G33" i="5" s="1"/>
  <c r="C29" i="5"/>
  <c r="D29" i="5" s="1"/>
  <c r="I11" i="5"/>
  <c r="J11" i="5" s="1"/>
  <c r="I43" i="6"/>
  <c r="F11" i="5"/>
  <c r="G11" i="5" s="1"/>
  <c r="C28" i="5"/>
  <c r="D28" i="5" s="1"/>
  <c r="F8" i="6"/>
  <c r="I10" i="5"/>
  <c r="J10" i="5" s="1"/>
  <c r="C32" i="5"/>
  <c r="D32" i="5" s="1"/>
  <c r="C34" i="5"/>
  <c r="D34" i="5" s="1"/>
  <c r="F31" i="5"/>
  <c r="G31" i="5" s="1"/>
  <c r="L8" i="6"/>
  <c r="I6" i="5"/>
  <c r="J6" i="5" s="1"/>
  <c r="F30" i="5"/>
  <c r="G30" i="5" s="1"/>
  <c r="I39" i="6"/>
  <c r="F10" i="5"/>
  <c r="G10" i="5" s="1"/>
  <c r="I13" i="6"/>
  <c r="F7" i="5"/>
  <c r="G7" i="5" s="1"/>
  <c r="F34" i="5"/>
  <c r="G34" i="5" s="1"/>
  <c r="I12" i="5"/>
  <c r="J12" i="5" s="1"/>
  <c r="C31" i="5"/>
  <c r="D31" i="5" s="1"/>
  <c r="F29" i="5"/>
  <c r="G29" i="5" s="1"/>
  <c r="I8" i="6"/>
  <c r="F6" i="5"/>
  <c r="G6" i="5" s="1"/>
  <c r="C30" i="5"/>
  <c r="D30" i="5" s="1"/>
  <c r="I46" i="6"/>
  <c r="F12" i="5"/>
  <c r="G12" i="5" s="1"/>
  <c r="I9" i="5"/>
  <c r="J9" i="5" s="1"/>
  <c r="I8" i="5"/>
  <c r="J8" i="5" s="1"/>
  <c r="C33" i="5"/>
  <c r="D33" i="5" s="1"/>
  <c r="I32" i="6"/>
  <c r="F9" i="5"/>
  <c r="G9" i="5" s="1"/>
  <c r="I7" i="5"/>
  <c r="J7" i="5" s="1"/>
  <c r="F32" i="5"/>
  <c r="G32" i="5" s="1"/>
  <c r="I23" i="6"/>
  <c r="F8" i="5"/>
  <c r="G8" i="5" s="1"/>
  <c r="AP8" i="6" l="1"/>
  <c r="AP50" i="6"/>
  <c r="AP33" i="6"/>
  <c r="AP20" i="6"/>
  <c r="AP35" i="6"/>
  <c r="AP49" i="6"/>
  <c r="AP32" i="6"/>
  <c r="AP18" i="6"/>
  <c r="AP48" i="6"/>
  <c r="AP23" i="6"/>
  <c r="AP17" i="6"/>
  <c r="AP47" i="6"/>
  <c r="AP25" i="6"/>
  <c r="AP14" i="6"/>
  <c r="AP45" i="6"/>
  <c r="AP24" i="6"/>
  <c r="AP13" i="6"/>
  <c r="AP44" i="6"/>
  <c r="AP31" i="6"/>
  <c r="AP10" i="6"/>
  <c r="AP15" i="6"/>
  <c r="AP43" i="6"/>
  <c r="AP30" i="6"/>
  <c r="AP12" i="6"/>
  <c r="AP26" i="6"/>
  <c r="AP34" i="6"/>
  <c r="AP42" i="6"/>
  <c r="AP29" i="6"/>
  <c r="AP11" i="6"/>
  <c r="AP39" i="6"/>
  <c r="AP46" i="6"/>
  <c r="AP51" i="6"/>
  <c r="AP41" i="6"/>
  <c r="AP28" i="6"/>
  <c r="AP9" i="6"/>
  <c r="AP36" i="6"/>
  <c r="AP40" i="6"/>
  <c r="AP27" i="6"/>
  <c r="AP52" i="6"/>
  <c r="AP22" i="6"/>
  <c r="AP38" i="6"/>
  <c r="AP16" i="6"/>
  <c r="AP21" i="6"/>
  <c r="AP37" i="6"/>
  <c r="AP19" i="6"/>
  <c r="J79" i="27"/>
  <c r="G79" i="27"/>
  <c r="D79" i="27"/>
  <c r="J78" i="27"/>
  <c r="G78" i="27"/>
  <c r="D78" i="27"/>
  <c r="J77" i="27"/>
  <c r="G77" i="27"/>
  <c r="D77" i="27"/>
  <c r="J76" i="27"/>
  <c r="G76" i="27"/>
  <c r="D76" i="27"/>
  <c r="J75" i="27"/>
  <c r="G75" i="27"/>
  <c r="D75" i="27"/>
  <c r="J74" i="27"/>
  <c r="G74" i="27"/>
  <c r="D74" i="27"/>
  <c r="J73" i="27"/>
  <c r="G73" i="27"/>
  <c r="D73" i="27"/>
  <c r="L68" i="27"/>
  <c r="I68" i="27"/>
  <c r="D68" i="27"/>
  <c r="L67" i="27"/>
  <c r="I67" i="27"/>
  <c r="D67" i="27"/>
  <c r="L66" i="27"/>
  <c r="I66" i="27"/>
  <c r="D66" i="27"/>
  <c r="L65" i="27"/>
  <c r="I65" i="27"/>
  <c r="D65" i="27"/>
  <c r="L64" i="27"/>
  <c r="I64" i="27"/>
  <c r="D64" i="27"/>
  <c r="L63" i="27"/>
  <c r="I63" i="27"/>
  <c r="D63" i="27"/>
  <c r="L62" i="27"/>
  <c r="I62" i="27"/>
  <c r="D62" i="27"/>
  <c r="I57" i="27"/>
  <c r="D57" i="27"/>
  <c r="I56" i="27"/>
  <c r="D56" i="27"/>
  <c r="I55" i="27"/>
  <c r="D55" i="27"/>
  <c r="I54" i="27"/>
  <c r="D54" i="27"/>
  <c r="I53" i="27"/>
  <c r="D53" i="27"/>
  <c r="I52" i="27"/>
  <c r="D52" i="27"/>
  <c r="I51" i="27"/>
  <c r="D51" i="27"/>
  <c r="I46" i="27"/>
  <c r="D46" i="27"/>
  <c r="I45" i="27"/>
  <c r="D45" i="27"/>
  <c r="I44" i="27"/>
  <c r="D44" i="27"/>
  <c r="I43" i="27"/>
  <c r="D43" i="27"/>
  <c r="I42" i="27"/>
  <c r="D42" i="27"/>
  <c r="I41" i="27"/>
  <c r="D41" i="27"/>
  <c r="I40" i="27"/>
  <c r="D40" i="27"/>
  <c r="L35" i="27"/>
  <c r="K35" i="27"/>
  <c r="J35" i="27"/>
  <c r="G35" i="27"/>
  <c r="D35" i="27"/>
  <c r="L34" i="27"/>
  <c r="K34" i="27"/>
  <c r="J34" i="27"/>
  <c r="G34" i="27"/>
  <c r="D34" i="27"/>
  <c r="L33" i="27"/>
  <c r="K33" i="27"/>
  <c r="J33" i="27"/>
  <c r="G33" i="27"/>
  <c r="D33" i="27"/>
  <c r="L32" i="27"/>
  <c r="K32" i="27"/>
  <c r="J32" i="27"/>
  <c r="G32" i="27"/>
  <c r="D32" i="27"/>
  <c r="L31" i="27"/>
  <c r="K31" i="27"/>
  <c r="J31" i="27"/>
  <c r="G31" i="27"/>
  <c r="D31" i="27"/>
  <c r="L30" i="27"/>
  <c r="K30" i="27"/>
  <c r="J30" i="27"/>
  <c r="G30" i="27"/>
  <c r="D30" i="27"/>
  <c r="L29" i="27"/>
  <c r="K29" i="27"/>
  <c r="J29" i="27"/>
  <c r="G29" i="27"/>
  <c r="D29" i="27"/>
  <c r="J24" i="27"/>
  <c r="G24" i="27"/>
  <c r="D24" i="27"/>
  <c r="J23" i="27"/>
  <c r="G23" i="27"/>
  <c r="D23" i="27"/>
  <c r="J22" i="27"/>
  <c r="G22" i="27"/>
  <c r="D22" i="27"/>
  <c r="J21" i="27"/>
  <c r="G21" i="27"/>
  <c r="D21" i="27"/>
  <c r="J20" i="27"/>
  <c r="G20" i="27"/>
  <c r="D20" i="27"/>
  <c r="J19" i="27"/>
  <c r="G19" i="27"/>
  <c r="D19" i="27"/>
  <c r="J18" i="27"/>
  <c r="G18" i="27"/>
  <c r="D18" i="27"/>
  <c r="I13" i="27"/>
  <c r="D13" i="27"/>
  <c r="I12" i="27"/>
  <c r="D12" i="27"/>
  <c r="I11" i="27"/>
  <c r="D11" i="27"/>
  <c r="I10" i="27"/>
  <c r="D10" i="27"/>
  <c r="I9" i="27"/>
  <c r="D9" i="27"/>
  <c r="I8" i="27"/>
  <c r="D8" i="27"/>
  <c r="I7" i="27"/>
  <c r="D7" i="27"/>
  <c r="L58" i="26"/>
  <c r="K58" i="26"/>
  <c r="J58" i="26"/>
  <c r="I58" i="26"/>
  <c r="H58" i="26"/>
  <c r="G58" i="26"/>
  <c r="F58" i="26"/>
  <c r="E58" i="26"/>
  <c r="D58" i="26"/>
  <c r="J57" i="26"/>
  <c r="G57" i="26"/>
  <c r="D57" i="26"/>
  <c r="J56" i="26"/>
  <c r="G56" i="26"/>
  <c r="D56" i="26"/>
  <c r="J55" i="26"/>
  <c r="G55" i="26"/>
  <c r="D55" i="26"/>
  <c r="N50" i="26"/>
  <c r="M50" i="26"/>
  <c r="L50" i="26"/>
  <c r="K50" i="26"/>
  <c r="J50" i="26"/>
  <c r="I50" i="26"/>
  <c r="H50" i="26"/>
  <c r="G50" i="26"/>
  <c r="F50" i="26"/>
  <c r="E50" i="26"/>
  <c r="D50" i="26"/>
  <c r="L49" i="26"/>
  <c r="I49" i="26"/>
  <c r="D49" i="26"/>
  <c r="L48" i="26"/>
  <c r="I48" i="26"/>
  <c r="D48" i="26"/>
  <c r="L47" i="26"/>
  <c r="I47" i="26"/>
  <c r="D47" i="26"/>
  <c r="M42" i="26"/>
  <c r="L42" i="26"/>
  <c r="K42" i="26"/>
  <c r="J42" i="26"/>
  <c r="I42" i="26"/>
  <c r="H42" i="26"/>
  <c r="G42" i="26"/>
  <c r="F42" i="26"/>
  <c r="E42" i="26"/>
  <c r="D42" i="26"/>
  <c r="I41" i="26"/>
  <c r="D41" i="26"/>
  <c r="I40" i="26"/>
  <c r="D40" i="26"/>
  <c r="I39" i="26"/>
  <c r="D39" i="26"/>
  <c r="J34" i="26"/>
  <c r="I34" i="26"/>
  <c r="H34" i="26"/>
  <c r="G34" i="26"/>
  <c r="F34" i="26"/>
  <c r="E34" i="26"/>
  <c r="D34" i="26"/>
  <c r="I33" i="26"/>
  <c r="D33" i="26"/>
  <c r="I32" i="26"/>
  <c r="D32" i="26"/>
  <c r="I31" i="26"/>
  <c r="D31" i="26"/>
  <c r="L26" i="26"/>
  <c r="K26" i="26"/>
  <c r="J26" i="26"/>
  <c r="I26" i="26"/>
  <c r="H26" i="26"/>
  <c r="G26" i="26"/>
  <c r="F26" i="26"/>
  <c r="E26" i="26"/>
  <c r="D26" i="26"/>
  <c r="L25" i="26"/>
  <c r="K25" i="26"/>
  <c r="J25" i="26"/>
  <c r="G25" i="26"/>
  <c r="D25" i="26"/>
  <c r="L24" i="26"/>
  <c r="K24" i="26"/>
  <c r="J24" i="26"/>
  <c r="G24" i="26"/>
  <c r="D24" i="26"/>
  <c r="L23" i="26"/>
  <c r="K23" i="26"/>
  <c r="J23" i="26"/>
  <c r="G23" i="26"/>
  <c r="D23" i="26"/>
  <c r="L18" i="26"/>
  <c r="K18" i="26"/>
  <c r="J18" i="26"/>
  <c r="I18" i="26"/>
  <c r="H18" i="26"/>
  <c r="G18" i="26"/>
  <c r="F18" i="26"/>
  <c r="E18" i="26"/>
  <c r="D18" i="26"/>
  <c r="J17" i="26"/>
  <c r="G17" i="26"/>
  <c r="D17" i="26"/>
  <c r="J16" i="26"/>
  <c r="G16" i="26"/>
  <c r="D16" i="26"/>
  <c r="J15" i="26"/>
  <c r="G15" i="26"/>
  <c r="D15" i="26"/>
  <c r="M10" i="26"/>
  <c r="L10" i="26"/>
  <c r="K10" i="26"/>
  <c r="J10" i="26"/>
  <c r="I10" i="26"/>
  <c r="H10" i="26"/>
  <c r="G10" i="26"/>
  <c r="F10" i="26"/>
  <c r="E10" i="26"/>
  <c r="D10" i="26"/>
  <c r="I9" i="26"/>
  <c r="D9" i="26"/>
  <c r="I8" i="26"/>
  <c r="D8" i="26"/>
  <c r="I7" i="26"/>
  <c r="D7" i="26"/>
  <c r="J58" i="25"/>
  <c r="G58" i="25"/>
  <c r="D58" i="25"/>
  <c r="J57" i="25"/>
  <c r="G57" i="25"/>
  <c r="D57" i="25"/>
  <c r="J56" i="25"/>
  <c r="G56" i="25"/>
  <c r="D56" i="25"/>
  <c r="J55" i="25"/>
  <c r="G55" i="25"/>
  <c r="D55" i="25"/>
  <c r="L50" i="25"/>
  <c r="I50" i="25"/>
  <c r="D50" i="25"/>
  <c r="L49" i="25"/>
  <c r="I49" i="25"/>
  <c r="D49" i="25"/>
  <c r="L48" i="25"/>
  <c r="I48" i="25"/>
  <c r="D48" i="25"/>
  <c r="L47" i="25"/>
  <c r="I47" i="25"/>
  <c r="D47" i="25"/>
  <c r="I42" i="25"/>
  <c r="D42" i="25"/>
  <c r="I41" i="25"/>
  <c r="D41" i="25"/>
  <c r="I40" i="25"/>
  <c r="D40" i="25"/>
  <c r="I39" i="25"/>
  <c r="D39" i="25"/>
  <c r="I34" i="25"/>
  <c r="D34" i="25"/>
  <c r="I33" i="25"/>
  <c r="D33" i="25"/>
  <c r="I32" i="25"/>
  <c r="D32" i="25"/>
  <c r="I31" i="25"/>
  <c r="D31" i="25"/>
  <c r="L26" i="25"/>
  <c r="K26" i="25"/>
  <c r="J26" i="25"/>
  <c r="G26" i="25"/>
  <c r="D26" i="25"/>
  <c r="L25" i="25"/>
  <c r="K25" i="25"/>
  <c r="J25" i="25"/>
  <c r="G25" i="25"/>
  <c r="D25" i="25"/>
  <c r="L24" i="25"/>
  <c r="K24" i="25"/>
  <c r="J24" i="25"/>
  <c r="G24" i="25"/>
  <c r="D24" i="25"/>
  <c r="L23" i="25"/>
  <c r="K23" i="25"/>
  <c r="J23" i="25"/>
  <c r="G23" i="25"/>
  <c r="D23" i="25"/>
  <c r="J18" i="25"/>
  <c r="G18" i="25"/>
  <c r="D18" i="25"/>
  <c r="J17" i="25"/>
  <c r="G17" i="25"/>
  <c r="D17" i="25"/>
  <c r="J16" i="25"/>
  <c r="G16" i="25"/>
  <c r="D16" i="25"/>
  <c r="J15" i="25"/>
  <c r="G15" i="25"/>
  <c r="D15" i="25"/>
  <c r="I10" i="25"/>
  <c r="D10" i="25"/>
  <c r="I9" i="25"/>
  <c r="D9" i="25"/>
  <c r="I8" i="25"/>
  <c r="D8" i="25"/>
  <c r="I7" i="25"/>
  <c r="D7" i="25"/>
  <c r="J86" i="23"/>
  <c r="G86" i="23"/>
  <c r="D86" i="23"/>
  <c r="J85" i="23"/>
  <c r="G85" i="23"/>
  <c r="D85" i="23"/>
  <c r="J84" i="23"/>
  <c r="G84" i="23"/>
  <c r="D84" i="23"/>
  <c r="J83" i="23"/>
  <c r="G83" i="23"/>
  <c r="D83" i="23"/>
  <c r="L82" i="23"/>
  <c r="K82" i="23"/>
  <c r="J82" i="23"/>
  <c r="I82" i="23"/>
  <c r="H82" i="23"/>
  <c r="G82" i="23"/>
  <c r="F82" i="23"/>
  <c r="E82" i="23"/>
  <c r="D82" i="23"/>
  <c r="J81" i="23"/>
  <c r="G81" i="23"/>
  <c r="D81" i="23"/>
  <c r="J80" i="23"/>
  <c r="G80" i="23"/>
  <c r="D80" i="23"/>
  <c r="J79" i="23"/>
  <c r="G79" i="23"/>
  <c r="D79" i="23"/>
  <c r="L74" i="23"/>
  <c r="I74" i="23"/>
  <c r="D74" i="23"/>
  <c r="L73" i="23"/>
  <c r="I73" i="23"/>
  <c r="D73" i="23"/>
  <c r="L72" i="23"/>
  <c r="I72" i="23"/>
  <c r="D72" i="23"/>
  <c r="L71" i="23"/>
  <c r="I71" i="23"/>
  <c r="D71" i="23"/>
  <c r="N70" i="23"/>
  <c r="M70" i="23"/>
  <c r="L70" i="23"/>
  <c r="K70" i="23"/>
  <c r="J70" i="23"/>
  <c r="I70" i="23"/>
  <c r="H70" i="23"/>
  <c r="G70" i="23"/>
  <c r="F70" i="23"/>
  <c r="E70" i="23"/>
  <c r="D70" i="23"/>
  <c r="L69" i="23"/>
  <c r="I69" i="23"/>
  <c r="D69" i="23"/>
  <c r="L68" i="23"/>
  <c r="I68" i="23"/>
  <c r="D68" i="23"/>
  <c r="L67" i="23"/>
  <c r="I67" i="23"/>
  <c r="D67" i="23"/>
  <c r="I62" i="23"/>
  <c r="D62" i="23"/>
  <c r="I61" i="23"/>
  <c r="D61" i="23"/>
  <c r="I60" i="23"/>
  <c r="D60" i="23"/>
  <c r="I59" i="23"/>
  <c r="D59" i="23"/>
  <c r="M58" i="23"/>
  <c r="L58" i="23"/>
  <c r="K58" i="23"/>
  <c r="J58" i="23"/>
  <c r="I58" i="23"/>
  <c r="H58" i="23"/>
  <c r="G58" i="23"/>
  <c r="F58" i="23"/>
  <c r="E58" i="23"/>
  <c r="D58" i="23"/>
  <c r="I57" i="23"/>
  <c r="D57" i="23"/>
  <c r="I56" i="23"/>
  <c r="D56" i="23"/>
  <c r="I55" i="23"/>
  <c r="D55" i="23"/>
  <c r="I50" i="23"/>
  <c r="D50" i="23"/>
  <c r="I49" i="23"/>
  <c r="D49" i="23"/>
  <c r="I48" i="23"/>
  <c r="D48" i="23"/>
  <c r="I47" i="23"/>
  <c r="D47" i="23"/>
  <c r="J46" i="23"/>
  <c r="I46" i="23"/>
  <c r="H46" i="23"/>
  <c r="G46" i="23"/>
  <c r="F46" i="23"/>
  <c r="E46" i="23"/>
  <c r="D46" i="23"/>
  <c r="I45" i="23"/>
  <c r="D45" i="23"/>
  <c r="I44" i="23"/>
  <c r="D44" i="23"/>
  <c r="I43" i="23"/>
  <c r="D43" i="23"/>
  <c r="L38" i="23"/>
  <c r="K38" i="23"/>
  <c r="J38" i="23"/>
  <c r="G38" i="23"/>
  <c r="D38" i="23"/>
  <c r="L37" i="23"/>
  <c r="K37" i="23"/>
  <c r="J37" i="23"/>
  <c r="G37" i="23"/>
  <c r="D37" i="23"/>
  <c r="L36" i="23"/>
  <c r="K36" i="23"/>
  <c r="J36" i="23"/>
  <c r="G36" i="23"/>
  <c r="D36" i="23"/>
  <c r="L35" i="23"/>
  <c r="K35" i="23"/>
  <c r="J35" i="23"/>
  <c r="G35" i="23"/>
  <c r="D35" i="23"/>
  <c r="L34" i="23"/>
  <c r="K34" i="23"/>
  <c r="J34" i="23"/>
  <c r="I34" i="23"/>
  <c r="H34" i="23"/>
  <c r="G34" i="23"/>
  <c r="F34" i="23"/>
  <c r="E34" i="23"/>
  <c r="D34" i="23"/>
  <c r="L33" i="23"/>
  <c r="K33" i="23"/>
  <c r="J33" i="23"/>
  <c r="G33" i="23"/>
  <c r="D33" i="23"/>
  <c r="L32" i="23"/>
  <c r="K32" i="23"/>
  <c r="J32" i="23"/>
  <c r="G32" i="23"/>
  <c r="D32" i="23"/>
  <c r="L31" i="23"/>
  <c r="K31" i="23"/>
  <c r="J31" i="23"/>
  <c r="G31" i="23"/>
  <c r="D31" i="23"/>
  <c r="J26" i="23"/>
  <c r="G26" i="23"/>
  <c r="D26" i="23"/>
  <c r="J25" i="23"/>
  <c r="G25" i="23"/>
  <c r="D25" i="23"/>
  <c r="J24" i="23"/>
  <c r="G24" i="23"/>
  <c r="D24" i="23"/>
  <c r="J23" i="23"/>
  <c r="G23" i="23"/>
  <c r="D23" i="23"/>
  <c r="L22" i="23"/>
  <c r="K22" i="23"/>
  <c r="J22" i="23"/>
  <c r="I22" i="23"/>
  <c r="H22" i="23"/>
  <c r="G22" i="23"/>
  <c r="F22" i="23"/>
  <c r="E22" i="23"/>
  <c r="D22" i="23"/>
  <c r="J21" i="23"/>
  <c r="G21" i="23"/>
  <c r="D21" i="23"/>
  <c r="J20" i="23"/>
  <c r="G20" i="23"/>
  <c r="D20" i="23"/>
  <c r="J19" i="23"/>
  <c r="G19" i="23"/>
  <c r="D19" i="23"/>
  <c r="I14" i="23"/>
  <c r="D14" i="23"/>
  <c r="I13" i="23"/>
  <c r="D13" i="23"/>
  <c r="I12" i="23"/>
  <c r="D12" i="23"/>
  <c r="I11" i="23"/>
  <c r="D11" i="23"/>
  <c r="M10" i="23"/>
  <c r="L10" i="23"/>
  <c r="K10" i="23"/>
  <c r="J10" i="23"/>
  <c r="I10" i="23"/>
  <c r="H10" i="23"/>
  <c r="G10" i="23"/>
  <c r="F10" i="23"/>
  <c r="E10" i="23"/>
  <c r="D10" i="23"/>
  <c r="I9" i="23"/>
  <c r="D9" i="23"/>
  <c r="I8" i="23"/>
  <c r="D8" i="23"/>
  <c r="I7" i="23"/>
  <c r="D7" i="23"/>
  <c r="J93" i="22"/>
  <c r="G93" i="22"/>
  <c r="D93" i="22"/>
  <c r="J92" i="22"/>
  <c r="G92" i="22"/>
  <c r="D92" i="22"/>
  <c r="J91" i="22"/>
  <c r="G91" i="22"/>
  <c r="D91" i="22"/>
  <c r="J90" i="22"/>
  <c r="G90" i="22"/>
  <c r="D90" i="22"/>
  <c r="J89" i="22"/>
  <c r="G89" i="22"/>
  <c r="D89" i="22"/>
  <c r="J88" i="22"/>
  <c r="G88" i="22"/>
  <c r="D88" i="22"/>
  <c r="J87" i="22"/>
  <c r="G87" i="22"/>
  <c r="D87" i="22"/>
  <c r="J86" i="22"/>
  <c r="G86" i="22"/>
  <c r="D86" i="22"/>
  <c r="J85" i="22"/>
  <c r="G85" i="22"/>
  <c r="D85" i="22"/>
  <c r="L80" i="22"/>
  <c r="I80" i="22"/>
  <c r="D80" i="22"/>
  <c r="L79" i="22"/>
  <c r="I79" i="22"/>
  <c r="D79" i="22"/>
  <c r="L78" i="22"/>
  <c r="I78" i="22"/>
  <c r="D78" i="22"/>
  <c r="L77" i="22"/>
  <c r="I77" i="22"/>
  <c r="D77" i="22"/>
  <c r="L76" i="22"/>
  <c r="I76" i="22"/>
  <c r="D76" i="22"/>
  <c r="L75" i="22"/>
  <c r="I75" i="22"/>
  <c r="D75" i="22"/>
  <c r="L74" i="22"/>
  <c r="I74" i="22"/>
  <c r="D74" i="22"/>
  <c r="L73" i="22"/>
  <c r="I73" i="22"/>
  <c r="D73" i="22"/>
  <c r="L72" i="22"/>
  <c r="I72" i="22"/>
  <c r="D72" i="22"/>
  <c r="I67" i="22"/>
  <c r="D67" i="22"/>
  <c r="I66" i="22"/>
  <c r="D66" i="22"/>
  <c r="I65" i="22"/>
  <c r="D65" i="22"/>
  <c r="I64" i="22"/>
  <c r="D64" i="22"/>
  <c r="I63" i="22"/>
  <c r="D63" i="22"/>
  <c r="I62" i="22"/>
  <c r="D62" i="22"/>
  <c r="I61" i="22"/>
  <c r="D61" i="22"/>
  <c r="I60" i="22"/>
  <c r="D60" i="22"/>
  <c r="I59" i="22"/>
  <c r="D59" i="22"/>
  <c r="I54" i="22"/>
  <c r="D54" i="22"/>
  <c r="I53" i="22"/>
  <c r="D53" i="22"/>
  <c r="I52" i="22"/>
  <c r="D52" i="22"/>
  <c r="I51" i="22"/>
  <c r="D51" i="22"/>
  <c r="I50" i="22"/>
  <c r="D50" i="22"/>
  <c r="I49" i="22"/>
  <c r="D49" i="22"/>
  <c r="I48" i="22"/>
  <c r="D48" i="22"/>
  <c r="I47" i="22"/>
  <c r="D47" i="22"/>
  <c r="I46" i="22"/>
  <c r="D46" i="22"/>
  <c r="L41" i="22"/>
  <c r="K41" i="22"/>
  <c r="J41" i="22"/>
  <c r="G41" i="22"/>
  <c r="D41" i="22"/>
  <c r="L40" i="22"/>
  <c r="K40" i="22"/>
  <c r="J40" i="22"/>
  <c r="G40" i="22"/>
  <c r="D40" i="22"/>
  <c r="L39" i="22"/>
  <c r="K39" i="22"/>
  <c r="J39" i="22"/>
  <c r="G39" i="22"/>
  <c r="D39" i="22"/>
  <c r="L38" i="22"/>
  <c r="K38" i="22"/>
  <c r="J38" i="22"/>
  <c r="G38" i="22"/>
  <c r="D38" i="22"/>
  <c r="L37" i="22"/>
  <c r="K37" i="22"/>
  <c r="J37" i="22"/>
  <c r="G37" i="22"/>
  <c r="D37" i="22"/>
  <c r="L36" i="22"/>
  <c r="K36" i="22"/>
  <c r="J36" i="22"/>
  <c r="G36" i="22"/>
  <c r="D36" i="22"/>
  <c r="L35" i="22"/>
  <c r="K35" i="22"/>
  <c r="J35" i="22"/>
  <c r="G35" i="22"/>
  <c r="D35" i="22"/>
  <c r="L34" i="22"/>
  <c r="K34" i="22"/>
  <c r="J34" i="22"/>
  <c r="G34" i="22"/>
  <c r="D34" i="22"/>
  <c r="L33" i="22"/>
  <c r="K33" i="22"/>
  <c r="J33" i="22"/>
  <c r="G33" i="22"/>
  <c r="D33" i="22"/>
  <c r="J28" i="22"/>
  <c r="G28" i="22"/>
  <c r="D28" i="22"/>
  <c r="J27" i="22"/>
  <c r="G27" i="22"/>
  <c r="D27" i="22"/>
  <c r="J26" i="22"/>
  <c r="G26" i="22"/>
  <c r="D26" i="22"/>
  <c r="J25" i="22"/>
  <c r="G25" i="22"/>
  <c r="D25" i="22"/>
  <c r="J24" i="22"/>
  <c r="G24" i="22"/>
  <c r="D24" i="22"/>
  <c r="J23" i="22"/>
  <c r="G23" i="22"/>
  <c r="D23" i="22"/>
  <c r="J22" i="22"/>
  <c r="G22" i="22"/>
  <c r="D22" i="22"/>
  <c r="J21" i="22"/>
  <c r="G21" i="22"/>
  <c r="D21" i="22"/>
  <c r="J20" i="22"/>
  <c r="G20" i="22"/>
  <c r="D20" i="22"/>
  <c r="I15" i="22"/>
  <c r="D15" i="22"/>
  <c r="I14" i="22"/>
  <c r="D14" i="22"/>
  <c r="I13" i="22"/>
  <c r="D13" i="22"/>
  <c r="I12" i="22"/>
  <c r="D12" i="22"/>
  <c r="I11" i="22"/>
  <c r="D11" i="22"/>
  <c r="I10" i="22"/>
  <c r="D10" i="22"/>
  <c r="I9" i="22"/>
  <c r="D9" i="22"/>
  <c r="I8" i="22"/>
  <c r="D8" i="22"/>
  <c r="I7" i="22"/>
  <c r="D7" i="22"/>
  <c r="J100" i="21"/>
  <c r="G100" i="21"/>
  <c r="D100" i="21"/>
  <c r="J99" i="21"/>
  <c r="G99" i="21"/>
  <c r="D99" i="21"/>
  <c r="J98" i="21"/>
  <c r="G98" i="21"/>
  <c r="D98" i="21"/>
  <c r="J97" i="21"/>
  <c r="G97" i="21"/>
  <c r="D97" i="21"/>
  <c r="J96" i="21"/>
  <c r="G96" i="21"/>
  <c r="D96" i="21"/>
  <c r="J95" i="21"/>
  <c r="G95" i="21"/>
  <c r="D95" i="21"/>
  <c r="J94" i="21"/>
  <c r="G94" i="21"/>
  <c r="D94" i="21"/>
  <c r="J93" i="21"/>
  <c r="G93" i="21"/>
  <c r="D93" i="21"/>
  <c r="J92" i="21"/>
  <c r="G92" i="21"/>
  <c r="D92" i="21"/>
  <c r="J91" i="21"/>
  <c r="G91" i="21"/>
  <c r="D91" i="21"/>
  <c r="L86" i="21"/>
  <c r="I86" i="21"/>
  <c r="D86" i="21"/>
  <c r="L85" i="21"/>
  <c r="I85" i="21"/>
  <c r="D85" i="21"/>
  <c r="L84" i="21"/>
  <c r="I84" i="21"/>
  <c r="D84" i="21"/>
  <c r="L83" i="21"/>
  <c r="I83" i="21"/>
  <c r="D83" i="21"/>
  <c r="L82" i="21"/>
  <c r="I82" i="21"/>
  <c r="D82" i="21"/>
  <c r="L81" i="21"/>
  <c r="I81" i="21"/>
  <c r="D81" i="21"/>
  <c r="L80" i="21"/>
  <c r="I80" i="21"/>
  <c r="D80" i="21"/>
  <c r="L79" i="21"/>
  <c r="I79" i="21"/>
  <c r="D79" i="21"/>
  <c r="L78" i="21"/>
  <c r="I78" i="21"/>
  <c r="D78" i="21"/>
  <c r="L77" i="21"/>
  <c r="I77" i="21"/>
  <c r="D77" i="21"/>
  <c r="I72" i="21"/>
  <c r="D72" i="21"/>
  <c r="I71" i="21"/>
  <c r="D71" i="21"/>
  <c r="I70" i="21"/>
  <c r="D70" i="21"/>
  <c r="I69" i="21"/>
  <c r="D69" i="21"/>
  <c r="I68" i="21"/>
  <c r="D68" i="21"/>
  <c r="I67" i="21"/>
  <c r="D67" i="21"/>
  <c r="I66" i="21"/>
  <c r="D66" i="21"/>
  <c r="I65" i="21"/>
  <c r="D65" i="21"/>
  <c r="I64" i="21"/>
  <c r="D64" i="21"/>
  <c r="I63" i="21"/>
  <c r="D63" i="21"/>
  <c r="I58" i="21"/>
  <c r="D58" i="21"/>
  <c r="I57" i="21"/>
  <c r="D57" i="21"/>
  <c r="I56" i="21"/>
  <c r="D56" i="21"/>
  <c r="I55" i="21"/>
  <c r="D55" i="21"/>
  <c r="I54" i="21"/>
  <c r="D54" i="21"/>
  <c r="I53" i="21"/>
  <c r="D53" i="21"/>
  <c r="I52" i="21"/>
  <c r="D52" i="21"/>
  <c r="I51" i="21"/>
  <c r="D51" i="21"/>
  <c r="I50" i="21"/>
  <c r="D50" i="21"/>
  <c r="I49" i="21"/>
  <c r="D49" i="21"/>
  <c r="L44" i="21"/>
  <c r="K44" i="21"/>
  <c r="J44" i="21"/>
  <c r="G44" i="21"/>
  <c r="D44" i="21"/>
  <c r="L43" i="21"/>
  <c r="K43" i="21"/>
  <c r="J43" i="21"/>
  <c r="G43" i="21"/>
  <c r="D43" i="21"/>
  <c r="L42" i="21"/>
  <c r="K42" i="21"/>
  <c r="J42" i="21"/>
  <c r="G42" i="21"/>
  <c r="D42" i="21"/>
  <c r="L41" i="21"/>
  <c r="K41" i="21"/>
  <c r="J41" i="21"/>
  <c r="G41" i="21"/>
  <c r="D41" i="21"/>
  <c r="L40" i="21"/>
  <c r="K40" i="21"/>
  <c r="J40" i="21"/>
  <c r="G40" i="21"/>
  <c r="D40" i="21"/>
  <c r="L39" i="21"/>
  <c r="K39" i="21"/>
  <c r="J39" i="21"/>
  <c r="G39" i="21"/>
  <c r="D39" i="21"/>
  <c r="L38" i="21"/>
  <c r="K38" i="21"/>
  <c r="J38" i="21"/>
  <c r="G38" i="21"/>
  <c r="D38" i="21"/>
  <c r="L37" i="21"/>
  <c r="K37" i="21"/>
  <c r="J37" i="21"/>
  <c r="G37" i="21"/>
  <c r="D37" i="21"/>
  <c r="L36" i="21"/>
  <c r="K36" i="21"/>
  <c r="J36" i="21"/>
  <c r="G36" i="21"/>
  <c r="D36" i="21"/>
  <c r="L35" i="21"/>
  <c r="K35" i="21"/>
  <c r="J35" i="21"/>
  <c r="G35" i="21"/>
  <c r="D35" i="21"/>
  <c r="J30" i="21"/>
  <c r="G30" i="21"/>
  <c r="D30" i="21"/>
  <c r="J29" i="21"/>
  <c r="G29" i="21"/>
  <c r="D29" i="21"/>
  <c r="J28" i="21"/>
  <c r="G28" i="21"/>
  <c r="D28" i="21"/>
  <c r="J27" i="21"/>
  <c r="G27" i="21"/>
  <c r="D27" i="21"/>
  <c r="J26" i="21"/>
  <c r="G26" i="21"/>
  <c r="D26" i="21"/>
  <c r="J25" i="21"/>
  <c r="G25" i="21"/>
  <c r="D25" i="21"/>
  <c r="J24" i="21"/>
  <c r="G24" i="21"/>
  <c r="D24" i="21"/>
  <c r="J23" i="21"/>
  <c r="G23" i="21"/>
  <c r="D23" i="21"/>
  <c r="J22" i="21"/>
  <c r="G22" i="21"/>
  <c r="D22" i="21"/>
  <c r="J21" i="21"/>
  <c r="G21" i="21"/>
  <c r="D21" i="21"/>
  <c r="I16" i="21"/>
  <c r="D16" i="21"/>
  <c r="I15" i="21"/>
  <c r="D15" i="21"/>
  <c r="I14" i="21"/>
  <c r="D14" i="21"/>
  <c r="I13" i="21"/>
  <c r="D13" i="21"/>
  <c r="I12" i="21"/>
  <c r="D12" i="21"/>
  <c r="I11" i="21"/>
  <c r="D11" i="21"/>
  <c r="I10" i="21"/>
  <c r="D10" i="21"/>
  <c r="I9" i="21"/>
  <c r="D9" i="21"/>
  <c r="I8" i="21"/>
  <c r="D8" i="21"/>
  <c r="I7" i="21"/>
  <c r="D7" i="21"/>
  <c r="J65" i="20"/>
  <c r="G65" i="20"/>
  <c r="D65" i="20"/>
  <c r="J64" i="20"/>
  <c r="G64" i="20"/>
  <c r="D64" i="20"/>
  <c r="J63" i="20"/>
  <c r="G63" i="20"/>
  <c r="D63" i="20"/>
  <c r="J62" i="20"/>
  <c r="G62" i="20"/>
  <c r="D62" i="20"/>
  <c r="L56" i="20"/>
  <c r="I56" i="20"/>
  <c r="D56" i="20"/>
  <c r="L55" i="20"/>
  <c r="I55" i="20"/>
  <c r="D55" i="20"/>
  <c r="L54" i="20"/>
  <c r="I54" i="20"/>
  <c r="D54" i="20"/>
  <c r="L53" i="20"/>
  <c r="I53" i="20"/>
  <c r="D53" i="20"/>
  <c r="I47" i="20"/>
  <c r="D47" i="20"/>
  <c r="I46" i="20"/>
  <c r="D46" i="20"/>
  <c r="I45" i="20"/>
  <c r="D45" i="20"/>
  <c r="I44" i="20"/>
  <c r="D44" i="20"/>
  <c r="I38" i="20"/>
  <c r="D38" i="20"/>
  <c r="I37" i="20"/>
  <c r="D37" i="20"/>
  <c r="I36" i="20"/>
  <c r="D36" i="20"/>
  <c r="I35" i="20"/>
  <c r="D35" i="20"/>
  <c r="L29" i="20"/>
  <c r="K29" i="20"/>
  <c r="J29" i="20"/>
  <c r="G29" i="20"/>
  <c r="D29" i="20"/>
  <c r="L28" i="20"/>
  <c r="K28" i="20"/>
  <c r="J28" i="20"/>
  <c r="G28" i="20"/>
  <c r="D28" i="20"/>
  <c r="L27" i="20"/>
  <c r="K27" i="20"/>
  <c r="J27" i="20"/>
  <c r="G27" i="20"/>
  <c r="D27" i="20"/>
  <c r="L26" i="20"/>
  <c r="K26" i="20"/>
  <c r="J26" i="20"/>
  <c r="G26" i="20"/>
  <c r="D26" i="20"/>
  <c r="L25" i="20"/>
  <c r="K25" i="20"/>
  <c r="J25" i="20"/>
  <c r="J20" i="20"/>
  <c r="G20" i="20"/>
  <c r="D20" i="20"/>
  <c r="J19" i="20"/>
  <c r="G19" i="20"/>
  <c r="D19" i="20"/>
  <c r="J18" i="20"/>
  <c r="G18" i="20"/>
  <c r="D18" i="20"/>
  <c r="J17" i="20"/>
  <c r="G17" i="20"/>
  <c r="D17" i="20"/>
  <c r="I11" i="20"/>
  <c r="D11" i="20"/>
  <c r="I10" i="20"/>
  <c r="D10" i="20"/>
  <c r="I9" i="20"/>
  <c r="D9" i="20"/>
  <c r="I8" i="20"/>
  <c r="D8" i="20"/>
  <c r="AG52" i="6"/>
  <c r="F68" i="27"/>
  <c r="AD52" i="6"/>
  <c r="K57" i="27"/>
  <c r="AA52" i="6"/>
  <c r="F57" i="27"/>
  <c r="X52" i="6"/>
  <c r="U52" i="6"/>
  <c r="L52" i="6"/>
  <c r="K13" i="27"/>
  <c r="J13" i="27"/>
  <c r="F13" i="27"/>
  <c r="E52" i="6"/>
  <c r="F52" i="6" s="1"/>
  <c r="AJ46" i="6"/>
  <c r="AG46" i="6"/>
  <c r="F67" i="27"/>
  <c r="K56" i="27"/>
  <c r="F56" i="27"/>
  <c r="X46" i="6"/>
  <c r="U46" i="6"/>
  <c r="O46" i="6"/>
  <c r="L46" i="6"/>
  <c r="K12" i="27"/>
  <c r="F12" i="27"/>
  <c r="E46" i="6"/>
  <c r="AJ51" i="6"/>
  <c r="F44" i="27"/>
  <c r="F66" i="27"/>
  <c r="K55" i="27"/>
  <c r="F55" i="27"/>
  <c r="X51" i="6"/>
  <c r="L51" i="6"/>
  <c r="K11" i="27"/>
  <c r="F11" i="27"/>
  <c r="E51" i="6"/>
  <c r="AG50" i="6"/>
  <c r="F65" i="27"/>
  <c r="K54" i="27"/>
  <c r="AA50" i="6"/>
  <c r="F54" i="27"/>
  <c r="R50" i="6"/>
  <c r="O50" i="6"/>
  <c r="L50" i="6"/>
  <c r="K10" i="27"/>
  <c r="F10" i="27"/>
  <c r="E50" i="6"/>
  <c r="AG49" i="6"/>
  <c r="F64" i="27"/>
  <c r="K53" i="27"/>
  <c r="AA49" i="6"/>
  <c r="F53" i="27"/>
  <c r="X49" i="6"/>
  <c r="U49" i="6"/>
  <c r="R49" i="6"/>
  <c r="O49" i="6"/>
  <c r="L49" i="6"/>
  <c r="K9" i="27"/>
  <c r="J9" i="27"/>
  <c r="F9" i="27"/>
  <c r="E49" i="6"/>
  <c r="F49" i="6" s="1"/>
  <c r="AJ48" i="6"/>
  <c r="AG48" i="6"/>
  <c r="F63" i="27"/>
  <c r="K52" i="27"/>
  <c r="AA48" i="6"/>
  <c r="F52" i="27"/>
  <c r="X48" i="6"/>
  <c r="R48" i="6"/>
  <c r="L48" i="6"/>
  <c r="K8" i="27"/>
  <c r="J8" i="27"/>
  <c r="E48" i="6"/>
  <c r="AJ47" i="6"/>
  <c r="AG47" i="6"/>
  <c r="F62" i="27"/>
  <c r="AD47" i="6"/>
  <c r="F51" i="27"/>
  <c r="X47" i="6"/>
  <c r="U47" i="6"/>
  <c r="L47" i="6"/>
  <c r="K7" i="27"/>
  <c r="J7" i="27"/>
  <c r="F7" i="27"/>
  <c r="E47" i="6"/>
  <c r="F47" i="6" s="1"/>
  <c r="F33" i="26"/>
  <c r="AG45" i="6"/>
  <c r="K41" i="26"/>
  <c r="F41" i="26"/>
  <c r="U45" i="6"/>
  <c r="L45" i="6"/>
  <c r="K9" i="26"/>
  <c r="J9" i="26"/>
  <c r="F9" i="26"/>
  <c r="E45" i="6"/>
  <c r="F45" i="6" s="1"/>
  <c r="AJ44" i="6"/>
  <c r="AG44" i="6"/>
  <c r="F48" i="26"/>
  <c r="AD44" i="6"/>
  <c r="K40" i="26"/>
  <c r="F40" i="26"/>
  <c r="R44" i="6"/>
  <c r="O44" i="6"/>
  <c r="L44" i="6"/>
  <c r="K8" i="26"/>
  <c r="E44" i="6"/>
  <c r="AJ43" i="6"/>
  <c r="F31" i="26"/>
  <c r="AG43" i="6"/>
  <c r="F47" i="26"/>
  <c r="AD43" i="6"/>
  <c r="K39" i="26"/>
  <c r="F39" i="26"/>
  <c r="X43" i="6"/>
  <c r="R43" i="6"/>
  <c r="L43" i="6"/>
  <c r="K7" i="26"/>
  <c r="J7" i="26"/>
  <c r="F7" i="26"/>
  <c r="E43" i="6"/>
  <c r="AJ42" i="6"/>
  <c r="AG42" i="6"/>
  <c r="F50" i="25"/>
  <c r="K42" i="25"/>
  <c r="AA42" i="6"/>
  <c r="F42" i="25"/>
  <c r="R42" i="6"/>
  <c r="O42" i="6"/>
  <c r="L42" i="6"/>
  <c r="K10" i="25"/>
  <c r="F10" i="25"/>
  <c r="E42" i="6"/>
  <c r="AG41" i="6"/>
  <c r="F49" i="25"/>
  <c r="K41" i="25"/>
  <c r="F41" i="25"/>
  <c r="L41" i="6"/>
  <c r="K9" i="25"/>
  <c r="F9" i="25"/>
  <c r="E41" i="6"/>
  <c r="AG40" i="6"/>
  <c r="F48" i="25"/>
  <c r="AA40" i="6"/>
  <c r="F40" i="25"/>
  <c r="O40" i="6"/>
  <c r="L40" i="6"/>
  <c r="K8" i="25"/>
  <c r="F8" i="25"/>
  <c r="E40" i="6"/>
  <c r="F40" i="6" s="1"/>
  <c r="AJ39" i="6"/>
  <c r="AG39" i="6"/>
  <c r="F47" i="25"/>
  <c r="AD39" i="6"/>
  <c r="K39" i="25"/>
  <c r="AA39" i="6"/>
  <c r="F39" i="25"/>
  <c r="X39" i="6"/>
  <c r="U39" i="6"/>
  <c r="R39" i="6"/>
  <c r="L39" i="6"/>
  <c r="J7" i="25"/>
  <c r="F7" i="25"/>
  <c r="E39" i="6"/>
  <c r="AG38" i="6"/>
  <c r="F74" i="23"/>
  <c r="AD38" i="6"/>
  <c r="K62" i="23"/>
  <c r="AA38" i="6"/>
  <c r="F62" i="23"/>
  <c r="X38" i="6"/>
  <c r="L38" i="6"/>
  <c r="J14" i="23"/>
  <c r="E38" i="6"/>
  <c r="F38" i="6" s="1"/>
  <c r="AG37" i="6"/>
  <c r="F73" i="23"/>
  <c r="F61" i="23"/>
  <c r="U37" i="6"/>
  <c r="O37" i="6"/>
  <c r="L37" i="6"/>
  <c r="K13" i="23"/>
  <c r="F13" i="23"/>
  <c r="E37" i="6"/>
  <c r="AJ36" i="6"/>
  <c r="F72" i="23"/>
  <c r="AD36" i="6"/>
  <c r="K60" i="23"/>
  <c r="F60" i="23"/>
  <c r="X36" i="6"/>
  <c r="U36" i="6"/>
  <c r="R36" i="6"/>
  <c r="L36" i="6"/>
  <c r="K12" i="23"/>
  <c r="E36" i="6"/>
  <c r="AG35" i="6"/>
  <c r="F71" i="23"/>
  <c r="AD35" i="6"/>
  <c r="K59" i="23"/>
  <c r="AA35" i="6"/>
  <c r="F59" i="23"/>
  <c r="X35" i="6"/>
  <c r="R35" i="6"/>
  <c r="O35" i="6"/>
  <c r="L35" i="6"/>
  <c r="F11" i="23"/>
  <c r="E35" i="6"/>
  <c r="AG34" i="6"/>
  <c r="F69" i="23"/>
  <c r="K57" i="23"/>
  <c r="AA34" i="6"/>
  <c r="X34" i="6"/>
  <c r="R34" i="6"/>
  <c r="L34" i="6"/>
  <c r="K9" i="23"/>
  <c r="J9" i="23"/>
  <c r="F9" i="23"/>
  <c r="E34" i="6"/>
  <c r="F34" i="6" s="1"/>
  <c r="AJ33" i="6"/>
  <c r="F44" i="23"/>
  <c r="AG33" i="6"/>
  <c r="F68" i="23"/>
  <c r="K56" i="23"/>
  <c r="F56" i="23"/>
  <c r="U33" i="6"/>
  <c r="R33" i="6"/>
  <c r="O33" i="6"/>
  <c r="L33" i="6"/>
  <c r="K8" i="23"/>
  <c r="J8" i="23"/>
  <c r="F8" i="23"/>
  <c r="E33" i="6"/>
  <c r="F33" i="6" s="1"/>
  <c r="AJ32" i="6"/>
  <c r="AG32" i="6"/>
  <c r="F67" i="23"/>
  <c r="AD32" i="6"/>
  <c r="AA32" i="6"/>
  <c r="F55" i="23"/>
  <c r="X32" i="6"/>
  <c r="U32" i="6"/>
  <c r="O32" i="6"/>
  <c r="L32" i="6"/>
  <c r="J7" i="23"/>
  <c r="F7" i="23"/>
  <c r="E32" i="6"/>
  <c r="AJ23" i="6"/>
  <c r="AG23" i="6"/>
  <c r="F80" i="22"/>
  <c r="AD23" i="6"/>
  <c r="K67" i="22"/>
  <c r="F67" i="22"/>
  <c r="X23" i="6"/>
  <c r="U23" i="6"/>
  <c r="R23" i="6"/>
  <c r="L23" i="6"/>
  <c r="K15" i="22"/>
  <c r="J15" i="22"/>
  <c r="E23" i="6"/>
  <c r="AG25" i="6"/>
  <c r="F79" i="22"/>
  <c r="K66" i="22"/>
  <c r="F66" i="22"/>
  <c r="O25" i="6"/>
  <c r="L25" i="6"/>
  <c r="K14" i="22"/>
  <c r="F14" i="22"/>
  <c r="E25" i="6"/>
  <c r="F25" i="6" s="1"/>
  <c r="AJ24" i="6"/>
  <c r="AG24" i="6"/>
  <c r="F78" i="22"/>
  <c r="K65" i="22"/>
  <c r="F65" i="22"/>
  <c r="U24" i="6"/>
  <c r="R24" i="6"/>
  <c r="L24" i="6"/>
  <c r="K13" i="22"/>
  <c r="F13" i="22"/>
  <c r="E24" i="6"/>
  <c r="AG31" i="6"/>
  <c r="AD31" i="6"/>
  <c r="K64" i="22"/>
  <c r="AA31" i="6"/>
  <c r="F64" i="22"/>
  <c r="X31" i="6"/>
  <c r="R31" i="6"/>
  <c r="O31" i="6"/>
  <c r="L31" i="6"/>
  <c r="K12" i="22"/>
  <c r="J12" i="22"/>
  <c r="F12" i="22"/>
  <c r="E31" i="6"/>
  <c r="AG30" i="6"/>
  <c r="F76" i="22"/>
  <c r="K63" i="22"/>
  <c r="AA30" i="6"/>
  <c r="R30" i="6"/>
  <c r="O30" i="6"/>
  <c r="L30" i="6"/>
  <c r="K11" i="22"/>
  <c r="J11" i="22"/>
  <c r="F11" i="22"/>
  <c r="E30" i="6"/>
  <c r="AG29" i="6"/>
  <c r="F75" i="22"/>
  <c r="F62" i="22"/>
  <c r="U29" i="6"/>
  <c r="L29" i="6"/>
  <c r="K10" i="22"/>
  <c r="F10" i="22"/>
  <c r="E29" i="6"/>
  <c r="F29" i="6" s="1"/>
  <c r="AJ28" i="6"/>
  <c r="AG28" i="6"/>
  <c r="F74" i="22"/>
  <c r="K61" i="22"/>
  <c r="F61" i="22"/>
  <c r="U28" i="6"/>
  <c r="R28" i="6"/>
  <c r="L28" i="6"/>
  <c r="K9" i="22"/>
  <c r="J9" i="22"/>
  <c r="E28" i="6"/>
  <c r="F28" i="6" s="1"/>
  <c r="AJ27" i="6"/>
  <c r="AG27" i="6"/>
  <c r="F73" i="22"/>
  <c r="AD27" i="6"/>
  <c r="K60" i="22"/>
  <c r="AA27" i="6"/>
  <c r="F60" i="22"/>
  <c r="X27" i="6"/>
  <c r="U27" i="6"/>
  <c r="R27" i="6"/>
  <c r="L27" i="6"/>
  <c r="K8" i="22"/>
  <c r="J8" i="22"/>
  <c r="F8" i="22"/>
  <c r="E27" i="6"/>
  <c r="AG26" i="6"/>
  <c r="F72" i="22"/>
  <c r="AD26" i="6"/>
  <c r="K59" i="22"/>
  <c r="F59" i="22"/>
  <c r="X26" i="6"/>
  <c r="U26" i="6"/>
  <c r="L26" i="6"/>
  <c r="J7" i="22"/>
  <c r="F7" i="22"/>
  <c r="E26" i="6"/>
  <c r="AG16" i="6"/>
  <c r="F86" i="21"/>
  <c r="K72" i="21"/>
  <c r="O16" i="6"/>
  <c r="L16" i="6"/>
  <c r="K16" i="21"/>
  <c r="F16" i="21"/>
  <c r="E16" i="6"/>
  <c r="F16" i="6" s="1"/>
  <c r="AJ19" i="6"/>
  <c r="AG19" i="6"/>
  <c r="F85" i="21"/>
  <c r="K71" i="21"/>
  <c r="F71" i="21"/>
  <c r="U19" i="6"/>
  <c r="R19" i="6"/>
  <c r="L19" i="6"/>
  <c r="K15" i="21"/>
  <c r="E19" i="6"/>
  <c r="AJ15" i="6"/>
  <c r="F56" i="21"/>
  <c r="AG15" i="6"/>
  <c r="F84" i="21"/>
  <c r="AD15" i="6"/>
  <c r="K70" i="21"/>
  <c r="AA15" i="6"/>
  <c r="F70" i="21"/>
  <c r="X15" i="6"/>
  <c r="U15" i="6"/>
  <c r="R15" i="6"/>
  <c r="L15" i="6"/>
  <c r="J14" i="21"/>
  <c r="F14" i="21"/>
  <c r="E15" i="6"/>
  <c r="AJ22" i="6"/>
  <c r="AG22" i="6"/>
  <c r="F83" i="21"/>
  <c r="K69" i="21"/>
  <c r="AA22" i="6"/>
  <c r="F69" i="21"/>
  <c r="R22" i="6"/>
  <c r="O22" i="6"/>
  <c r="L22" i="6"/>
  <c r="K13" i="21"/>
  <c r="J13" i="21"/>
  <c r="F13" i="21"/>
  <c r="E22" i="6"/>
  <c r="AG21" i="6"/>
  <c r="F82" i="21"/>
  <c r="K68" i="21"/>
  <c r="U21" i="6"/>
  <c r="R21" i="6"/>
  <c r="O21" i="6"/>
  <c r="L21" i="6"/>
  <c r="K12" i="21"/>
  <c r="F12" i="21"/>
  <c r="E21" i="6"/>
  <c r="F21" i="6" s="1"/>
  <c r="AJ20" i="6"/>
  <c r="AG20" i="6"/>
  <c r="F81" i="21"/>
  <c r="K67" i="21"/>
  <c r="AA20" i="6"/>
  <c r="F67" i="21"/>
  <c r="R20" i="6"/>
  <c r="L20" i="6"/>
  <c r="K11" i="21"/>
  <c r="J11" i="21"/>
  <c r="F11" i="21"/>
  <c r="E20" i="6"/>
  <c r="F20" i="6" s="1"/>
  <c r="AJ18" i="6"/>
  <c r="AG18" i="6"/>
  <c r="F80" i="21"/>
  <c r="AD18" i="6"/>
  <c r="K66" i="21"/>
  <c r="AA18" i="6"/>
  <c r="F66" i="21"/>
  <c r="X18" i="6"/>
  <c r="L18" i="6"/>
  <c r="K10" i="21"/>
  <c r="J10" i="21"/>
  <c r="E18" i="6"/>
  <c r="AJ17" i="6"/>
  <c r="F51" i="21"/>
  <c r="F79" i="21"/>
  <c r="AD17" i="6"/>
  <c r="K65" i="21"/>
  <c r="F65" i="21"/>
  <c r="X17" i="6"/>
  <c r="U17" i="6"/>
  <c r="R17" i="6"/>
  <c r="L17" i="6"/>
  <c r="K9" i="21"/>
  <c r="J9" i="21"/>
  <c r="F9" i="21"/>
  <c r="E17" i="6"/>
  <c r="AG14" i="6"/>
  <c r="F78" i="21"/>
  <c r="K64" i="21"/>
  <c r="F64" i="21"/>
  <c r="O14" i="6"/>
  <c r="L14" i="6"/>
  <c r="K8" i="21"/>
  <c r="F8" i="21"/>
  <c r="E14" i="6"/>
  <c r="F14" i="6" s="1"/>
  <c r="AJ13" i="6"/>
  <c r="AG13" i="6"/>
  <c r="K63" i="21"/>
  <c r="F63" i="21"/>
  <c r="R13" i="6"/>
  <c r="O13" i="6"/>
  <c r="L13" i="6"/>
  <c r="K7" i="21"/>
  <c r="E13" i="6"/>
  <c r="AG10" i="6"/>
  <c r="F56" i="20"/>
  <c r="AD10" i="6"/>
  <c r="K47" i="20"/>
  <c r="AA10" i="6"/>
  <c r="F47" i="20"/>
  <c r="X10" i="6"/>
  <c r="U10" i="6"/>
  <c r="R10" i="6"/>
  <c r="L10" i="6"/>
  <c r="K11" i="20"/>
  <c r="J11" i="20"/>
  <c r="F11" i="20"/>
  <c r="E10" i="6"/>
  <c r="AJ12" i="6"/>
  <c r="AG12" i="6"/>
  <c r="F55" i="20"/>
  <c r="K46" i="20"/>
  <c r="AA12" i="6"/>
  <c r="F46" i="20"/>
  <c r="O12" i="6"/>
  <c r="L12" i="6"/>
  <c r="K10" i="20"/>
  <c r="J10" i="20"/>
  <c r="F10" i="20"/>
  <c r="E12" i="6"/>
  <c r="AG11" i="6"/>
  <c r="F54" i="20"/>
  <c r="F45" i="20"/>
  <c r="L11" i="6"/>
  <c r="K9" i="20"/>
  <c r="F9" i="20"/>
  <c r="E11" i="6"/>
  <c r="F11" i="6" s="1"/>
  <c r="AG9" i="6"/>
  <c r="F53" i="20"/>
  <c r="K44" i="20"/>
  <c r="F44" i="20"/>
  <c r="U9" i="6"/>
  <c r="R9" i="6"/>
  <c r="L9" i="6"/>
  <c r="J8" i="20"/>
  <c r="F8" i="20"/>
  <c r="E9" i="6"/>
  <c r="AJ8" i="6"/>
  <c r="AG8" i="6"/>
  <c r="AD8" i="6"/>
  <c r="AA8" i="6"/>
  <c r="X8" i="6"/>
  <c r="U8" i="6"/>
  <c r="R8" i="6"/>
  <c r="O8" i="6"/>
  <c r="H45" i="5"/>
  <c r="H44" i="5"/>
  <c r="T37" i="5"/>
  <c r="S37" i="5"/>
  <c r="AA36" i="5"/>
  <c r="X35" i="5"/>
  <c r="X34" i="5"/>
  <c r="X33" i="5"/>
  <c r="X32" i="5"/>
  <c r="X31" i="5"/>
  <c r="X30" i="5"/>
  <c r="B12" i="5"/>
  <c r="B11" i="5"/>
  <c r="C12" i="5" l="1"/>
  <c r="D12" i="5" s="1"/>
  <c r="C7" i="5"/>
  <c r="D7" i="5" s="1"/>
  <c r="C11" i="5"/>
  <c r="D11" i="5" s="1"/>
  <c r="F9" i="6"/>
  <c r="C6" i="5"/>
  <c r="C9" i="5"/>
  <c r="D9" i="5" s="1"/>
  <c r="F39" i="6"/>
  <c r="C10" i="5"/>
  <c r="D10" i="5" s="1"/>
  <c r="C8" i="5"/>
  <c r="D8" i="5" s="1"/>
  <c r="R37" i="5"/>
  <c r="AJ29" i="6"/>
  <c r="H36" i="21"/>
  <c r="U14" i="6"/>
  <c r="I26" i="20" s="1"/>
  <c r="R25" i="6"/>
  <c r="E82" i="21"/>
  <c r="AD21" i="6"/>
  <c r="E42" i="25"/>
  <c r="X42" i="6"/>
  <c r="E44" i="20"/>
  <c r="X9" i="6"/>
  <c r="E77" i="21"/>
  <c r="AD13" i="6"/>
  <c r="E51" i="21"/>
  <c r="AG17" i="6"/>
  <c r="H57" i="21" s="1"/>
  <c r="E20" i="22"/>
  <c r="O26" i="6"/>
  <c r="E21" i="22"/>
  <c r="O27" i="6"/>
  <c r="E63" i="22"/>
  <c r="X30" i="6"/>
  <c r="E79" i="22"/>
  <c r="AD25" i="6"/>
  <c r="J45" i="23"/>
  <c r="AJ34" i="6"/>
  <c r="H38" i="23"/>
  <c r="U38" i="6"/>
  <c r="E50" i="25"/>
  <c r="AD42" i="6"/>
  <c r="J42" i="27"/>
  <c r="AJ49" i="6"/>
  <c r="K42" i="27" s="1"/>
  <c r="E68" i="21"/>
  <c r="X21" i="6"/>
  <c r="E20" i="20"/>
  <c r="O10" i="6"/>
  <c r="R41" i="6"/>
  <c r="F37" i="21" s="1"/>
  <c r="E18" i="20"/>
  <c r="O11" i="6"/>
  <c r="F19" i="20" s="1"/>
  <c r="AJ14" i="6"/>
  <c r="R26" i="6"/>
  <c r="F33" i="22" s="1"/>
  <c r="E62" i="22"/>
  <c r="X29" i="6"/>
  <c r="E78" i="22"/>
  <c r="AD24" i="6"/>
  <c r="E49" i="25"/>
  <c r="AD41" i="6"/>
  <c r="R18" i="6"/>
  <c r="F38" i="21" s="1"/>
  <c r="J68" i="21"/>
  <c r="AA21" i="6"/>
  <c r="E26" i="22"/>
  <c r="O24" i="6"/>
  <c r="AJ16" i="6"/>
  <c r="H40" i="22"/>
  <c r="U25" i="6"/>
  <c r="I39" i="22" s="1"/>
  <c r="E40" i="26"/>
  <c r="X44" i="6"/>
  <c r="H40" i="26" s="1"/>
  <c r="H25" i="25"/>
  <c r="U41" i="6"/>
  <c r="I37" i="21" s="1"/>
  <c r="J45" i="20"/>
  <c r="AA11" i="6"/>
  <c r="J44" i="20"/>
  <c r="AA9" i="6"/>
  <c r="E54" i="20"/>
  <c r="AD11" i="6"/>
  <c r="E55" i="20"/>
  <c r="AD12" i="6"/>
  <c r="E61" i="22"/>
  <c r="X28" i="6"/>
  <c r="E24" i="23"/>
  <c r="O36" i="6"/>
  <c r="F16" i="25" s="1"/>
  <c r="R37" i="6"/>
  <c r="F37" i="23" s="1"/>
  <c r="E48" i="25"/>
  <c r="AD40" i="6"/>
  <c r="H48" i="25" s="1"/>
  <c r="AJ45" i="6"/>
  <c r="K33" i="26" s="1"/>
  <c r="E25" i="21"/>
  <c r="O20" i="6"/>
  <c r="E64" i="21"/>
  <c r="X14" i="6"/>
  <c r="E85" i="21"/>
  <c r="AD19" i="6"/>
  <c r="J56" i="23"/>
  <c r="AA33" i="6"/>
  <c r="E66" i="27"/>
  <c r="AD51" i="6"/>
  <c r="J64" i="21"/>
  <c r="AA14" i="6"/>
  <c r="E65" i="27"/>
  <c r="AD50" i="6"/>
  <c r="E46" i="20"/>
  <c r="X12" i="6"/>
  <c r="E29" i="21"/>
  <c r="O19" i="6"/>
  <c r="F20" i="22" s="1"/>
  <c r="R16" i="6"/>
  <c r="J62" i="22"/>
  <c r="AA29" i="6"/>
  <c r="M62" i="22" s="1"/>
  <c r="E76" i="22"/>
  <c r="AD30" i="6"/>
  <c r="AJ25" i="6"/>
  <c r="E24" i="21"/>
  <c r="O18" i="6"/>
  <c r="F30" i="21" s="1"/>
  <c r="H33" i="23"/>
  <c r="U34" i="6"/>
  <c r="I38" i="23" s="1"/>
  <c r="E41" i="26"/>
  <c r="X45" i="6"/>
  <c r="J65" i="21"/>
  <c r="AA17" i="6"/>
  <c r="E53" i="20"/>
  <c r="AD9" i="6"/>
  <c r="E28" i="21"/>
  <c r="O15" i="6"/>
  <c r="F28" i="21" s="1"/>
  <c r="H44" i="21"/>
  <c r="U16" i="6"/>
  <c r="I42" i="21" s="1"/>
  <c r="J61" i="22"/>
  <c r="AA28" i="6"/>
  <c r="E75" i="22"/>
  <c r="AD29" i="6"/>
  <c r="E61" i="23"/>
  <c r="X37" i="6"/>
  <c r="AJ41" i="6"/>
  <c r="K51" i="21" s="1"/>
  <c r="E22" i="27"/>
  <c r="O51" i="6"/>
  <c r="F22" i="27" s="1"/>
  <c r="E24" i="27"/>
  <c r="O52" i="6"/>
  <c r="F24" i="27" s="1"/>
  <c r="AJ9" i="6"/>
  <c r="E67" i="21"/>
  <c r="X20" i="6"/>
  <c r="E63" i="21"/>
  <c r="X13" i="6"/>
  <c r="E83" i="21"/>
  <c r="AD22" i="6"/>
  <c r="E66" i="22"/>
  <c r="X25" i="6"/>
  <c r="AJ11" i="6"/>
  <c r="K37" i="20" s="1"/>
  <c r="AJ10" i="6"/>
  <c r="K38" i="20" s="1"/>
  <c r="E72" i="21"/>
  <c r="X16" i="6"/>
  <c r="J59" i="22"/>
  <c r="AA26" i="6"/>
  <c r="AJ31" i="6"/>
  <c r="K51" i="22" s="1"/>
  <c r="AJ40" i="6"/>
  <c r="K32" i="25" s="1"/>
  <c r="R51" i="6"/>
  <c r="F33" i="27" s="1"/>
  <c r="E34" i="27"/>
  <c r="R46" i="6"/>
  <c r="F24" i="26" s="1"/>
  <c r="E35" i="27"/>
  <c r="R52" i="6"/>
  <c r="F35" i="27" s="1"/>
  <c r="E71" i="21"/>
  <c r="X19" i="6"/>
  <c r="J72" i="21"/>
  <c r="AA16" i="6"/>
  <c r="E74" i="22"/>
  <c r="AD28" i="6"/>
  <c r="H74" i="22" s="1"/>
  <c r="AJ30" i="6"/>
  <c r="K50" i="22" s="1"/>
  <c r="H35" i="23"/>
  <c r="U35" i="6"/>
  <c r="I23" i="25" s="1"/>
  <c r="J61" i="23"/>
  <c r="AA37" i="6"/>
  <c r="E19" i="27"/>
  <c r="O48" i="6"/>
  <c r="F20" i="27" s="1"/>
  <c r="H33" i="27"/>
  <c r="U51" i="6"/>
  <c r="I34" i="27" s="1"/>
  <c r="E21" i="23"/>
  <c r="O34" i="6"/>
  <c r="F21" i="23" s="1"/>
  <c r="J60" i="23"/>
  <c r="AA36" i="6"/>
  <c r="E73" i="23"/>
  <c r="AD37" i="6"/>
  <c r="H32" i="27"/>
  <c r="U50" i="6"/>
  <c r="I32" i="27" s="1"/>
  <c r="E69" i="21"/>
  <c r="X22" i="6"/>
  <c r="J71" i="21"/>
  <c r="AA19" i="6"/>
  <c r="M59" i="22" s="1"/>
  <c r="E86" i="21"/>
  <c r="AD16" i="6"/>
  <c r="E28" i="22"/>
  <c r="O23" i="6"/>
  <c r="F24" i="22" s="1"/>
  <c r="R32" i="6"/>
  <c r="F31" i="23" s="1"/>
  <c r="AJ38" i="6"/>
  <c r="K34" i="25" s="1"/>
  <c r="E17" i="26"/>
  <c r="O45" i="6"/>
  <c r="E18" i="27"/>
  <c r="O47" i="6"/>
  <c r="H30" i="27"/>
  <c r="U48" i="6"/>
  <c r="E54" i="27"/>
  <c r="X50" i="6"/>
  <c r="AM47" i="6"/>
  <c r="AM25" i="6"/>
  <c r="AM14" i="6"/>
  <c r="AM45" i="6"/>
  <c r="L17" i="26" s="1"/>
  <c r="AM24" i="6"/>
  <c r="AM13" i="6"/>
  <c r="AM44" i="6"/>
  <c r="AM31" i="6"/>
  <c r="AM10" i="6"/>
  <c r="AM43" i="6"/>
  <c r="L15" i="26" s="1"/>
  <c r="AM30" i="6"/>
  <c r="AM12" i="6"/>
  <c r="AM18" i="6"/>
  <c r="AM42" i="6"/>
  <c r="AM29" i="6"/>
  <c r="AM11" i="6"/>
  <c r="AM17" i="6"/>
  <c r="AM41" i="6"/>
  <c r="AM28" i="6"/>
  <c r="AM9" i="6"/>
  <c r="AM52" i="6"/>
  <c r="L24" i="27" s="1"/>
  <c r="AM32" i="6"/>
  <c r="AM23" i="6"/>
  <c r="AM40" i="6"/>
  <c r="AM27" i="6"/>
  <c r="AM39" i="6"/>
  <c r="AM26" i="6"/>
  <c r="AM50" i="6"/>
  <c r="AM38" i="6"/>
  <c r="AM16" i="6"/>
  <c r="AM37" i="6"/>
  <c r="AM19" i="6"/>
  <c r="AM36" i="6"/>
  <c r="AM15" i="6"/>
  <c r="AM33" i="6"/>
  <c r="AM48" i="6"/>
  <c r="AM46" i="6"/>
  <c r="AM35" i="6"/>
  <c r="AM22" i="6"/>
  <c r="AM20" i="6"/>
  <c r="AM49" i="6"/>
  <c r="AM51" i="6"/>
  <c r="AM34" i="6"/>
  <c r="L21" i="23" s="1"/>
  <c r="AM21" i="6"/>
  <c r="E15" i="26"/>
  <c r="O43" i="6"/>
  <c r="R45" i="6"/>
  <c r="R47" i="6"/>
  <c r="F30" i="27" s="1"/>
  <c r="J55" i="27"/>
  <c r="AA51" i="6"/>
  <c r="J56" i="27"/>
  <c r="AA46" i="6"/>
  <c r="AJ37" i="6"/>
  <c r="E17" i="25"/>
  <c r="O41" i="6"/>
  <c r="H24" i="26"/>
  <c r="U44" i="6"/>
  <c r="I24" i="26" s="1"/>
  <c r="H38" i="21"/>
  <c r="U18" i="6"/>
  <c r="H23" i="26"/>
  <c r="U43" i="6"/>
  <c r="I23" i="26" s="1"/>
  <c r="E23" i="21"/>
  <c r="O17" i="6"/>
  <c r="F29" i="21" s="1"/>
  <c r="H39" i="21"/>
  <c r="U20" i="6"/>
  <c r="E56" i="23"/>
  <c r="X33" i="6"/>
  <c r="AJ26" i="6"/>
  <c r="K46" i="22" s="1"/>
  <c r="R14" i="6"/>
  <c r="F40" i="21" s="1"/>
  <c r="E17" i="20"/>
  <c r="O9" i="6"/>
  <c r="F17" i="20" s="1"/>
  <c r="R11" i="6"/>
  <c r="F27" i="20" s="1"/>
  <c r="H28" i="20"/>
  <c r="U12" i="6"/>
  <c r="E65" i="22"/>
  <c r="X24" i="6"/>
  <c r="J67" i="22"/>
  <c r="AA23" i="6"/>
  <c r="M67" i="22" s="1"/>
  <c r="E68" i="23"/>
  <c r="AD33" i="6"/>
  <c r="E69" i="23"/>
  <c r="AD34" i="6"/>
  <c r="E15" i="25"/>
  <c r="O39" i="6"/>
  <c r="F15" i="25" s="1"/>
  <c r="R40" i="6"/>
  <c r="F24" i="25" s="1"/>
  <c r="E41" i="25"/>
  <c r="X41" i="6"/>
  <c r="J40" i="26"/>
  <c r="AA44" i="6"/>
  <c r="J41" i="26"/>
  <c r="AA45" i="6"/>
  <c r="J51" i="27"/>
  <c r="AA47" i="6"/>
  <c r="E63" i="27"/>
  <c r="AD48" i="6"/>
  <c r="E64" i="27"/>
  <c r="AD49" i="6"/>
  <c r="E44" i="27"/>
  <c r="AG51" i="6"/>
  <c r="H41" i="21"/>
  <c r="U22" i="6"/>
  <c r="I36" i="22" s="1"/>
  <c r="H26" i="25"/>
  <c r="U42" i="6"/>
  <c r="R12" i="6"/>
  <c r="F28" i="20" s="1"/>
  <c r="J63" i="21"/>
  <c r="AA13" i="6"/>
  <c r="E78" i="21"/>
  <c r="AD14" i="6"/>
  <c r="E81" i="21"/>
  <c r="AD20" i="6"/>
  <c r="E23" i="22"/>
  <c r="O29" i="6"/>
  <c r="F20" i="23" s="1"/>
  <c r="H38" i="22"/>
  <c r="U31" i="6"/>
  <c r="I38" i="22" s="1"/>
  <c r="J66" i="22"/>
  <c r="AA25" i="6"/>
  <c r="AJ35" i="6"/>
  <c r="K47" i="23" s="1"/>
  <c r="E26" i="23"/>
  <c r="O38" i="6"/>
  <c r="H24" i="25"/>
  <c r="U40" i="6"/>
  <c r="I24" i="25" s="1"/>
  <c r="J39" i="26"/>
  <c r="AA43" i="6"/>
  <c r="J46" i="27"/>
  <c r="AJ52" i="6"/>
  <c r="H35" i="21"/>
  <c r="U13" i="6"/>
  <c r="E48" i="23"/>
  <c r="AG36" i="6"/>
  <c r="E67" i="27"/>
  <c r="AD46" i="6"/>
  <c r="H27" i="20"/>
  <c r="U11" i="6"/>
  <c r="I27" i="20" s="1"/>
  <c r="E45" i="20"/>
  <c r="X11" i="6"/>
  <c r="AJ21" i="6"/>
  <c r="K48" i="22" s="1"/>
  <c r="E22" i="22"/>
  <c r="O28" i="6"/>
  <c r="R29" i="6"/>
  <c r="F36" i="22" s="1"/>
  <c r="H37" i="22"/>
  <c r="U30" i="6"/>
  <c r="I37" i="22" s="1"/>
  <c r="J65" i="22"/>
  <c r="AA24" i="6"/>
  <c r="R38" i="6"/>
  <c r="F38" i="23" s="1"/>
  <c r="E40" i="25"/>
  <c r="X40" i="6"/>
  <c r="J41" i="25"/>
  <c r="AA41" i="6"/>
  <c r="E49" i="26"/>
  <c r="AD45" i="6"/>
  <c r="J43" i="27"/>
  <c r="AJ50" i="6"/>
  <c r="K44" i="27" s="1"/>
  <c r="E10" i="21"/>
  <c r="F18" i="6"/>
  <c r="E8" i="26"/>
  <c r="F44" i="6"/>
  <c r="E13" i="22"/>
  <c r="F24" i="6"/>
  <c r="E15" i="22"/>
  <c r="F23" i="6"/>
  <c r="E13" i="21"/>
  <c r="F22" i="6"/>
  <c r="E7" i="23"/>
  <c r="F32" i="6"/>
  <c r="E8" i="27"/>
  <c r="F48" i="6"/>
  <c r="E14" i="21"/>
  <c r="F15" i="6"/>
  <c r="E10" i="27"/>
  <c r="F50" i="6"/>
  <c r="E11" i="27"/>
  <c r="F51" i="6"/>
  <c r="E15" i="21"/>
  <c r="F19" i="6"/>
  <c r="E10" i="20"/>
  <c r="F12" i="6"/>
  <c r="E11" i="23"/>
  <c r="F35" i="6"/>
  <c r="E12" i="23"/>
  <c r="F36" i="6"/>
  <c r="E13" i="23"/>
  <c r="F37" i="6"/>
  <c r="H13" i="23" s="1"/>
  <c r="E12" i="27"/>
  <c r="F46" i="6"/>
  <c r="E7" i="21"/>
  <c r="F13" i="6"/>
  <c r="E7" i="22"/>
  <c r="F26" i="6"/>
  <c r="E8" i="22"/>
  <c r="F27" i="6"/>
  <c r="H8" i="22" s="1"/>
  <c r="E11" i="20"/>
  <c r="F10" i="6"/>
  <c r="E9" i="25"/>
  <c r="F41" i="6"/>
  <c r="E10" i="25"/>
  <c r="F42" i="6"/>
  <c r="E11" i="22"/>
  <c r="F30" i="6"/>
  <c r="E9" i="21"/>
  <c r="F17" i="6"/>
  <c r="E7" i="26"/>
  <c r="F43" i="6"/>
  <c r="E12" i="22"/>
  <c r="F31" i="6"/>
  <c r="E8" i="20"/>
  <c r="N10" i="26"/>
  <c r="U37" i="5"/>
  <c r="J30" i="20"/>
  <c r="N10" i="23"/>
  <c r="J7" i="20"/>
  <c r="E16" i="20"/>
  <c r="F43" i="20"/>
  <c r="F48" i="20" s="1"/>
  <c r="F52" i="20"/>
  <c r="F57" i="20" s="1"/>
  <c r="K7" i="20"/>
  <c r="J43" i="20"/>
  <c r="E61" i="20"/>
  <c r="K43" i="20"/>
  <c r="F7" i="20"/>
  <c r="F12" i="20" s="1"/>
  <c r="E43" i="20"/>
  <c r="E52" i="20"/>
  <c r="K36" i="27"/>
  <c r="G39" i="23"/>
  <c r="J27" i="25"/>
  <c r="K27" i="26"/>
  <c r="J39" i="23"/>
  <c r="J36" i="27"/>
  <c r="J45" i="21"/>
  <c r="D27" i="26"/>
  <c r="D87" i="23"/>
  <c r="I15" i="23"/>
  <c r="D63" i="23"/>
  <c r="I43" i="25"/>
  <c r="I63" i="23"/>
  <c r="D35" i="25"/>
  <c r="I35" i="25"/>
  <c r="I35" i="26"/>
  <c r="J19" i="25"/>
  <c r="J27" i="23"/>
  <c r="G59" i="26"/>
  <c r="I51" i="26"/>
  <c r="I51" i="25"/>
  <c r="L51" i="25"/>
  <c r="L52" i="20"/>
  <c r="L57" i="20" s="1"/>
  <c r="I52" i="20"/>
  <c r="I57" i="20" s="1"/>
  <c r="J61" i="20"/>
  <c r="J66" i="20" s="1"/>
  <c r="G61" i="20"/>
  <c r="G66" i="20" s="1"/>
  <c r="G16" i="20"/>
  <c r="G21" i="20" s="1"/>
  <c r="D61" i="20"/>
  <c r="D66" i="20" s="1"/>
  <c r="J16" i="20"/>
  <c r="J21" i="20" s="1"/>
  <c r="I34" i="20"/>
  <c r="I39" i="20" s="1"/>
  <c r="D34" i="20"/>
  <c r="D39" i="20" s="1"/>
  <c r="D75" i="23"/>
  <c r="H39" i="5"/>
  <c r="D52" i="20"/>
  <c r="D57" i="20" s="1"/>
  <c r="E46" i="5"/>
  <c r="I43" i="20"/>
  <c r="I48" i="20" s="1"/>
  <c r="D43" i="20"/>
  <c r="D48" i="20" s="1"/>
  <c r="G25" i="20"/>
  <c r="G30" i="20" s="1"/>
  <c r="D25" i="20"/>
  <c r="D30" i="20" s="1"/>
  <c r="D16" i="20"/>
  <c r="D21" i="20" s="1"/>
  <c r="I7" i="20"/>
  <c r="I12" i="20" s="1"/>
  <c r="D17" i="21"/>
  <c r="D15" i="23"/>
  <c r="D7" i="20"/>
  <c r="D12" i="20" s="1"/>
  <c r="B6" i="5"/>
  <c r="L87" i="21"/>
  <c r="J59" i="26"/>
  <c r="G94" i="22"/>
  <c r="G25" i="27"/>
  <c r="D59" i="25"/>
  <c r="D47" i="27"/>
  <c r="D69" i="27"/>
  <c r="D51" i="25"/>
  <c r="I68" i="22"/>
  <c r="I58" i="27"/>
  <c r="D68" i="22"/>
  <c r="D43" i="25"/>
  <c r="D43" i="26"/>
  <c r="D42" i="22"/>
  <c r="D29" i="22"/>
  <c r="H13" i="5"/>
  <c r="I11" i="25"/>
  <c r="D11" i="26"/>
  <c r="D14" i="27"/>
  <c r="G46" i="27"/>
  <c r="N68" i="23"/>
  <c r="G48" i="22"/>
  <c r="I62" i="20"/>
  <c r="K77" i="21"/>
  <c r="G58" i="21"/>
  <c r="F65" i="20"/>
  <c r="G46" i="22"/>
  <c r="H42" i="27"/>
  <c r="L44" i="20"/>
  <c r="G49" i="21"/>
  <c r="L11" i="22"/>
  <c r="L60" i="23"/>
  <c r="K11" i="26"/>
  <c r="G46" i="20"/>
  <c r="L63" i="21"/>
  <c r="L72" i="21"/>
  <c r="G12" i="22"/>
  <c r="G33" i="26"/>
  <c r="G31" i="21"/>
  <c r="K45" i="21"/>
  <c r="I87" i="21"/>
  <c r="J101" i="21"/>
  <c r="J29" i="22"/>
  <c r="J42" i="22"/>
  <c r="D55" i="22"/>
  <c r="D94" i="22"/>
  <c r="D39" i="23"/>
  <c r="D11" i="25"/>
  <c r="D19" i="25"/>
  <c r="J59" i="25"/>
  <c r="J27" i="26"/>
  <c r="D59" i="26"/>
  <c r="G36" i="27"/>
  <c r="I69" i="27"/>
  <c r="G66" i="22"/>
  <c r="F11" i="25"/>
  <c r="G49" i="25"/>
  <c r="D31" i="21"/>
  <c r="G42" i="22"/>
  <c r="J94" i="22"/>
  <c r="G19" i="25"/>
  <c r="J80" i="27"/>
  <c r="K55" i="21"/>
  <c r="G9" i="21"/>
  <c r="G54" i="21"/>
  <c r="L13" i="21"/>
  <c r="H52" i="22"/>
  <c r="L40" i="26"/>
  <c r="G44" i="27"/>
  <c r="I17" i="21"/>
  <c r="I81" i="22"/>
  <c r="I75" i="23"/>
  <c r="G87" i="23"/>
  <c r="J25" i="27"/>
  <c r="D58" i="27"/>
  <c r="G61" i="22"/>
  <c r="G40" i="27"/>
  <c r="J31" i="21"/>
  <c r="I59" i="21"/>
  <c r="I73" i="21"/>
  <c r="D101" i="21"/>
  <c r="K42" i="22"/>
  <c r="L81" i="22"/>
  <c r="L75" i="23"/>
  <c r="D27" i="25"/>
  <c r="I11" i="26"/>
  <c r="D19" i="26"/>
  <c r="I43" i="26"/>
  <c r="I14" i="27"/>
  <c r="D25" i="27"/>
  <c r="I47" i="27"/>
  <c r="L69" i="27"/>
  <c r="G35" i="20"/>
  <c r="L13" i="27"/>
  <c r="D45" i="21"/>
  <c r="D73" i="21"/>
  <c r="G101" i="21"/>
  <c r="I16" i="22"/>
  <c r="D81" i="22"/>
  <c r="D27" i="23"/>
  <c r="K39" i="23"/>
  <c r="D51" i="23"/>
  <c r="G27" i="25"/>
  <c r="G19" i="26"/>
  <c r="L51" i="26"/>
  <c r="D80" i="27"/>
  <c r="K30" i="20"/>
  <c r="L30" i="20" s="1"/>
  <c r="G45" i="21"/>
  <c r="D16" i="22"/>
  <c r="G27" i="23"/>
  <c r="I51" i="23"/>
  <c r="J19" i="26"/>
  <c r="D35" i="26"/>
  <c r="D51" i="26"/>
  <c r="G80" i="27"/>
  <c r="L7" i="27"/>
  <c r="G12" i="27"/>
  <c r="D59" i="21"/>
  <c r="D87" i="21"/>
  <c r="G29" i="22"/>
  <c r="I55" i="22"/>
  <c r="J87" i="23"/>
  <c r="K27" i="25"/>
  <c r="G59" i="25"/>
  <c r="G27" i="26"/>
  <c r="D36" i="27"/>
  <c r="F72" i="21"/>
  <c r="G72" i="21"/>
  <c r="N77" i="22"/>
  <c r="H29" i="20"/>
  <c r="I29" i="20"/>
  <c r="K7" i="22"/>
  <c r="K16" i="22" s="1"/>
  <c r="E19" i="23"/>
  <c r="J44" i="23"/>
  <c r="H34" i="27"/>
  <c r="F43" i="27"/>
  <c r="I93" i="22"/>
  <c r="G10" i="20"/>
  <c r="M11" i="20"/>
  <c r="F68" i="21"/>
  <c r="G68" i="21"/>
  <c r="F15" i="21"/>
  <c r="G15" i="21"/>
  <c r="E25" i="22"/>
  <c r="H31" i="23"/>
  <c r="I31" i="23"/>
  <c r="E20" i="23"/>
  <c r="L56" i="23"/>
  <c r="E48" i="26"/>
  <c r="G48" i="26"/>
  <c r="E20" i="27"/>
  <c r="H43" i="21"/>
  <c r="I43" i="21"/>
  <c r="K14" i="23"/>
  <c r="H26" i="20"/>
  <c r="F77" i="21"/>
  <c r="F87" i="21" s="1"/>
  <c r="G7" i="23"/>
  <c r="F12" i="23"/>
  <c r="F8" i="26"/>
  <c r="F11" i="26" s="1"/>
  <c r="G8" i="26"/>
  <c r="E52" i="27"/>
  <c r="K62" i="22"/>
  <c r="K68" i="22" s="1"/>
  <c r="E23" i="23"/>
  <c r="F23" i="23"/>
  <c r="H36" i="23"/>
  <c r="I36" i="23"/>
  <c r="J34" i="25"/>
  <c r="E21" i="21"/>
  <c r="F81" i="23"/>
  <c r="F88" i="22"/>
  <c r="F15" i="22"/>
  <c r="K7" i="23"/>
  <c r="K15" i="23" s="1"/>
  <c r="L7" i="23"/>
  <c r="F57" i="23"/>
  <c r="F63" i="23" s="1"/>
  <c r="H23" i="25"/>
  <c r="E53" i="27"/>
  <c r="H39" i="22"/>
  <c r="H24" i="5"/>
  <c r="K65" i="27"/>
  <c r="L11" i="21"/>
  <c r="E26" i="21"/>
  <c r="G14" i="21"/>
  <c r="H34" i="22"/>
  <c r="I34" i="22"/>
  <c r="E37" i="22"/>
  <c r="G79" i="22"/>
  <c r="E41" i="22"/>
  <c r="F41" i="22"/>
  <c r="G44" i="23"/>
  <c r="E21" i="27"/>
  <c r="F21" i="27"/>
  <c r="H35" i="22"/>
  <c r="I35" i="22"/>
  <c r="H37" i="23"/>
  <c r="I37" i="23"/>
  <c r="I22" i="21"/>
  <c r="I20" i="22"/>
  <c r="I23" i="21"/>
  <c r="K45" i="20"/>
  <c r="L64" i="21"/>
  <c r="E40" i="21"/>
  <c r="G83" i="21"/>
  <c r="H42" i="21"/>
  <c r="G75" i="22"/>
  <c r="L12" i="22"/>
  <c r="J57" i="27"/>
  <c r="L90" i="22"/>
  <c r="K78" i="21"/>
  <c r="M9" i="27"/>
  <c r="K54" i="20"/>
  <c r="N55" i="20"/>
  <c r="L65" i="21"/>
  <c r="G86" i="21"/>
  <c r="L8" i="22"/>
  <c r="N76" i="22"/>
  <c r="G40" i="25"/>
  <c r="G64" i="21"/>
  <c r="G69" i="21"/>
  <c r="L66" i="22"/>
  <c r="L8" i="23"/>
  <c r="F43" i="26"/>
  <c r="I85" i="22"/>
  <c r="G55" i="20"/>
  <c r="K83" i="21"/>
  <c r="J67" i="21"/>
  <c r="G40" i="5"/>
  <c r="E16" i="25"/>
  <c r="E79" i="21"/>
  <c r="J40" i="5"/>
  <c r="J60" i="22"/>
  <c r="G41" i="5"/>
  <c r="F9" i="22"/>
  <c r="E27" i="22"/>
  <c r="K55" i="23"/>
  <c r="K63" i="23" s="1"/>
  <c r="K61" i="23"/>
  <c r="J47" i="22"/>
  <c r="K47" i="22"/>
  <c r="E26" i="20"/>
  <c r="E56" i="20"/>
  <c r="F7" i="21"/>
  <c r="E37" i="21"/>
  <c r="E84" i="21"/>
  <c r="E14" i="22"/>
  <c r="E80" i="22"/>
  <c r="J41" i="5"/>
  <c r="H32" i="23"/>
  <c r="I32" i="23"/>
  <c r="E32" i="27"/>
  <c r="F32" i="27"/>
  <c r="E9" i="20"/>
  <c r="K14" i="21"/>
  <c r="K17" i="21" s="1"/>
  <c r="F50" i="22"/>
  <c r="F77" i="22"/>
  <c r="F81" i="22" s="1"/>
  <c r="K11" i="23"/>
  <c r="E59" i="23"/>
  <c r="F14" i="23"/>
  <c r="E62" i="27"/>
  <c r="J45" i="5"/>
  <c r="L76" i="27"/>
  <c r="L58" i="25"/>
  <c r="L57" i="25"/>
  <c r="L80" i="23"/>
  <c r="L77" i="27"/>
  <c r="L75" i="27"/>
  <c r="L56" i="25"/>
  <c r="L74" i="27"/>
  <c r="L57" i="26"/>
  <c r="L56" i="26"/>
  <c r="L89" i="22"/>
  <c r="L97" i="21"/>
  <c r="L78" i="27"/>
  <c r="L81" i="23"/>
  <c r="L88" i="22"/>
  <c r="L96" i="21"/>
  <c r="L87" i="22"/>
  <c r="L95" i="21"/>
  <c r="L84" i="23"/>
  <c r="L92" i="22"/>
  <c r="L100" i="21"/>
  <c r="L92" i="21"/>
  <c r="L79" i="27"/>
  <c r="L99" i="21"/>
  <c r="L85" i="23"/>
  <c r="L91" i="22"/>
  <c r="L94" i="21"/>
  <c r="L64" i="20"/>
  <c r="L86" i="23"/>
  <c r="L83" i="23"/>
  <c r="L86" i="22"/>
  <c r="L65" i="20"/>
  <c r="L93" i="21"/>
  <c r="L62" i="20"/>
  <c r="L93" i="22"/>
  <c r="L98" i="21"/>
  <c r="E55" i="21"/>
  <c r="E42" i="21"/>
  <c r="F42" i="21"/>
  <c r="J62" i="23"/>
  <c r="G42" i="5"/>
  <c r="E7" i="20"/>
  <c r="H25" i="20"/>
  <c r="K8" i="20"/>
  <c r="E53" i="21"/>
  <c r="J15" i="21"/>
  <c r="L63" i="20"/>
  <c r="J37" i="20"/>
  <c r="J8" i="21"/>
  <c r="F63" i="22"/>
  <c r="F68" i="22" s="1"/>
  <c r="K40" i="25"/>
  <c r="K43" i="25" s="1"/>
  <c r="H74" i="27"/>
  <c r="H57" i="25"/>
  <c r="H73" i="27"/>
  <c r="H56" i="25"/>
  <c r="H57" i="26"/>
  <c r="H55" i="25"/>
  <c r="H79" i="27"/>
  <c r="H56" i="26"/>
  <c r="H78" i="27"/>
  <c r="H55" i="26"/>
  <c r="H76" i="27"/>
  <c r="H84" i="23"/>
  <c r="H83" i="23"/>
  <c r="H58" i="25"/>
  <c r="H80" i="23"/>
  <c r="H77" i="27"/>
  <c r="H79" i="23"/>
  <c r="H86" i="22"/>
  <c r="H93" i="22"/>
  <c r="H85" i="22"/>
  <c r="H75" i="27"/>
  <c r="H85" i="23"/>
  <c r="H81" i="23"/>
  <c r="H92" i="22"/>
  <c r="H98" i="21"/>
  <c r="H64" i="20"/>
  <c r="H87" i="22"/>
  <c r="H97" i="21"/>
  <c r="H63" i="20"/>
  <c r="H88" i="22"/>
  <c r="H96" i="21"/>
  <c r="H62" i="20"/>
  <c r="H90" i="22"/>
  <c r="H100" i="21"/>
  <c r="H94" i="21"/>
  <c r="H65" i="20"/>
  <c r="H95" i="21"/>
  <c r="H86" i="23"/>
  <c r="H91" i="21"/>
  <c r="H91" i="22"/>
  <c r="H89" i="22"/>
  <c r="H99" i="21"/>
  <c r="H93" i="21"/>
  <c r="H92" i="21"/>
  <c r="F10" i="21"/>
  <c r="E11" i="21"/>
  <c r="E35" i="22"/>
  <c r="F35" i="22"/>
  <c r="F79" i="27"/>
  <c r="F78" i="27"/>
  <c r="F74" i="27"/>
  <c r="F86" i="23"/>
  <c r="F76" i="27"/>
  <c r="F57" i="26"/>
  <c r="F85" i="23"/>
  <c r="F77" i="27"/>
  <c r="F56" i="26"/>
  <c r="F58" i="25"/>
  <c r="F84" i="23"/>
  <c r="F86" i="22"/>
  <c r="F94" i="21"/>
  <c r="F75" i="27"/>
  <c r="F57" i="25"/>
  <c r="F93" i="22"/>
  <c r="F93" i="21"/>
  <c r="F83" i="23"/>
  <c r="F92" i="22"/>
  <c r="F100" i="21"/>
  <c r="F92" i="21"/>
  <c r="F56" i="25"/>
  <c r="F89" i="22"/>
  <c r="F97" i="21"/>
  <c r="F64" i="20"/>
  <c r="J36" i="20"/>
  <c r="J46" i="20"/>
  <c r="I93" i="21"/>
  <c r="J66" i="21"/>
  <c r="J52" i="21"/>
  <c r="K52" i="21"/>
  <c r="E39" i="21"/>
  <c r="F39" i="21"/>
  <c r="F96" i="21"/>
  <c r="F55" i="21"/>
  <c r="N83" i="21"/>
  <c r="E16" i="21"/>
  <c r="E30" i="21"/>
  <c r="E72" i="22"/>
  <c r="N74" i="22"/>
  <c r="I23" i="22"/>
  <c r="J52" i="22"/>
  <c r="K79" i="22"/>
  <c r="E31" i="23"/>
  <c r="I19" i="23"/>
  <c r="J48" i="23"/>
  <c r="K48" i="23"/>
  <c r="J13" i="23"/>
  <c r="K7" i="25"/>
  <c r="K11" i="25" s="1"/>
  <c r="E24" i="25"/>
  <c r="I19" i="27"/>
  <c r="J34" i="20"/>
  <c r="I78" i="27"/>
  <c r="I77" i="27"/>
  <c r="I76" i="27"/>
  <c r="I56" i="26"/>
  <c r="I83" i="23"/>
  <c r="I58" i="25"/>
  <c r="I81" i="23"/>
  <c r="I57" i="25"/>
  <c r="I74" i="27"/>
  <c r="I91" i="22"/>
  <c r="I99" i="21"/>
  <c r="I90" i="22"/>
  <c r="I98" i="21"/>
  <c r="I65" i="20"/>
  <c r="I89" i="22"/>
  <c r="I97" i="21"/>
  <c r="I64" i="20"/>
  <c r="I86" i="22"/>
  <c r="I94" i="21"/>
  <c r="M66" i="27"/>
  <c r="M49" i="26"/>
  <c r="M63" i="27"/>
  <c r="M48" i="25"/>
  <c r="M68" i="27"/>
  <c r="M65" i="27"/>
  <c r="M48" i="26"/>
  <c r="M50" i="25"/>
  <c r="M62" i="27"/>
  <c r="M47" i="25"/>
  <c r="M64" i="27"/>
  <c r="M47" i="26"/>
  <c r="M49" i="25"/>
  <c r="M68" i="23"/>
  <c r="M73" i="23"/>
  <c r="M72" i="23"/>
  <c r="M67" i="27"/>
  <c r="M69" i="23"/>
  <c r="M78" i="22"/>
  <c r="M75" i="22"/>
  <c r="M71" i="23"/>
  <c r="M80" i="22"/>
  <c r="M72" i="22"/>
  <c r="M86" i="21"/>
  <c r="M78" i="21"/>
  <c r="M83" i="21"/>
  <c r="M79" i="22"/>
  <c r="M77" i="22"/>
  <c r="M76" i="22"/>
  <c r="M74" i="22"/>
  <c r="M80" i="21"/>
  <c r="M54" i="20"/>
  <c r="M73" i="22"/>
  <c r="M55" i="20"/>
  <c r="M85" i="21"/>
  <c r="M84" i="21"/>
  <c r="M82" i="21"/>
  <c r="M79" i="21"/>
  <c r="M77" i="21"/>
  <c r="M67" i="23"/>
  <c r="M81" i="21"/>
  <c r="M53" i="20"/>
  <c r="M74" i="23"/>
  <c r="M56" i="20"/>
  <c r="E19" i="20"/>
  <c r="E47" i="20"/>
  <c r="J7" i="21"/>
  <c r="H37" i="21"/>
  <c r="N81" i="21"/>
  <c r="I26" i="21"/>
  <c r="J57" i="21"/>
  <c r="K57" i="21"/>
  <c r="K86" i="21"/>
  <c r="E34" i="22"/>
  <c r="I21" i="22"/>
  <c r="I88" i="22"/>
  <c r="J63" i="22"/>
  <c r="E64" i="22"/>
  <c r="E51" i="22"/>
  <c r="H41" i="22"/>
  <c r="I41" i="22"/>
  <c r="E67" i="23"/>
  <c r="E9" i="23"/>
  <c r="K69" i="23"/>
  <c r="J59" i="23"/>
  <c r="I84" i="23"/>
  <c r="I26" i="23"/>
  <c r="E39" i="25"/>
  <c r="F31" i="25"/>
  <c r="E8" i="25"/>
  <c r="I56" i="25"/>
  <c r="J32" i="26"/>
  <c r="K32" i="26"/>
  <c r="J35" i="20"/>
  <c r="E28" i="20"/>
  <c r="E38" i="20"/>
  <c r="E65" i="21"/>
  <c r="E38" i="21"/>
  <c r="I24" i="21"/>
  <c r="I96" i="21"/>
  <c r="J69" i="21"/>
  <c r="E70" i="21"/>
  <c r="E56" i="21"/>
  <c r="H33" i="22"/>
  <c r="I33" i="22"/>
  <c r="F34" i="22"/>
  <c r="E73" i="22"/>
  <c r="E10" i="22"/>
  <c r="F49" i="22"/>
  <c r="K75" i="22"/>
  <c r="E24" i="22"/>
  <c r="F91" i="22"/>
  <c r="J14" i="22"/>
  <c r="E67" i="22"/>
  <c r="F54" i="22"/>
  <c r="E33" i="23"/>
  <c r="F33" i="23"/>
  <c r="E72" i="23"/>
  <c r="I25" i="23"/>
  <c r="I86" i="23"/>
  <c r="K50" i="25"/>
  <c r="K48" i="26"/>
  <c r="E30" i="27"/>
  <c r="J53" i="27"/>
  <c r="E55" i="27"/>
  <c r="E56" i="27"/>
  <c r="K22" i="27"/>
  <c r="K21" i="27"/>
  <c r="K17" i="26"/>
  <c r="K20" i="27"/>
  <c r="K16" i="26"/>
  <c r="K19" i="27"/>
  <c r="K15" i="26"/>
  <c r="K18" i="27"/>
  <c r="K24" i="27"/>
  <c r="K17" i="25"/>
  <c r="K25" i="23"/>
  <c r="K16" i="25"/>
  <c r="K24" i="23"/>
  <c r="K15" i="25"/>
  <c r="K23" i="23"/>
  <c r="K21" i="23"/>
  <c r="K19" i="23"/>
  <c r="K20" i="23"/>
  <c r="K24" i="22"/>
  <c r="K30" i="21"/>
  <c r="K22" i="21"/>
  <c r="K18" i="20"/>
  <c r="K27" i="22"/>
  <c r="K26" i="22"/>
  <c r="K25" i="22"/>
  <c r="K23" i="22"/>
  <c r="K22" i="22"/>
  <c r="K29" i="21"/>
  <c r="K21" i="21"/>
  <c r="K17" i="20"/>
  <c r="K28" i="22"/>
  <c r="K21" i="22"/>
  <c r="K28" i="21"/>
  <c r="K18" i="25"/>
  <c r="K23" i="27"/>
  <c r="K24" i="21"/>
  <c r="K25" i="21"/>
  <c r="K26" i="21"/>
  <c r="K20" i="22"/>
  <c r="K23" i="21"/>
  <c r="K26" i="23"/>
  <c r="K19" i="20"/>
  <c r="K20" i="20"/>
  <c r="K27" i="21"/>
  <c r="J67" i="27"/>
  <c r="J64" i="27"/>
  <c r="J47" i="26"/>
  <c r="J49" i="25"/>
  <c r="J66" i="27"/>
  <c r="J49" i="26"/>
  <c r="J63" i="27"/>
  <c r="J48" i="25"/>
  <c r="J65" i="27"/>
  <c r="J48" i="26"/>
  <c r="J50" i="25"/>
  <c r="J69" i="23"/>
  <c r="J68" i="27"/>
  <c r="J74" i="23"/>
  <c r="J71" i="23"/>
  <c r="J73" i="23"/>
  <c r="J79" i="22"/>
  <c r="J62" i="27"/>
  <c r="J67" i="23"/>
  <c r="J76" i="22"/>
  <c r="J68" i="23"/>
  <c r="J73" i="22"/>
  <c r="J79" i="21"/>
  <c r="J53" i="20"/>
  <c r="J72" i="23"/>
  <c r="J84" i="21"/>
  <c r="J81" i="21"/>
  <c r="J55" i="20"/>
  <c r="J78" i="22"/>
  <c r="J75" i="22"/>
  <c r="J47" i="25"/>
  <c r="J56" i="20"/>
  <c r="J54" i="20"/>
  <c r="J80" i="22"/>
  <c r="J77" i="21"/>
  <c r="J74" i="22"/>
  <c r="J85" i="21"/>
  <c r="J78" i="21"/>
  <c r="J86" i="21"/>
  <c r="J82" i="21"/>
  <c r="J72" i="22"/>
  <c r="J83" i="21"/>
  <c r="J77" i="22"/>
  <c r="J80" i="21"/>
  <c r="N68" i="27"/>
  <c r="N67" i="27"/>
  <c r="N66" i="27"/>
  <c r="N49" i="26"/>
  <c r="N73" i="23"/>
  <c r="N48" i="26"/>
  <c r="N72" i="23"/>
  <c r="N49" i="25"/>
  <c r="N48" i="25"/>
  <c r="N80" i="22"/>
  <c r="N79" i="22"/>
  <c r="N86" i="21"/>
  <c r="N78" i="21"/>
  <c r="N74" i="23"/>
  <c r="N78" i="22"/>
  <c r="N85" i="21"/>
  <c r="N64" i="27"/>
  <c r="N63" i="27"/>
  <c r="N50" i="25"/>
  <c r="N69" i="23"/>
  <c r="N75" i="22"/>
  <c r="N82" i="21"/>
  <c r="N54" i="20"/>
  <c r="K53" i="20"/>
  <c r="J9" i="20"/>
  <c r="F63" i="20"/>
  <c r="I19" i="20"/>
  <c r="J49" i="21"/>
  <c r="K49" i="21"/>
  <c r="N79" i="21"/>
  <c r="E80" i="21"/>
  <c r="E12" i="21"/>
  <c r="F54" i="21"/>
  <c r="K82" i="21"/>
  <c r="E27" i="21"/>
  <c r="N84" i="21"/>
  <c r="F99" i="21"/>
  <c r="J16" i="21"/>
  <c r="E59" i="22"/>
  <c r="F46" i="22"/>
  <c r="F87" i="22"/>
  <c r="J51" i="22"/>
  <c r="E43" i="23"/>
  <c r="F80" i="23"/>
  <c r="E71" i="23"/>
  <c r="J12" i="23"/>
  <c r="I85" i="23"/>
  <c r="E50" i="23"/>
  <c r="J39" i="25"/>
  <c r="J8" i="25"/>
  <c r="E32" i="25"/>
  <c r="E26" i="25"/>
  <c r="F26" i="25"/>
  <c r="E9" i="26"/>
  <c r="E9" i="27"/>
  <c r="AM8" i="6"/>
  <c r="H24" i="27"/>
  <c r="H23" i="27"/>
  <c r="H22" i="27"/>
  <c r="H21" i="27"/>
  <c r="H17" i="26"/>
  <c r="H19" i="27"/>
  <c r="H15" i="26"/>
  <c r="H16" i="26"/>
  <c r="H20" i="23"/>
  <c r="H19" i="23"/>
  <c r="H20" i="27"/>
  <c r="H18" i="25"/>
  <c r="H26" i="23"/>
  <c r="H16" i="25"/>
  <c r="H24" i="23"/>
  <c r="H15" i="25"/>
  <c r="H26" i="22"/>
  <c r="H23" i="22"/>
  <c r="H18" i="27"/>
  <c r="H23" i="23"/>
  <c r="H25" i="21"/>
  <c r="H17" i="25"/>
  <c r="H24" i="21"/>
  <c r="H20" i="20"/>
  <c r="H23" i="21"/>
  <c r="H19" i="20"/>
  <c r="H22" i="22"/>
  <c r="H29" i="21"/>
  <c r="H21" i="23"/>
  <c r="H30" i="21"/>
  <c r="H27" i="22"/>
  <c r="H28" i="22"/>
  <c r="H25" i="22"/>
  <c r="H26" i="21"/>
  <c r="H25" i="23"/>
  <c r="H27" i="21"/>
  <c r="H22" i="21"/>
  <c r="H28" i="21"/>
  <c r="H18" i="20"/>
  <c r="I24" i="27"/>
  <c r="H24" i="22"/>
  <c r="I23" i="27"/>
  <c r="H20" i="22"/>
  <c r="I22" i="27"/>
  <c r="I21" i="27"/>
  <c r="H21" i="22"/>
  <c r="I17" i="26"/>
  <c r="I16" i="26"/>
  <c r="I24" i="23"/>
  <c r="I15" i="26"/>
  <c r="I23" i="23"/>
  <c r="I18" i="25"/>
  <c r="H17" i="20"/>
  <c r="I20" i="27"/>
  <c r="I16" i="25"/>
  <c r="I17" i="25"/>
  <c r="I27" i="22"/>
  <c r="I30" i="21"/>
  <c r="I26" i="22"/>
  <c r="I29" i="21"/>
  <c r="I21" i="21"/>
  <c r="I21" i="23"/>
  <c r="I28" i="21"/>
  <c r="I20" i="20"/>
  <c r="I20" i="23"/>
  <c r="I22" i="22"/>
  <c r="I25" i="21"/>
  <c r="I17" i="20"/>
  <c r="I18" i="20"/>
  <c r="J47" i="20"/>
  <c r="E8" i="21"/>
  <c r="I92" i="21"/>
  <c r="J51" i="21"/>
  <c r="F95" i="21"/>
  <c r="E41" i="21"/>
  <c r="J56" i="21"/>
  <c r="E47" i="22"/>
  <c r="N73" i="22"/>
  <c r="J10" i="22"/>
  <c r="I24" i="22"/>
  <c r="J64" i="22"/>
  <c r="J54" i="22"/>
  <c r="E55" i="23"/>
  <c r="F43" i="23"/>
  <c r="E57" i="23"/>
  <c r="F35" i="23"/>
  <c r="E35" i="23"/>
  <c r="E60" i="23"/>
  <c r="K72" i="23"/>
  <c r="J10" i="25"/>
  <c r="J31" i="26"/>
  <c r="K31" i="26"/>
  <c r="J40" i="27"/>
  <c r="I75" i="27"/>
  <c r="J54" i="27"/>
  <c r="J44" i="27"/>
  <c r="I79" i="27"/>
  <c r="E25" i="20"/>
  <c r="E34" i="20"/>
  <c r="K79" i="27"/>
  <c r="K56" i="26"/>
  <c r="K78" i="27"/>
  <c r="K55" i="26"/>
  <c r="K77" i="27"/>
  <c r="K76" i="27"/>
  <c r="K75" i="27"/>
  <c r="K58" i="25"/>
  <c r="K73" i="27"/>
  <c r="K56" i="25"/>
  <c r="K81" i="23"/>
  <c r="K74" i="27"/>
  <c r="K80" i="23"/>
  <c r="K79" i="23"/>
  <c r="K85" i="23"/>
  <c r="K57" i="25"/>
  <c r="K84" i="23"/>
  <c r="K91" i="22"/>
  <c r="K55" i="25"/>
  <c r="K90" i="22"/>
  <c r="K86" i="23"/>
  <c r="K83" i="23"/>
  <c r="K89" i="22"/>
  <c r="K95" i="21"/>
  <c r="K94" i="21"/>
  <c r="K93" i="21"/>
  <c r="K57" i="26"/>
  <c r="K85" i="22"/>
  <c r="K93" i="22"/>
  <c r="K96" i="21"/>
  <c r="K88" i="22"/>
  <c r="K97" i="21"/>
  <c r="K91" i="21"/>
  <c r="K62" i="20"/>
  <c r="K92" i="22"/>
  <c r="K100" i="21"/>
  <c r="K65" i="20"/>
  <c r="K87" i="22"/>
  <c r="K92" i="21"/>
  <c r="K63" i="20"/>
  <c r="K99" i="21"/>
  <c r="K86" i="22"/>
  <c r="K64" i="20"/>
  <c r="K98" i="21"/>
  <c r="K68" i="27"/>
  <c r="K66" i="27"/>
  <c r="K64" i="27"/>
  <c r="K63" i="27"/>
  <c r="K74" i="23"/>
  <c r="K49" i="26"/>
  <c r="K67" i="27"/>
  <c r="K74" i="22"/>
  <c r="K81" i="21"/>
  <c r="K68" i="23"/>
  <c r="K73" i="22"/>
  <c r="K80" i="21"/>
  <c r="K48" i="25"/>
  <c r="K73" i="23"/>
  <c r="K80" i="22"/>
  <c r="K79" i="21"/>
  <c r="K71" i="23"/>
  <c r="K77" i="22"/>
  <c r="K84" i="21"/>
  <c r="K56" i="20"/>
  <c r="F62" i="20"/>
  <c r="N53" i="20"/>
  <c r="F36" i="20"/>
  <c r="I63" i="20"/>
  <c r="E37" i="20"/>
  <c r="J38" i="20"/>
  <c r="N56" i="20"/>
  <c r="E22" i="21"/>
  <c r="F22" i="21"/>
  <c r="F50" i="21"/>
  <c r="E52" i="21"/>
  <c r="N80" i="21"/>
  <c r="J12" i="21"/>
  <c r="I27" i="21"/>
  <c r="J70" i="21"/>
  <c r="K56" i="21"/>
  <c r="J46" i="22"/>
  <c r="E60" i="22"/>
  <c r="F47" i="22"/>
  <c r="I87" i="22"/>
  <c r="H36" i="22"/>
  <c r="F90" i="22"/>
  <c r="K78" i="22"/>
  <c r="I92" i="22"/>
  <c r="K54" i="22"/>
  <c r="F15" i="23"/>
  <c r="E8" i="23"/>
  <c r="E44" i="23"/>
  <c r="I80" i="23"/>
  <c r="E62" i="23"/>
  <c r="E7" i="25"/>
  <c r="I15" i="25"/>
  <c r="I57" i="26"/>
  <c r="I18" i="27"/>
  <c r="E41" i="27"/>
  <c r="N65" i="27"/>
  <c r="E13" i="27"/>
  <c r="E68" i="27"/>
  <c r="F34" i="20"/>
  <c r="E77" i="27"/>
  <c r="E76" i="27"/>
  <c r="E75" i="27"/>
  <c r="E58" i="25"/>
  <c r="E74" i="27"/>
  <c r="E57" i="25"/>
  <c r="E73" i="27"/>
  <c r="E56" i="25"/>
  <c r="E79" i="27"/>
  <c r="E56" i="26"/>
  <c r="E79" i="23"/>
  <c r="E57" i="26"/>
  <c r="E55" i="25"/>
  <c r="E86" i="23"/>
  <c r="E78" i="27"/>
  <c r="E55" i="26"/>
  <c r="E85" i="23"/>
  <c r="E83" i="23"/>
  <c r="E84" i="23"/>
  <c r="E89" i="22"/>
  <c r="E88" i="22"/>
  <c r="E80" i="23"/>
  <c r="E87" i="22"/>
  <c r="E81" i="23"/>
  <c r="E91" i="22"/>
  <c r="E85" i="22"/>
  <c r="E93" i="21"/>
  <c r="E92" i="22"/>
  <c r="E86" i="22"/>
  <c r="E100" i="21"/>
  <c r="E92" i="21"/>
  <c r="E93" i="22"/>
  <c r="E99" i="21"/>
  <c r="E91" i="21"/>
  <c r="E65" i="20"/>
  <c r="E64" i="20"/>
  <c r="E96" i="21"/>
  <c r="E98" i="21"/>
  <c r="E94" i="21"/>
  <c r="E62" i="20"/>
  <c r="E63" i="20"/>
  <c r="E97" i="21"/>
  <c r="E95" i="21"/>
  <c r="E90" i="22"/>
  <c r="E35" i="20"/>
  <c r="F37" i="20"/>
  <c r="K55" i="20"/>
  <c r="E29" i="20"/>
  <c r="F29" i="20"/>
  <c r="E66" i="21"/>
  <c r="F52" i="21"/>
  <c r="I95" i="21"/>
  <c r="H40" i="21"/>
  <c r="F98" i="21"/>
  <c r="K85" i="21"/>
  <c r="I100" i="21"/>
  <c r="E9" i="22"/>
  <c r="E48" i="22"/>
  <c r="E50" i="22"/>
  <c r="K76" i="22"/>
  <c r="E38" i="22"/>
  <c r="F38" i="22"/>
  <c r="E77" i="22"/>
  <c r="J13" i="22"/>
  <c r="I28" i="22"/>
  <c r="J55" i="23"/>
  <c r="J43" i="23"/>
  <c r="K43" i="23"/>
  <c r="E32" i="23"/>
  <c r="J57" i="23"/>
  <c r="J11" i="23"/>
  <c r="N71" i="23"/>
  <c r="E14" i="23"/>
  <c r="E23" i="25"/>
  <c r="F23" i="25"/>
  <c r="J40" i="25"/>
  <c r="J9" i="25"/>
  <c r="K49" i="25"/>
  <c r="H25" i="26"/>
  <c r="I25" i="26"/>
  <c r="E7" i="27"/>
  <c r="K51" i="27"/>
  <c r="K58" i="27" s="1"/>
  <c r="F41" i="27"/>
  <c r="H35" i="27"/>
  <c r="I35" i="27"/>
  <c r="H21" i="21"/>
  <c r="F35" i="20"/>
  <c r="E27" i="20"/>
  <c r="E36" i="20"/>
  <c r="J50" i="21"/>
  <c r="F53" i="21"/>
  <c r="E54" i="21"/>
  <c r="J58" i="21"/>
  <c r="F48" i="22"/>
  <c r="E36" i="22"/>
  <c r="E49" i="22"/>
  <c r="J53" i="22"/>
  <c r="J47" i="23"/>
  <c r="E25" i="23"/>
  <c r="F25" i="23"/>
  <c r="F49" i="23"/>
  <c r="F50" i="23"/>
  <c r="E31" i="25"/>
  <c r="F33" i="25"/>
  <c r="E34" i="25"/>
  <c r="E39" i="26"/>
  <c r="E16" i="26"/>
  <c r="F16" i="26"/>
  <c r="E42" i="27"/>
  <c r="F38" i="20"/>
  <c r="E35" i="21"/>
  <c r="E49" i="21"/>
  <c r="J53" i="21"/>
  <c r="E43" i="21"/>
  <c r="E57" i="21"/>
  <c r="J48" i="22"/>
  <c r="F51" i="22"/>
  <c r="E39" i="22"/>
  <c r="E52" i="22"/>
  <c r="F75" i="23"/>
  <c r="J49" i="23"/>
  <c r="E38" i="23"/>
  <c r="J50" i="23"/>
  <c r="J42" i="25"/>
  <c r="J8" i="26"/>
  <c r="J11" i="26" s="1"/>
  <c r="F49" i="26"/>
  <c r="F51" i="26" s="1"/>
  <c r="H29" i="27"/>
  <c r="I29" i="27"/>
  <c r="E31" i="27"/>
  <c r="F31" i="27"/>
  <c r="K73" i="21"/>
  <c r="F49" i="21"/>
  <c r="E36" i="21"/>
  <c r="E50" i="21"/>
  <c r="K53" i="21"/>
  <c r="J54" i="21"/>
  <c r="F43" i="21"/>
  <c r="F57" i="21"/>
  <c r="E44" i="21"/>
  <c r="E58" i="21"/>
  <c r="J49" i="22"/>
  <c r="F39" i="22"/>
  <c r="F52" i="22"/>
  <c r="E40" i="22"/>
  <c r="E53" i="22"/>
  <c r="J15" i="23"/>
  <c r="E45" i="23"/>
  <c r="J31" i="25"/>
  <c r="E51" i="27"/>
  <c r="F40" i="27"/>
  <c r="J52" i="27"/>
  <c r="H31" i="27"/>
  <c r="J10" i="27"/>
  <c r="E23" i="27"/>
  <c r="J55" i="21"/>
  <c r="F58" i="21"/>
  <c r="E33" i="22"/>
  <c r="E46" i="22"/>
  <c r="J50" i="22"/>
  <c r="F53" i="22"/>
  <c r="E54" i="22"/>
  <c r="F45" i="23"/>
  <c r="E47" i="23"/>
  <c r="E74" i="23"/>
  <c r="E47" i="25"/>
  <c r="E18" i="25"/>
  <c r="E47" i="26"/>
  <c r="F8" i="27"/>
  <c r="F14" i="27" s="1"/>
  <c r="J11" i="27"/>
  <c r="F32" i="25"/>
  <c r="E25" i="25"/>
  <c r="E33" i="25"/>
  <c r="J33" i="26"/>
  <c r="F42" i="27"/>
  <c r="E57" i="27"/>
  <c r="F34" i="25"/>
  <c r="E23" i="26"/>
  <c r="E31" i="26"/>
  <c r="F58" i="27"/>
  <c r="F69" i="27"/>
  <c r="J41" i="27"/>
  <c r="J45" i="27"/>
  <c r="F47" i="23"/>
  <c r="E36" i="23"/>
  <c r="F43" i="25"/>
  <c r="F51" i="25"/>
  <c r="J32" i="25"/>
  <c r="F23" i="26"/>
  <c r="K43" i="26"/>
  <c r="E24" i="26"/>
  <c r="E32" i="26"/>
  <c r="J12" i="27"/>
  <c r="K45" i="27"/>
  <c r="F36" i="23"/>
  <c r="F48" i="23"/>
  <c r="E37" i="23"/>
  <c r="E49" i="23"/>
  <c r="J33" i="25"/>
  <c r="F32" i="26"/>
  <c r="F35" i="26" s="1"/>
  <c r="E25" i="26"/>
  <c r="E33" i="26"/>
  <c r="K14" i="27"/>
  <c r="F18" i="27"/>
  <c r="E29" i="27"/>
  <c r="E40" i="27"/>
  <c r="E43" i="27"/>
  <c r="E33" i="27"/>
  <c r="E45" i="27"/>
  <c r="F45" i="27"/>
  <c r="E46" i="27"/>
  <c r="F46" i="27"/>
  <c r="F27" i="21" l="1"/>
  <c r="F32" i="23"/>
  <c r="J39" i="5"/>
  <c r="I40" i="21"/>
  <c r="E43" i="26"/>
  <c r="F21" i="21"/>
  <c r="F26" i="23"/>
  <c r="I26" i="25"/>
  <c r="F18" i="25"/>
  <c r="I28" i="20"/>
  <c r="L20" i="23"/>
  <c r="L22" i="21"/>
  <c r="K52" i="22"/>
  <c r="L30" i="21"/>
  <c r="J43" i="5"/>
  <c r="G44" i="5"/>
  <c r="F44" i="21"/>
  <c r="G45" i="5"/>
  <c r="K31" i="25"/>
  <c r="G39" i="5"/>
  <c r="L20" i="22"/>
  <c r="K36" i="20"/>
  <c r="J42" i="5"/>
  <c r="J44" i="5"/>
  <c r="G43" i="5"/>
  <c r="D6" i="5"/>
  <c r="F29" i="27"/>
  <c r="L29" i="21"/>
  <c r="L23" i="22"/>
  <c r="I33" i="23"/>
  <c r="I38" i="21"/>
  <c r="F40" i="22"/>
  <c r="L15" i="25"/>
  <c r="F25" i="25"/>
  <c r="F21" i="22"/>
  <c r="L19" i="23"/>
  <c r="F28" i="22"/>
  <c r="F36" i="21"/>
  <c r="L19" i="27"/>
  <c r="I39" i="21"/>
  <c r="L24" i="21"/>
  <c r="K33" i="25"/>
  <c r="K50" i="21"/>
  <c r="L26" i="21"/>
  <c r="L21" i="27"/>
  <c r="L19" i="20"/>
  <c r="H73" i="23"/>
  <c r="K54" i="21"/>
  <c r="L16" i="25"/>
  <c r="K50" i="23"/>
  <c r="L17" i="20"/>
  <c r="L25" i="23"/>
  <c r="L18" i="25"/>
  <c r="L24" i="22"/>
  <c r="L26" i="23"/>
  <c r="L22" i="27"/>
  <c r="K41" i="27"/>
  <c r="K43" i="27"/>
  <c r="H67" i="27"/>
  <c r="H64" i="27"/>
  <c r="I35" i="21"/>
  <c r="I30" i="27"/>
  <c r="I31" i="27"/>
  <c r="I40" i="22"/>
  <c r="F35" i="21"/>
  <c r="F26" i="20"/>
  <c r="F25" i="26"/>
  <c r="F37" i="22"/>
  <c r="F41" i="21"/>
  <c r="F26" i="22"/>
  <c r="F24" i="23"/>
  <c r="F18" i="20"/>
  <c r="F19" i="23"/>
  <c r="F19" i="27"/>
  <c r="F23" i="22"/>
  <c r="F23" i="21"/>
  <c r="F15" i="26"/>
  <c r="F23" i="27"/>
  <c r="F22" i="22"/>
  <c r="F17" i="26"/>
  <c r="F24" i="21"/>
  <c r="F27" i="22"/>
  <c r="F17" i="25"/>
  <c r="L27" i="21"/>
  <c r="L28" i="22"/>
  <c r="L16" i="26"/>
  <c r="L23" i="23"/>
  <c r="L21" i="21"/>
  <c r="I33" i="27"/>
  <c r="I44" i="21"/>
  <c r="I41" i="21"/>
  <c r="K49" i="23"/>
  <c r="L23" i="27"/>
  <c r="L26" i="22"/>
  <c r="F34" i="27"/>
  <c r="L22" i="22"/>
  <c r="L28" i="21"/>
  <c r="L17" i="25"/>
  <c r="L27" i="22"/>
  <c r="K35" i="20"/>
  <c r="F25" i="21"/>
  <c r="L24" i="23"/>
  <c r="L23" i="21"/>
  <c r="L18" i="27"/>
  <c r="L18" i="20"/>
  <c r="I35" i="23"/>
  <c r="I25" i="25"/>
  <c r="F26" i="21"/>
  <c r="H42" i="25"/>
  <c r="K58" i="21"/>
  <c r="I36" i="21"/>
  <c r="L20" i="27"/>
  <c r="L21" i="22"/>
  <c r="L20" i="20"/>
  <c r="F20" i="20"/>
  <c r="L25" i="21"/>
  <c r="L25" i="22"/>
  <c r="K53" i="22"/>
  <c r="K49" i="22"/>
  <c r="J43" i="26"/>
  <c r="E51" i="25"/>
  <c r="H27" i="26"/>
  <c r="I27" i="26" s="1"/>
  <c r="H27" i="25"/>
  <c r="I27" i="25" s="1"/>
  <c r="E43" i="25"/>
  <c r="E75" i="23"/>
  <c r="E11" i="26"/>
  <c r="E19" i="26"/>
  <c r="F19" i="26" s="1"/>
  <c r="L36" i="27"/>
  <c r="L39" i="23"/>
  <c r="L45" i="21"/>
  <c r="E48" i="20"/>
  <c r="E21" i="20"/>
  <c r="F21" i="20" s="1"/>
  <c r="K35" i="5"/>
  <c r="K48" i="20"/>
  <c r="E57" i="20"/>
  <c r="L27" i="26"/>
  <c r="J12" i="20"/>
  <c r="K12" i="20"/>
  <c r="F16" i="20"/>
  <c r="F25" i="20"/>
  <c r="J52" i="20"/>
  <c r="J57" i="20" s="1"/>
  <c r="K57" i="20" s="1"/>
  <c r="M52" i="20"/>
  <c r="M57" i="20" s="1"/>
  <c r="N57" i="20" s="1"/>
  <c r="K61" i="20"/>
  <c r="K66" i="20" s="1"/>
  <c r="L66" i="20" s="1"/>
  <c r="H61" i="20"/>
  <c r="H66" i="20" s="1"/>
  <c r="I66" i="20" s="1"/>
  <c r="I25" i="20"/>
  <c r="G34" i="20"/>
  <c r="K34" i="20"/>
  <c r="L43" i="20"/>
  <c r="B24" i="5"/>
  <c r="L27" i="25"/>
  <c r="B46" i="5"/>
  <c r="H35" i="5"/>
  <c r="E13" i="5"/>
  <c r="B13" i="5"/>
  <c r="H48" i="26"/>
  <c r="E29" i="22"/>
  <c r="F29" i="22" s="1"/>
  <c r="G42" i="27"/>
  <c r="M11" i="21"/>
  <c r="H46" i="27"/>
  <c r="L67" i="22"/>
  <c r="H48" i="22"/>
  <c r="M65" i="21"/>
  <c r="H46" i="20"/>
  <c r="H46" i="22"/>
  <c r="M8" i="22"/>
  <c r="H40" i="27"/>
  <c r="H83" i="21"/>
  <c r="G64" i="27"/>
  <c r="E24" i="5"/>
  <c r="B35" i="5"/>
  <c r="E35" i="5"/>
  <c r="H46" i="5"/>
  <c r="G57" i="21"/>
  <c r="L11" i="20"/>
  <c r="J48" i="20"/>
  <c r="G73" i="23"/>
  <c r="L59" i="22"/>
  <c r="H54" i="21"/>
  <c r="F73" i="21"/>
  <c r="H66" i="22"/>
  <c r="L62" i="22"/>
  <c r="H79" i="22"/>
  <c r="G52" i="22"/>
  <c r="H44" i="23"/>
  <c r="L9" i="27"/>
  <c r="M44" i="20"/>
  <c r="H49" i="25"/>
  <c r="H64" i="21"/>
  <c r="M63" i="21"/>
  <c r="H40" i="25"/>
  <c r="E27" i="23"/>
  <c r="F27" i="23" s="1"/>
  <c r="H39" i="23"/>
  <c r="I39" i="23" s="1"/>
  <c r="J51" i="23"/>
  <c r="K51" i="23" s="1"/>
  <c r="M60" i="23"/>
  <c r="G67" i="27"/>
  <c r="E15" i="23"/>
  <c r="H7" i="23"/>
  <c r="G40" i="26"/>
  <c r="M66" i="22"/>
  <c r="H12" i="27"/>
  <c r="H61" i="22"/>
  <c r="E51" i="26"/>
  <c r="M7" i="23"/>
  <c r="F46" i="5"/>
  <c r="G46" i="5" s="1"/>
  <c r="I13" i="5"/>
  <c r="J13" i="5" s="1"/>
  <c r="E19" i="25"/>
  <c r="F19" i="25" s="1"/>
  <c r="M72" i="21"/>
  <c r="H58" i="21"/>
  <c r="J58" i="27"/>
  <c r="F16" i="22"/>
  <c r="E17" i="21"/>
  <c r="M12" i="22"/>
  <c r="H12" i="22"/>
  <c r="H14" i="21"/>
  <c r="M13" i="27"/>
  <c r="E25" i="27"/>
  <c r="F25" i="27" s="1"/>
  <c r="K19" i="26"/>
  <c r="L19" i="26" s="1"/>
  <c r="G48" i="25"/>
  <c r="G74" i="22"/>
  <c r="H44" i="27"/>
  <c r="H15" i="21"/>
  <c r="H33" i="26"/>
  <c r="M51" i="26"/>
  <c r="N51" i="26" s="1"/>
  <c r="H75" i="22"/>
  <c r="N12" i="22"/>
  <c r="H10" i="20"/>
  <c r="M13" i="21"/>
  <c r="M7" i="27"/>
  <c r="J16" i="22"/>
  <c r="M11" i="22"/>
  <c r="M64" i="21"/>
  <c r="H30" i="20"/>
  <c r="I30" i="20" s="1"/>
  <c r="G13" i="23"/>
  <c r="M40" i="26"/>
  <c r="H9" i="21"/>
  <c r="H68" i="21"/>
  <c r="H49" i="21"/>
  <c r="G42" i="25"/>
  <c r="H35" i="20"/>
  <c r="G49" i="23"/>
  <c r="H49" i="23"/>
  <c r="E16" i="22"/>
  <c r="H55" i="20"/>
  <c r="E87" i="21"/>
  <c r="M56" i="23"/>
  <c r="E14" i="27"/>
  <c r="J73" i="21"/>
  <c r="H69" i="21"/>
  <c r="J68" i="22"/>
  <c r="J14" i="27"/>
  <c r="H8" i="26"/>
  <c r="G53" i="22"/>
  <c r="H53" i="22"/>
  <c r="L42" i="22"/>
  <c r="G82" i="21"/>
  <c r="H82" i="21"/>
  <c r="H101" i="21"/>
  <c r="I101" i="21" s="1"/>
  <c r="G8" i="22"/>
  <c r="N8" i="22" s="1"/>
  <c r="L9" i="21"/>
  <c r="N9" i="21" s="1"/>
  <c r="M9" i="21"/>
  <c r="G68" i="23"/>
  <c r="H68" i="23"/>
  <c r="L45" i="20"/>
  <c r="M45" i="20"/>
  <c r="L7" i="22"/>
  <c r="M7" i="22"/>
  <c r="E31" i="21"/>
  <c r="F31" i="21" s="1"/>
  <c r="L15" i="22"/>
  <c r="M15" i="22"/>
  <c r="L41" i="26"/>
  <c r="M41" i="26"/>
  <c r="G77" i="21"/>
  <c r="H77" i="21"/>
  <c r="G56" i="23"/>
  <c r="H56" i="23"/>
  <c r="H86" i="21"/>
  <c r="J11" i="25"/>
  <c r="H72" i="21"/>
  <c r="G62" i="22"/>
  <c r="H62" i="22"/>
  <c r="L71" i="21"/>
  <c r="M71" i="21"/>
  <c r="G53" i="27"/>
  <c r="H53" i="27"/>
  <c r="G81" i="21"/>
  <c r="H81" i="21"/>
  <c r="L8" i="27"/>
  <c r="M8" i="27"/>
  <c r="G7" i="22"/>
  <c r="H7" i="22"/>
  <c r="G7" i="26"/>
  <c r="H7" i="26"/>
  <c r="G11" i="22"/>
  <c r="N11" i="22" s="1"/>
  <c r="H11" i="22"/>
  <c r="E73" i="21"/>
  <c r="H45" i="21"/>
  <c r="I45" i="21" s="1"/>
  <c r="M55" i="27"/>
  <c r="L55" i="27"/>
  <c r="L61" i="22"/>
  <c r="M61" i="22"/>
  <c r="L10" i="21"/>
  <c r="M10" i="21"/>
  <c r="L65" i="22"/>
  <c r="M65" i="22"/>
  <c r="G10" i="25"/>
  <c r="H10" i="25"/>
  <c r="G36" i="20"/>
  <c r="H36" i="20"/>
  <c r="L14" i="23"/>
  <c r="M14" i="23"/>
  <c r="E66" i="20"/>
  <c r="F66" i="20" s="1"/>
  <c r="E11" i="25"/>
  <c r="M8" i="23"/>
  <c r="G15" i="22"/>
  <c r="H15" i="22"/>
  <c r="G32" i="26"/>
  <c r="H32" i="26"/>
  <c r="G12" i="23"/>
  <c r="H12" i="23"/>
  <c r="G50" i="21"/>
  <c r="H50" i="21"/>
  <c r="G13" i="21"/>
  <c r="N13" i="21" s="1"/>
  <c r="H13" i="21"/>
  <c r="G63" i="21"/>
  <c r="J63" i="23"/>
  <c r="F17" i="21"/>
  <c r="E35" i="26"/>
  <c r="F47" i="27"/>
  <c r="K59" i="26"/>
  <c r="L59" i="26" s="1"/>
  <c r="J69" i="27"/>
  <c r="K69" i="27" s="1"/>
  <c r="E12" i="20"/>
  <c r="G67" i="21"/>
  <c r="H67" i="21"/>
  <c r="L57" i="27"/>
  <c r="M57" i="27"/>
  <c r="G11" i="20"/>
  <c r="H11" i="20"/>
  <c r="G48" i="23"/>
  <c r="H48" i="23"/>
  <c r="H16" i="20"/>
  <c r="H21" i="20" s="1"/>
  <c r="I21" i="20" s="1"/>
  <c r="G57" i="27"/>
  <c r="H57" i="27"/>
  <c r="J35" i="25"/>
  <c r="K35" i="25" s="1"/>
  <c r="G50" i="22"/>
  <c r="H50" i="22"/>
  <c r="E59" i="25"/>
  <c r="F59" i="25" s="1"/>
  <c r="G13" i="27"/>
  <c r="N13" i="27" s="1"/>
  <c r="H13" i="27"/>
  <c r="G50" i="23"/>
  <c r="H50" i="23"/>
  <c r="G8" i="23"/>
  <c r="N8" i="23" s="1"/>
  <c r="H8" i="23"/>
  <c r="C35" i="5"/>
  <c r="D35" i="5" s="1"/>
  <c r="G57" i="23"/>
  <c r="H57" i="23"/>
  <c r="L14" i="22"/>
  <c r="M14" i="22"/>
  <c r="F35" i="25"/>
  <c r="G9" i="23"/>
  <c r="H9" i="23"/>
  <c r="I79" i="23"/>
  <c r="I55" i="26"/>
  <c r="G11" i="21"/>
  <c r="N11" i="21" s="1"/>
  <c r="H11" i="21"/>
  <c r="H87" i="23"/>
  <c r="I87" i="23" s="1"/>
  <c r="G63" i="22"/>
  <c r="H63" i="22"/>
  <c r="L62" i="23"/>
  <c r="M62" i="23"/>
  <c r="E69" i="27"/>
  <c r="G9" i="20"/>
  <c r="H9" i="20"/>
  <c r="G14" i="22"/>
  <c r="H14" i="22"/>
  <c r="G7" i="21"/>
  <c r="H7" i="21"/>
  <c r="L52" i="27"/>
  <c r="M52" i="27"/>
  <c r="G49" i="26"/>
  <c r="H49" i="26"/>
  <c r="L57" i="23"/>
  <c r="M57" i="23"/>
  <c r="L13" i="22"/>
  <c r="M13" i="22"/>
  <c r="G13" i="22"/>
  <c r="H13" i="22"/>
  <c r="G11" i="27"/>
  <c r="H11" i="27"/>
  <c r="G31" i="26"/>
  <c r="H31" i="26"/>
  <c r="E27" i="26"/>
  <c r="F27" i="26" s="1"/>
  <c r="G8" i="27"/>
  <c r="H8" i="27"/>
  <c r="E42" i="22"/>
  <c r="F42" i="22" s="1"/>
  <c r="G11" i="23"/>
  <c r="H11" i="23"/>
  <c r="L8" i="26"/>
  <c r="N8" i="26" s="1"/>
  <c r="M8" i="26"/>
  <c r="E45" i="21"/>
  <c r="F45" i="21" s="1"/>
  <c r="E27" i="25"/>
  <c r="F27" i="25" s="1"/>
  <c r="G62" i="23"/>
  <c r="H62" i="23"/>
  <c r="G60" i="22"/>
  <c r="H60" i="22"/>
  <c r="L70" i="21"/>
  <c r="M70" i="21"/>
  <c r="K47" i="26"/>
  <c r="K87" i="23"/>
  <c r="L87" i="23" s="1"/>
  <c r="E39" i="20"/>
  <c r="L64" i="22"/>
  <c r="M64" i="22"/>
  <c r="G47" i="22"/>
  <c r="H47" i="22"/>
  <c r="N67" i="23"/>
  <c r="H49" i="22"/>
  <c r="G49" i="22"/>
  <c r="L9" i="20"/>
  <c r="M9" i="20"/>
  <c r="J87" i="21"/>
  <c r="K87" i="21" s="1"/>
  <c r="J75" i="23"/>
  <c r="K75" i="23" s="1"/>
  <c r="J51" i="26"/>
  <c r="K51" i="26" s="1"/>
  <c r="G56" i="27"/>
  <c r="H56" i="27"/>
  <c r="G31" i="25"/>
  <c r="H31" i="25"/>
  <c r="G54" i="20"/>
  <c r="H54" i="20"/>
  <c r="F24" i="5"/>
  <c r="G39" i="25"/>
  <c r="I55" i="25"/>
  <c r="L7" i="25"/>
  <c r="M7" i="25"/>
  <c r="F79" i="23"/>
  <c r="G7" i="20"/>
  <c r="G55" i="21"/>
  <c r="H55" i="21"/>
  <c r="L67" i="21"/>
  <c r="M67" i="21"/>
  <c r="L11" i="27"/>
  <c r="M11" i="27"/>
  <c r="L55" i="23"/>
  <c r="M55" i="23"/>
  <c r="G66" i="21"/>
  <c r="H66" i="21"/>
  <c r="G9" i="25"/>
  <c r="H9" i="25"/>
  <c r="G65" i="27"/>
  <c r="H65" i="27"/>
  <c r="L39" i="26"/>
  <c r="M39" i="26"/>
  <c r="G39" i="26"/>
  <c r="E35" i="25"/>
  <c r="G76" i="22"/>
  <c r="H76" i="22"/>
  <c r="J47" i="27"/>
  <c r="K47" i="27" s="1"/>
  <c r="G9" i="26"/>
  <c r="H9" i="26"/>
  <c r="L8" i="25"/>
  <c r="M8" i="25"/>
  <c r="G43" i="23"/>
  <c r="H43" i="23"/>
  <c r="L16" i="21"/>
  <c r="M16" i="21"/>
  <c r="G80" i="21"/>
  <c r="H80" i="21"/>
  <c r="J59" i="21"/>
  <c r="K59" i="21" s="1"/>
  <c r="N47" i="25"/>
  <c r="G70" i="21"/>
  <c r="H70" i="21"/>
  <c r="G45" i="20"/>
  <c r="H45" i="20"/>
  <c r="G51" i="22"/>
  <c r="H51" i="22"/>
  <c r="I73" i="27"/>
  <c r="E39" i="23"/>
  <c r="F39" i="23" s="1"/>
  <c r="G72" i="22"/>
  <c r="H72" i="22"/>
  <c r="L66" i="21"/>
  <c r="M66" i="21"/>
  <c r="F85" i="22"/>
  <c r="L55" i="25"/>
  <c r="G10" i="21"/>
  <c r="H10" i="21"/>
  <c r="L8" i="21"/>
  <c r="M8" i="21"/>
  <c r="L8" i="20"/>
  <c r="M8" i="20"/>
  <c r="C13" i="5"/>
  <c r="L85" i="22"/>
  <c r="G84" i="21"/>
  <c r="H84" i="21"/>
  <c r="K72" i="22"/>
  <c r="E47" i="27"/>
  <c r="E36" i="27"/>
  <c r="F36" i="27" s="1"/>
  <c r="G10" i="27"/>
  <c r="H10" i="27"/>
  <c r="G47" i="25"/>
  <c r="H47" i="25"/>
  <c r="L10" i="27"/>
  <c r="M10" i="27"/>
  <c r="G51" i="27"/>
  <c r="L9" i="25"/>
  <c r="M9" i="25"/>
  <c r="I91" i="21"/>
  <c r="E101" i="21"/>
  <c r="F101" i="21" s="1"/>
  <c r="E94" i="22"/>
  <c r="F94" i="22" s="1"/>
  <c r="G61" i="23"/>
  <c r="H61" i="23"/>
  <c r="G52" i="21"/>
  <c r="H52" i="21"/>
  <c r="K94" i="22"/>
  <c r="L94" i="22" s="1"/>
  <c r="G60" i="23"/>
  <c r="H60" i="23"/>
  <c r="F51" i="23"/>
  <c r="G8" i="21"/>
  <c r="H8" i="21"/>
  <c r="H29" i="22"/>
  <c r="I29" i="22" s="1"/>
  <c r="H25" i="27"/>
  <c r="I25" i="27" s="1"/>
  <c r="L12" i="23"/>
  <c r="M12" i="23"/>
  <c r="N77" i="21"/>
  <c r="N72" i="22"/>
  <c r="J81" i="22"/>
  <c r="K81" i="22" s="1"/>
  <c r="K27" i="23"/>
  <c r="L27" i="23" s="1"/>
  <c r="G55" i="27"/>
  <c r="H55" i="27"/>
  <c r="G78" i="22"/>
  <c r="H78" i="22"/>
  <c r="G38" i="20"/>
  <c r="H38" i="20"/>
  <c r="I46" i="5"/>
  <c r="F13" i="5"/>
  <c r="L7" i="21"/>
  <c r="M7" i="21"/>
  <c r="L13" i="23"/>
  <c r="M13" i="23"/>
  <c r="E81" i="22"/>
  <c r="F55" i="25"/>
  <c r="F73" i="27"/>
  <c r="H59" i="25"/>
  <c r="I59" i="25" s="1"/>
  <c r="L55" i="26"/>
  <c r="G56" i="20"/>
  <c r="H56" i="20"/>
  <c r="L60" i="22"/>
  <c r="M60" i="22"/>
  <c r="G47" i="26"/>
  <c r="H47" i="26"/>
  <c r="L12" i="21"/>
  <c r="M12" i="21"/>
  <c r="E87" i="23"/>
  <c r="F87" i="23" s="1"/>
  <c r="G45" i="27"/>
  <c r="H45" i="27"/>
  <c r="G43" i="27"/>
  <c r="H43" i="27"/>
  <c r="E58" i="27"/>
  <c r="L42" i="25"/>
  <c r="M42" i="25"/>
  <c r="G34" i="25"/>
  <c r="H34" i="25"/>
  <c r="L51" i="27"/>
  <c r="M51" i="27"/>
  <c r="G41" i="27"/>
  <c r="H41" i="27"/>
  <c r="L9" i="23"/>
  <c r="L15" i="23" s="1"/>
  <c r="M15" i="23" s="1"/>
  <c r="M9" i="23"/>
  <c r="J55" i="22"/>
  <c r="K55" i="22" s="1"/>
  <c r="F91" i="21"/>
  <c r="K59" i="25"/>
  <c r="L59" i="25" s="1"/>
  <c r="E30" i="20"/>
  <c r="F30" i="20" s="1"/>
  <c r="G55" i="23"/>
  <c r="G53" i="20"/>
  <c r="H53" i="20"/>
  <c r="H27" i="23"/>
  <c r="I27" i="23" s="1"/>
  <c r="L39" i="25"/>
  <c r="M39" i="25"/>
  <c r="E51" i="23"/>
  <c r="N62" i="27"/>
  <c r="K25" i="27"/>
  <c r="L25" i="27" s="1"/>
  <c r="G52" i="20"/>
  <c r="G72" i="23"/>
  <c r="H72" i="23"/>
  <c r="G65" i="22"/>
  <c r="H65" i="22"/>
  <c r="G10" i="22"/>
  <c r="H10" i="22"/>
  <c r="H42" i="22"/>
  <c r="I42" i="22" s="1"/>
  <c r="L69" i="21"/>
  <c r="M69" i="21"/>
  <c r="G65" i="21"/>
  <c r="H65" i="21"/>
  <c r="G67" i="23"/>
  <c r="H67" i="23"/>
  <c r="J17" i="21"/>
  <c r="M51" i="25"/>
  <c r="N51" i="25" s="1"/>
  <c r="L15" i="21"/>
  <c r="N15" i="21" s="1"/>
  <c r="M15" i="21"/>
  <c r="G53" i="21"/>
  <c r="H53" i="21"/>
  <c r="L79" i="23"/>
  <c r="G59" i="23"/>
  <c r="H59" i="23"/>
  <c r="N7" i="23"/>
  <c r="G37" i="20"/>
  <c r="H37" i="20"/>
  <c r="L56" i="27"/>
  <c r="M56" i="27"/>
  <c r="G63" i="27"/>
  <c r="H63" i="27"/>
  <c r="L9" i="26"/>
  <c r="M9" i="26"/>
  <c r="G41" i="26"/>
  <c r="H41" i="26"/>
  <c r="G33" i="25"/>
  <c r="H33" i="25"/>
  <c r="G74" i="23"/>
  <c r="H74" i="23"/>
  <c r="L40" i="25"/>
  <c r="M40" i="25"/>
  <c r="L11" i="23"/>
  <c r="M11" i="23"/>
  <c r="E59" i="26"/>
  <c r="F59" i="26" s="1"/>
  <c r="K67" i="23"/>
  <c r="K62" i="27"/>
  <c r="L7" i="20"/>
  <c r="J35" i="26"/>
  <c r="K35" i="26" s="1"/>
  <c r="E63" i="23"/>
  <c r="G44" i="20"/>
  <c r="H44" i="20"/>
  <c r="J43" i="25"/>
  <c r="G71" i="23"/>
  <c r="H71" i="23"/>
  <c r="G54" i="22"/>
  <c r="H54" i="22"/>
  <c r="F55" i="22"/>
  <c r="G85" i="21"/>
  <c r="H85" i="21"/>
  <c r="J51" i="25"/>
  <c r="K51" i="25" s="1"/>
  <c r="K29" i="22"/>
  <c r="L29" i="22" s="1"/>
  <c r="G43" i="20"/>
  <c r="G67" i="22"/>
  <c r="H67" i="22"/>
  <c r="G8" i="25"/>
  <c r="H8" i="25"/>
  <c r="L59" i="23"/>
  <c r="M59" i="23"/>
  <c r="G64" i="22"/>
  <c r="H64" i="22"/>
  <c r="G47" i="20"/>
  <c r="H47" i="20"/>
  <c r="M69" i="27"/>
  <c r="N69" i="27" s="1"/>
  <c r="L46" i="20"/>
  <c r="M46" i="20"/>
  <c r="F55" i="26"/>
  <c r="H94" i="22"/>
  <c r="I94" i="22" s="1"/>
  <c r="C24" i="5"/>
  <c r="L91" i="21"/>
  <c r="L14" i="21"/>
  <c r="N14" i="21" s="1"/>
  <c r="M14" i="21"/>
  <c r="G80" i="22"/>
  <c r="H80" i="22"/>
  <c r="F35" i="5"/>
  <c r="G66" i="27"/>
  <c r="H66" i="27"/>
  <c r="G47" i="23"/>
  <c r="H47" i="23"/>
  <c r="G54" i="27"/>
  <c r="H54" i="27"/>
  <c r="L7" i="26"/>
  <c r="M7" i="26"/>
  <c r="G45" i="23"/>
  <c r="H45" i="23"/>
  <c r="G14" i="23"/>
  <c r="H14" i="23"/>
  <c r="G77" i="22"/>
  <c r="H77" i="22"/>
  <c r="G52" i="27"/>
  <c r="H52" i="27"/>
  <c r="L12" i="27"/>
  <c r="N12" i="27" s="1"/>
  <c r="M12" i="27"/>
  <c r="L41" i="25"/>
  <c r="M41" i="25"/>
  <c r="E55" i="22"/>
  <c r="F59" i="21"/>
  <c r="H36" i="27"/>
  <c r="I36" i="27" s="1"/>
  <c r="E59" i="21"/>
  <c r="H31" i="21"/>
  <c r="I31" i="21" s="1"/>
  <c r="G7" i="27"/>
  <c r="H7" i="27"/>
  <c r="G9" i="22"/>
  <c r="H9" i="22"/>
  <c r="E80" i="27"/>
  <c r="F80" i="27" s="1"/>
  <c r="F39" i="20"/>
  <c r="G68" i="27"/>
  <c r="H68" i="27"/>
  <c r="G7" i="25"/>
  <c r="H7" i="25"/>
  <c r="L68" i="21"/>
  <c r="M68" i="21"/>
  <c r="K47" i="25"/>
  <c r="K101" i="21"/>
  <c r="L101" i="21" s="1"/>
  <c r="K80" i="27"/>
  <c r="L80" i="27" s="1"/>
  <c r="L54" i="27"/>
  <c r="M54" i="27"/>
  <c r="G50" i="25"/>
  <c r="H50" i="25"/>
  <c r="L10" i="22"/>
  <c r="M10" i="22"/>
  <c r="L47" i="20"/>
  <c r="M47" i="20"/>
  <c r="G8" i="20"/>
  <c r="H8" i="20"/>
  <c r="H19" i="25"/>
  <c r="I19" i="25" s="1"/>
  <c r="K16" i="20"/>
  <c r="K21" i="20" s="1"/>
  <c r="L21" i="20" s="1"/>
  <c r="G59" i="22"/>
  <c r="G71" i="21"/>
  <c r="H71" i="21"/>
  <c r="G12" i="21"/>
  <c r="H12" i="21"/>
  <c r="G51" i="21"/>
  <c r="H51" i="21"/>
  <c r="K19" i="25"/>
  <c r="L19" i="25" s="1"/>
  <c r="G41" i="25"/>
  <c r="H41" i="25"/>
  <c r="G69" i="23"/>
  <c r="H69" i="23"/>
  <c r="L9" i="22"/>
  <c r="M9" i="22"/>
  <c r="M75" i="23"/>
  <c r="N75" i="23" s="1"/>
  <c r="J39" i="20"/>
  <c r="K39" i="20" s="1"/>
  <c r="G16" i="21"/>
  <c r="H16" i="21"/>
  <c r="H80" i="27"/>
  <c r="I80" i="27" s="1"/>
  <c r="L73" i="27"/>
  <c r="G79" i="21"/>
  <c r="H79" i="21"/>
  <c r="L10" i="25"/>
  <c r="M10" i="25"/>
  <c r="H19" i="26"/>
  <c r="I19" i="26" s="1"/>
  <c r="G9" i="27"/>
  <c r="H9" i="27"/>
  <c r="G32" i="25"/>
  <c r="H32" i="25"/>
  <c r="E68" i="22"/>
  <c r="G78" i="21"/>
  <c r="H78" i="21"/>
  <c r="L10" i="20"/>
  <c r="N10" i="20" s="1"/>
  <c r="M10" i="20"/>
  <c r="N47" i="26"/>
  <c r="K31" i="21"/>
  <c r="L31" i="21" s="1"/>
  <c r="L53" i="27"/>
  <c r="M53" i="27"/>
  <c r="G73" i="22"/>
  <c r="H73" i="22"/>
  <c r="G56" i="21"/>
  <c r="H56" i="21"/>
  <c r="L63" i="22"/>
  <c r="M63" i="22"/>
  <c r="M87" i="21"/>
  <c r="N87" i="21" s="1"/>
  <c r="M81" i="22"/>
  <c r="N81" i="22" s="1"/>
  <c r="C46" i="5"/>
  <c r="H59" i="26"/>
  <c r="I59" i="26" s="1"/>
  <c r="I35" i="5"/>
  <c r="G62" i="27"/>
  <c r="H62" i="27"/>
  <c r="L61" i="23"/>
  <c r="M61" i="23"/>
  <c r="G35" i="5" l="1"/>
  <c r="G24" i="5"/>
  <c r="D24" i="5"/>
  <c r="D46" i="5"/>
  <c r="J46" i="5"/>
  <c r="J35" i="5"/>
  <c r="D13" i="5"/>
  <c r="G13" i="5"/>
  <c r="H39" i="26"/>
  <c r="H63" i="21"/>
  <c r="H39" i="25"/>
  <c r="H55" i="23"/>
  <c r="H59" i="22"/>
  <c r="H51" i="27"/>
  <c r="F61" i="20"/>
  <c r="H7" i="20"/>
  <c r="M7" i="20"/>
  <c r="H43" i="20"/>
  <c r="L16" i="20"/>
  <c r="H34" i="20"/>
  <c r="H52" i="20"/>
  <c r="M43" i="20"/>
  <c r="I16" i="20"/>
  <c r="N11" i="20"/>
  <c r="N13" i="23"/>
  <c r="N10" i="25"/>
  <c r="N9" i="27"/>
  <c r="N8" i="20"/>
  <c r="G63" i="23"/>
  <c r="H63" i="23" s="1"/>
  <c r="G35" i="26"/>
  <c r="H35" i="26" s="1"/>
  <c r="N14" i="23"/>
  <c r="G11" i="26"/>
  <c r="H11" i="26" s="1"/>
  <c r="N9" i="25"/>
  <c r="G55" i="22"/>
  <c r="H55" i="22" s="1"/>
  <c r="L63" i="23"/>
  <c r="M63" i="23" s="1"/>
  <c r="L43" i="26"/>
  <c r="M43" i="26" s="1"/>
  <c r="G39" i="20"/>
  <c r="H39" i="20" s="1"/>
  <c r="N8" i="27"/>
  <c r="N10" i="21"/>
  <c r="N15" i="22"/>
  <c r="N8" i="21"/>
  <c r="L73" i="21"/>
  <c r="M73" i="21" s="1"/>
  <c r="G15" i="23"/>
  <c r="H15" i="23" s="1"/>
  <c r="G57" i="20"/>
  <c r="H57" i="20" s="1"/>
  <c r="N10" i="22"/>
  <c r="L68" i="22"/>
  <c r="M68" i="22" s="1"/>
  <c r="G11" i="25"/>
  <c r="H11" i="25" s="1"/>
  <c r="N7" i="22"/>
  <c r="G16" i="22"/>
  <c r="H16" i="22" s="1"/>
  <c r="G73" i="21"/>
  <c r="H73" i="21" s="1"/>
  <c r="G35" i="25"/>
  <c r="H35" i="25" s="1"/>
  <c r="N12" i="23"/>
  <c r="G69" i="27"/>
  <c r="H69" i="27" s="1"/>
  <c r="L48" i="20"/>
  <c r="M48" i="20" s="1"/>
  <c r="G47" i="27"/>
  <c r="H47" i="27" s="1"/>
  <c r="I24" i="5"/>
  <c r="J24" i="5" s="1"/>
  <c r="G81" i="22"/>
  <c r="H81" i="22" s="1"/>
  <c r="N8" i="25"/>
  <c r="N14" i="22"/>
  <c r="L11" i="26"/>
  <c r="M11" i="26" s="1"/>
  <c r="N7" i="26"/>
  <c r="G87" i="21"/>
  <c r="H87" i="21" s="1"/>
  <c r="L58" i="27"/>
  <c r="M58" i="27" s="1"/>
  <c r="G51" i="25"/>
  <c r="H51" i="25" s="1"/>
  <c r="L17" i="21"/>
  <c r="M17" i="21" s="1"/>
  <c r="N7" i="21"/>
  <c r="G43" i="25"/>
  <c r="H43" i="25" s="1"/>
  <c r="G14" i="27"/>
  <c r="H14" i="27" s="1"/>
  <c r="N7" i="27"/>
  <c r="G43" i="26"/>
  <c r="H43" i="26" s="1"/>
  <c r="G68" i="22"/>
  <c r="H68" i="22" s="1"/>
  <c r="G51" i="26"/>
  <c r="H51" i="26" s="1"/>
  <c r="G58" i="27"/>
  <c r="H58" i="27" s="1"/>
  <c r="N16" i="21"/>
  <c r="G12" i="20"/>
  <c r="H12" i="20" s="1"/>
  <c r="N7" i="20"/>
  <c r="N11" i="23"/>
  <c r="N9" i="20"/>
  <c r="N9" i="26"/>
  <c r="G17" i="21"/>
  <c r="H17" i="21" s="1"/>
  <c r="N9" i="23"/>
  <c r="N15" i="23" s="1"/>
  <c r="G59" i="21"/>
  <c r="H59" i="21" s="1"/>
  <c r="G48" i="20"/>
  <c r="H48" i="20" s="1"/>
  <c r="G75" i="23"/>
  <c r="H75" i="23" s="1"/>
  <c r="L43" i="25"/>
  <c r="M43" i="25" s="1"/>
  <c r="N10" i="27"/>
  <c r="L14" i="27"/>
  <c r="M14" i="27" s="1"/>
  <c r="G51" i="23"/>
  <c r="H51" i="23" s="1"/>
  <c r="N9" i="22"/>
  <c r="L16" i="22"/>
  <c r="M16" i="22" s="1"/>
  <c r="L35" i="5"/>
  <c r="M35" i="5" s="1"/>
  <c r="L12" i="20"/>
  <c r="M12" i="20" s="1"/>
  <c r="N12" i="21"/>
  <c r="N11" i="27"/>
  <c r="L11" i="25"/>
  <c r="M11" i="25" s="1"/>
  <c r="N7" i="25"/>
  <c r="N13" i="22"/>
  <c r="K52" i="20" l="1"/>
  <c r="L61" i="20"/>
  <c r="N52" i="20"/>
  <c r="I61" i="20"/>
  <c r="N11" i="25"/>
  <c r="N12" i="20"/>
  <c r="N16" i="22"/>
  <c r="N11" i="26"/>
  <c r="N17" i="21"/>
  <c r="N14" i="27"/>
</calcChain>
</file>

<file path=xl/sharedStrings.xml><?xml version="1.0" encoding="utf-8"?>
<sst xmlns="http://schemas.openxmlformats.org/spreadsheetml/2006/main" count="9198" uniqueCount="1240">
  <si>
    <t>iPhone (SAR)</t>
  </si>
  <si>
    <t>NoniPhone (SAR)</t>
  </si>
  <si>
    <t xml:space="preserve">EBU MRC (SAR) </t>
  </si>
  <si>
    <t>PS Data (QTY)</t>
  </si>
  <si>
    <t>PP Voice (QTY)</t>
  </si>
  <si>
    <t>PP Data (QTY)</t>
  </si>
  <si>
    <t>Jawwy (QTY)</t>
  </si>
  <si>
    <t xml:space="preserve">Residential FWA (QTY) </t>
  </si>
  <si>
    <t xml:space="preserve">Residential FTTH (QTY) </t>
  </si>
  <si>
    <t>EMP ID</t>
  </si>
  <si>
    <t>Supervisor ID</t>
  </si>
  <si>
    <t>EMP National ID</t>
  </si>
  <si>
    <t>EMP Name</t>
  </si>
  <si>
    <t>Position</t>
  </si>
  <si>
    <t>Position United</t>
  </si>
  <si>
    <t>CBU User</t>
  </si>
  <si>
    <t>EBU User</t>
  </si>
  <si>
    <t>Region</t>
  </si>
  <si>
    <t>Area</t>
  </si>
  <si>
    <t>Branch  Name</t>
  </si>
  <si>
    <t>Branch Code</t>
  </si>
  <si>
    <t>Note</t>
  </si>
  <si>
    <t>Vacation Days</t>
  </si>
  <si>
    <t>Discount %</t>
  </si>
  <si>
    <t>TGT</t>
  </si>
  <si>
    <t>Branch sales</t>
  </si>
  <si>
    <t>Digital Sales</t>
  </si>
  <si>
    <t>Total</t>
  </si>
  <si>
    <t>%</t>
  </si>
  <si>
    <t>Sales</t>
  </si>
  <si>
    <t>Jubail</t>
  </si>
  <si>
    <t>XSER4522</t>
  </si>
  <si>
    <t>XSER3351</t>
  </si>
  <si>
    <t>EBU_XSER3351</t>
  </si>
  <si>
    <t>XSER3954</t>
  </si>
  <si>
    <t>xser5108</t>
  </si>
  <si>
    <t>XSER5108</t>
  </si>
  <si>
    <t>XSIS1323</t>
  </si>
  <si>
    <t>XSER3955</t>
  </si>
  <si>
    <t>XSER4264</t>
  </si>
  <si>
    <t>XSER5201</t>
  </si>
  <si>
    <t>XSER4868</t>
  </si>
  <si>
    <t>النعيرية</t>
  </si>
  <si>
    <t>XSER4403</t>
  </si>
  <si>
    <t>XSIS0921</t>
  </si>
  <si>
    <t>EBU_XSIS0921</t>
  </si>
  <si>
    <t>xser4769</t>
  </si>
  <si>
    <t>XSER4636</t>
  </si>
  <si>
    <t>XSIS0920</t>
  </si>
  <si>
    <t>EBU_XSIS0920</t>
  </si>
  <si>
    <t>XSIS1282</t>
  </si>
  <si>
    <t>XSER4487</t>
  </si>
  <si>
    <t>قرية العليا</t>
  </si>
  <si>
    <t>XSER4409</t>
  </si>
  <si>
    <t>XSER4649</t>
  </si>
  <si>
    <t>XSER4793</t>
  </si>
  <si>
    <t>XSER4149</t>
  </si>
  <si>
    <t>XSER4129</t>
  </si>
  <si>
    <t>XSER4712</t>
  </si>
  <si>
    <t>الرفيعة</t>
  </si>
  <si>
    <t>XSIS0362</t>
  </si>
  <si>
    <t>EBU_XSIS0362</t>
  </si>
  <si>
    <t>XSER3445</t>
  </si>
  <si>
    <t>XSER3900</t>
  </si>
  <si>
    <t>XSER0812</t>
  </si>
  <si>
    <t>EBU_XSER0812</t>
  </si>
  <si>
    <t>XSER4529</t>
  </si>
  <si>
    <t>XSER5202</t>
  </si>
  <si>
    <t>XSER3987</t>
  </si>
  <si>
    <t>XSER4772</t>
  </si>
  <si>
    <t>XSER4758</t>
  </si>
  <si>
    <t>XSER4621</t>
  </si>
  <si>
    <t>XSER1345</t>
  </si>
  <si>
    <t>ebu_XSER1345</t>
  </si>
  <si>
    <t>XSER4530</t>
  </si>
  <si>
    <t>XSER1362</t>
  </si>
  <si>
    <t>EBU_XSER1362</t>
  </si>
  <si>
    <t>XSER4620</t>
  </si>
  <si>
    <t>XSER4398</t>
  </si>
  <si>
    <t>XSER4078</t>
  </si>
  <si>
    <t>XSER4792</t>
  </si>
  <si>
    <t>XSER4766</t>
  </si>
  <si>
    <t>XSER4483</t>
  </si>
  <si>
    <t>XSER4192</t>
  </si>
  <si>
    <t>XSER4760</t>
  </si>
  <si>
    <t>XSER1047</t>
  </si>
  <si>
    <t>EBU_XSER1047</t>
  </si>
  <si>
    <t>XSER2672</t>
  </si>
  <si>
    <t>EBU_XSER2672</t>
  </si>
  <si>
    <t>XSER4941</t>
  </si>
  <si>
    <t>XSER4675</t>
  </si>
  <si>
    <t>XSER3662</t>
  </si>
  <si>
    <t>XSER0338</t>
  </si>
  <si>
    <t>EBU_XSER0338</t>
  </si>
  <si>
    <t>XSER3607</t>
  </si>
  <si>
    <t>XSIS0654</t>
  </si>
  <si>
    <t>XSIS0884</t>
  </si>
  <si>
    <t>XSER4290</t>
  </si>
  <si>
    <t>XSER4222</t>
  </si>
  <si>
    <t>XSER4236</t>
  </si>
  <si>
    <t>XSER4724</t>
  </si>
  <si>
    <t>XSIS0308</t>
  </si>
  <si>
    <t>XSER2074</t>
  </si>
  <si>
    <t>EBU_XSER2074</t>
  </si>
  <si>
    <t>XSER0450</t>
  </si>
  <si>
    <t>EBU_XSER0450</t>
  </si>
  <si>
    <t>XSIS0271</t>
  </si>
  <si>
    <t>EBU_XSIS0271</t>
  </si>
  <si>
    <t>XSER4858</t>
  </si>
  <si>
    <t>XSER3203</t>
  </si>
  <si>
    <t>EBU_XSER3203</t>
  </si>
  <si>
    <t>XSER3901</t>
  </si>
  <si>
    <t>Al Khobar</t>
  </si>
  <si>
    <t>XSER4401</t>
  </si>
  <si>
    <t>XSER4905</t>
  </si>
  <si>
    <t>XSER3353</t>
  </si>
  <si>
    <t>EBU_XSER3353</t>
  </si>
  <si>
    <t>XSER3635</t>
  </si>
  <si>
    <t>XSER4658</t>
  </si>
  <si>
    <t>XSIS0932</t>
  </si>
  <si>
    <t>EBU_XSIS0932</t>
  </si>
  <si>
    <t>XSER0356</t>
  </si>
  <si>
    <t>EBU_XSER0356</t>
  </si>
  <si>
    <t>XSER2772</t>
  </si>
  <si>
    <t>EBU_XSER2772</t>
  </si>
  <si>
    <t>XSER4523</t>
  </si>
  <si>
    <t>XSER4679</t>
  </si>
  <si>
    <t>XSER3030</t>
  </si>
  <si>
    <t>EBU_XSER3030</t>
  </si>
  <si>
    <t>XSER4774</t>
  </si>
  <si>
    <t>XSER3555</t>
  </si>
  <si>
    <t>XSER3327</t>
  </si>
  <si>
    <t>EBU_XSER3327</t>
  </si>
  <si>
    <t>XSER3726</t>
  </si>
  <si>
    <t>XSER3893</t>
  </si>
  <si>
    <t>كورنيش الخبر</t>
  </si>
  <si>
    <t>XSER1781</t>
  </si>
  <si>
    <t>EBU_XSER1781</t>
  </si>
  <si>
    <t>XSER3399</t>
  </si>
  <si>
    <t>EBU_XSER3399</t>
  </si>
  <si>
    <t>XSER2232</t>
  </si>
  <si>
    <t>EBU_XSER2232</t>
  </si>
  <si>
    <t>XSER3355</t>
  </si>
  <si>
    <t>EBU_XSER3355</t>
  </si>
  <si>
    <t>XSER2770</t>
  </si>
  <si>
    <t>EBU_XSER2770</t>
  </si>
  <si>
    <t>XSER1653</t>
  </si>
  <si>
    <t>EBU_XSER1653</t>
  </si>
  <si>
    <t>XSER4569</t>
  </si>
  <si>
    <t>XSER5403</t>
  </si>
  <si>
    <t>XSIS0079</t>
  </si>
  <si>
    <t>EBU_XSIS0079</t>
  </si>
  <si>
    <t>بقيق</t>
  </si>
  <si>
    <t>XSER2399</t>
  </si>
  <si>
    <t>EBU_XSER2399</t>
  </si>
  <si>
    <t>XSMT0007</t>
  </si>
  <si>
    <t>EBU_XSMT0007</t>
  </si>
  <si>
    <t>XSER3455</t>
  </si>
  <si>
    <t>XSIS1231</t>
  </si>
  <si>
    <t>XSER4633</t>
  </si>
  <si>
    <t>XSER1840</t>
  </si>
  <si>
    <t>EBU_XSER1840</t>
  </si>
  <si>
    <t>XSIS1261</t>
  </si>
  <si>
    <t>XSER3626</t>
  </si>
  <si>
    <t>العزيزية</t>
  </si>
  <si>
    <t>XSER4570</t>
  </si>
  <si>
    <t>XSER3638</t>
  </si>
  <si>
    <t>XSER2777</t>
  </si>
  <si>
    <t>EBU_XSER2777</t>
  </si>
  <si>
    <t>XSIS0704</t>
  </si>
  <si>
    <t>XSER3944</t>
  </si>
  <si>
    <t>XSER4441</t>
  </si>
  <si>
    <t>XSER3142</t>
  </si>
  <si>
    <t>EBU_XSER3142</t>
  </si>
  <si>
    <t>XSER4949</t>
  </si>
  <si>
    <t>XSER3903</t>
  </si>
  <si>
    <t>XSER4218</t>
  </si>
  <si>
    <t>XSER4165</t>
  </si>
  <si>
    <t>XSER3046</t>
  </si>
  <si>
    <t>EBU_XSER3046</t>
  </si>
  <si>
    <t>XSER4196</t>
  </si>
  <si>
    <t>XSER3556</t>
  </si>
  <si>
    <t>XSER5339</t>
  </si>
  <si>
    <t>XSER3192</t>
  </si>
  <si>
    <t>EBU_XSER3192</t>
  </si>
  <si>
    <t>XSER3554</t>
  </si>
  <si>
    <t>XSER3333</t>
  </si>
  <si>
    <t>EBU_XSER3333</t>
  </si>
  <si>
    <t>XSER1664</t>
  </si>
  <si>
    <t>EBU_XSER1664</t>
  </si>
  <si>
    <t>XSER4566</t>
  </si>
  <si>
    <t>XSER3437</t>
  </si>
  <si>
    <t>XSMT0369</t>
  </si>
  <si>
    <t>XSER5287</t>
  </si>
  <si>
    <t>XSER3418</t>
  </si>
  <si>
    <t>XSER1808</t>
  </si>
  <si>
    <t>EBU_XSER1808</t>
  </si>
  <si>
    <t>XSMT0364</t>
  </si>
  <si>
    <t>XSER3417</t>
  </si>
  <si>
    <t>XSER0176</t>
  </si>
  <si>
    <t>EBU_XSER0176</t>
  </si>
  <si>
    <t>XSER3782</t>
  </si>
  <si>
    <t>XSER3788</t>
  </si>
  <si>
    <t>EBU_XSER3788</t>
  </si>
  <si>
    <t>XSMT0367</t>
  </si>
  <si>
    <t>XSMT0353</t>
  </si>
  <si>
    <t>XSER3730</t>
  </si>
  <si>
    <t>XSER2724</t>
  </si>
  <si>
    <t>EBU_XSER2724</t>
  </si>
  <si>
    <t>XSER1470</t>
  </si>
  <si>
    <t>EBU_XSER1470</t>
  </si>
  <si>
    <t>XSER3731</t>
  </si>
  <si>
    <t>XSER3435</t>
  </si>
  <si>
    <t>XSER1904</t>
  </si>
  <si>
    <t>EBU_XSER1904</t>
  </si>
  <si>
    <t>XSMT0354</t>
  </si>
  <si>
    <t>XSER3783</t>
  </si>
  <si>
    <t>EBU_XSER3783</t>
  </si>
  <si>
    <t>XSMT0366</t>
  </si>
  <si>
    <t>XSER3832</t>
  </si>
  <si>
    <t>XSER3764</t>
  </si>
  <si>
    <t>Dammam</t>
  </si>
  <si>
    <t>XSER4480</t>
  </si>
  <si>
    <t>XSER4017</t>
  </si>
  <si>
    <t>XSIS1042</t>
  </si>
  <si>
    <t>XSER3141</t>
  </si>
  <si>
    <t>EBU_XSER3141</t>
  </si>
  <si>
    <t>XSER3323</t>
  </si>
  <si>
    <t>EBU_XSER3323</t>
  </si>
  <si>
    <t>XSER3757</t>
  </si>
  <si>
    <t>XSER4647</t>
  </si>
  <si>
    <t>XSER5303</t>
  </si>
  <si>
    <t>XSER4280</t>
  </si>
  <si>
    <t>XSER2297</t>
  </si>
  <si>
    <t>EBU_XSER2297</t>
  </si>
  <si>
    <t>XSER4918</t>
  </si>
  <si>
    <t>XSER5341</t>
  </si>
  <si>
    <t>XSIS0942</t>
  </si>
  <si>
    <t>XSIS1144</t>
  </si>
  <si>
    <t>EBU_XSIS1144</t>
  </si>
  <si>
    <t>XSER3364</t>
  </si>
  <si>
    <t>EBU_XSER3364</t>
  </si>
  <si>
    <t>XSER4316</t>
  </si>
  <si>
    <t>XSER1533</t>
  </si>
  <si>
    <t>EBU_XSER1533</t>
  </si>
  <si>
    <t>XSER0541</t>
  </si>
  <si>
    <t>EBU_XSER0541</t>
  </si>
  <si>
    <t>XSER4840</t>
  </si>
  <si>
    <t>XSER1046</t>
  </si>
  <si>
    <t>XSER1843</t>
  </si>
  <si>
    <t>EBU_XSER1843</t>
  </si>
  <si>
    <t>XSER4533</t>
  </si>
  <si>
    <t>XSER4428</t>
  </si>
  <si>
    <t>XSER1002</t>
  </si>
  <si>
    <t>EBU_XSER1002</t>
  </si>
  <si>
    <t>XSER3349</t>
  </si>
  <si>
    <t>EBU_XSER3349</t>
  </si>
  <si>
    <t>XSER4438</t>
  </si>
  <si>
    <t>الشاطيء</t>
  </si>
  <si>
    <t>XSER5314</t>
  </si>
  <si>
    <t>XSER3332</t>
  </si>
  <si>
    <t>EBU_XSER3332</t>
  </si>
  <si>
    <t>XSIS1320</t>
  </si>
  <si>
    <t>XSER1408</t>
  </si>
  <si>
    <t>EBU_XSER1408</t>
  </si>
  <si>
    <t>XSER1541</t>
  </si>
  <si>
    <t>EBU_XSER1541</t>
  </si>
  <si>
    <t>XSER3627</t>
  </si>
  <si>
    <t>XSER5318</t>
  </si>
  <si>
    <t>XSER5313</t>
  </si>
  <si>
    <t>الجلوية</t>
  </si>
  <si>
    <t>XSIS1278</t>
  </si>
  <si>
    <t>XSER5047</t>
  </si>
  <si>
    <t>XSER1650</t>
  </si>
  <si>
    <t>EBU_XSER1650</t>
  </si>
  <si>
    <t>XSER5311</t>
  </si>
  <si>
    <t>XSER4004</t>
  </si>
  <si>
    <t>XSER4089</t>
  </si>
  <si>
    <t>مطار الملك فهد</t>
  </si>
  <si>
    <t>XSER2717</t>
  </si>
  <si>
    <t>EBU_XSER2717</t>
  </si>
  <si>
    <t>XSER3550</t>
  </si>
  <si>
    <t>XSER1704</t>
  </si>
  <si>
    <t>EBU_XSER1704</t>
  </si>
  <si>
    <t>XSIS1317</t>
  </si>
  <si>
    <t>EBU_XSIS1317</t>
  </si>
  <si>
    <t>XSER3331</t>
  </si>
  <si>
    <t>EBU_XSER3331</t>
  </si>
  <si>
    <t>XSER3734</t>
  </si>
  <si>
    <t>XSER1271</t>
  </si>
  <si>
    <t>EBU_XSER1271</t>
  </si>
  <si>
    <t>XSER4776</t>
  </si>
  <si>
    <t>XSER4472</t>
  </si>
  <si>
    <t>XSER1871</t>
  </si>
  <si>
    <t>EBU_XSER1871</t>
  </si>
  <si>
    <t>XSER3040</t>
  </si>
  <si>
    <t>EBU_XSER3040</t>
  </si>
  <si>
    <t>XSER4385</t>
  </si>
  <si>
    <t>XSER4656</t>
  </si>
  <si>
    <t>XSIS1173</t>
  </si>
  <si>
    <t>EBU_XSIS1173</t>
  </si>
  <si>
    <t>XSER4131</t>
  </si>
  <si>
    <t>XSER4137</t>
  </si>
  <si>
    <t>XSER3628</t>
  </si>
  <si>
    <t>XSER4299</t>
  </si>
  <si>
    <t>XSER3348</t>
  </si>
  <si>
    <t>EBU_XSER3348</t>
  </si>
  <si>
    <t>بدر الدمام</t>
  </si>
  <si>
    <t>XSMT0334</t>
  </si>
  <si>
    <t>XSER5053</t>
  </si>
  <si>
    <t>XSIS0088</t>
  </si>
  <si>
    <t>EBU_XSIS0088</t>
  </si>
  <si>
    <t>XSER4092</t>
  </si>
  <si>
    <t>Al Ahsa</t>
  </si>
  <si>
    <t>المبرز ، بنده</t>
  </si>
  <si>
    <t>XSER4444</t>
  </si>
  <si>
    <t>XSER5307</t>
  </si>
  <si>
    <t>XSER4803</t>
  </si>
  <si>
    <t>XSER4914</t>
  </si>
  <si>
    <t>XSER4083</t>
  </si>
  <si>
    <t>XSIS0418</t>
  </si>
  <si>
    <t>XSER4185</t>
  </si>
  <si>
    <t>XSER1618</t>
  </si>
  <si>
    <t>EBU_XSER1618</t>
  </si>
  <si>
    <t>XSMT0245</t>
  </si>
  <si>
    <t>الهفوف ، العميرية</t>
  </si>
  <si>
    <t>XSER4753</t>
  </si>
  <si>
    <t>XSER4561</t>
  </si>
  <si>
    <t>XSER4423</t>
  </si>
  <si>
    <t>XSER4399</t>
  </si>
  <si>
    <t>XSER4699</t>
  </si>
  <si>
    <t>XSER4327</t>
  </si>
  <si>
    <t>XSER4690</t>
  </si>
  <si>
    <t>XSMT0384</t>
  </si>
  <si>
    <t>XSIS1145</t>
  </si>
  <si>
    <t>EBU_XSIS1145</t>
  </si>
  <si>
    <t>XSER4425</t>
  </si>
  <si>
    <t>XSER2199</t>
  </si>
  <si>
    <t>EBU_XSER2199</t>
  </si>
  <si>
    <t>XSER4273</t>
  </si>
  <si>
    <t>XSIS0964</t>
  </si>
  <si>
    <t>EBU_XSIS0964</t>
  </si>
  <si>
    <t>الاحساء ، برج العلي</t>
  </si>
  <si>
    <t>XSER4650</t>
  </si>
  <si>
    <t>XSER2201</t>
  </si>
  <si>
    <t>EBU_XSER2201</t>
  </si>
  <si>
    <t>XSER5295</t>
  </si>
  <si>
    <t>XSER1651</t>
  </si>
  <si>
    <t>EBU_XSER1651</t>
  </si>
  <si>
    <t>XSIS1158</t>
  </si>
  <si>
    <t>XSER1657</t>
  </si>
  <si>
    <t>EBU_XSER1657</t>
  </si>
  <si>
    <t>الجفر ، الشار ع العام</t>
  </si>
  <si>
    <t>XSER4241</t>
  </si>
  <si>
    <t>XSER4119</t>
  </si>
  <si>
    <t>XSER4963</t>
  </si>
  <si>
    <t>XSIS0427</t>
  </si>
  <si>
    <t>EBU_XSIS0427</t>
  </si>
  <si>
    <t>XSER4134</t>
  </si>
  <si>
    <t>XSER4076</t>
  </si>
  <si>
    <t>XSIS1160</t>
  </si>
  <si>
    <t>EBU_XSIS1160</t>
  </si>
  <si>
    <t>XSER4506</t>
  </si>
  <si>
    <t>XSER4528</t>
  </si>
  <si>
    <t>XSER4390</t>
  </si>
  <si>
    <t>XSIS1159</t>
  </si>
  <si>
    <t>EBU_XSIS1159</t>
  </si>
  <si>
    <t>XSMT0217</t>
  </si>
  <si>
    <t>XSER4609</t>
  </si>
  <si>
    <t>XSER4272</t>
  </si>
  <si>
    <t>XSER4381</t>
  </si>
  <si>
    <t>XSER3629</t>
  </si>
  <si>
    <t>XSER3413</t>
  </si>
  <si>
    <t>EBU_XSER3413</t>
  </si>
  <si>
    <t>XSER3549</t>
  </si>
  <si>
    <t>XSIS1273</t>
  </si>
  <si>
    <t>XSER3456</t>
  </si>
  <si>
    <t>XSER1883</t>
  </si>
  <si>
    <t>EBU_XSER1883</t>
  </si>
  <si>
    <t>XSER2746</t>
  </si>
  <si>
    <t>EBU_XSER2746</t>
  </si>
  <si>
    <t>XSER1649</t>
  </si>
  <si>
    <t>EBU_XSER1649</t>
  </si>
  <si>
    <t>XSER1697</t>
  </si>
  <si>
    <t>EBU_XSER1697</t>
  </si>
  <si>
    <t>XSER3419</t>
  </si>
  <si>
    <t>XSER3835</t>
  </si>
  <si>
    <t>XSER2776</t>
  </si>
  <si>
    <t>EBU_XSER2776</t>
  </si>
  <si>
    <t>XSER3164</t>
  </si>
  <si>
    <t>EBU_XSER3164</t>
  </si>
  <si>
    <t>XSER1037</t>
  </si>
  <si>
    <t>EBU_XSER1037</t>
  </si>
  <si>
    <t>XSER3354</t>
  </si>
  <si>
    <t>EBU_XSER3354</t>
  </si>
  <si>
    <t>XSER2768</t>
  </si>
  <si>
    <t>EBU_XSER2768</t>
  </si>
  <si>
    <t>XSIS0651</t>
  </si>
  <si>
    <t>XSMT0318</t>
  </si>
  <si>
    <t>XSER4975</t>
  </si>
  <si>
    <t>XSIS0930</t>
  </si>
  <si>
    <t>XSER3552</t>
  </si>
  <si>
    <t>XSIS1275</t>
  </si>
  <si>
    <t>XSER3690</t>
  </si>
  <si>
    <t>XSER0434</t>
  </si>
  <si>
    <t>XSER3143</t>
  </si>
  <si>
    <t>EBU_XSER3143</t>
  </si>
  <si>
    <t>XSER0775</t>
  </si>
  <si>
    <t>EBU_XSER0775</t>
  </si>
  <si>
    <t>XSER3045</t>
  </si>
  <si>
    <t>EBU_XSER3045</t>
  </si>
  <si>
    <t>XSER3634</t>
  </si>
  <si>
    <t>XSER3557</t>
  </si>
  <si>
    <t>XSER0314</t>
  </si>
  <si>
    <t>EBU_XSER0314</t>
  </si>
  <si>
    <t>XSER3139</t>
  </si>
  <si>
    <t>EBU_XSER3139</t>
  </si>
  <si>
    <t>XSER4172</t>
  </si>
  <si>
    <t>XSER1550</t>
  </si>
  <si>
    <t>EBU_XSER1550</t>
  </si>
  <si>
    <t>XSER2666</t>
  </si>
  <si>
    <t>EBU_XSER2666</t>
  </si>
  <si>
    <t>XSER2296</t>
  </si>
  <si>
    <t>EBU_XSER2296</t>
  </si>
  <si>
    <t>XSER3335</t>
  </si>
  <si>
    <t>EBU_XSER3335</t>
  </si>
  <si>
    <t>XSIS1281</t>
  </si>
  <si>
    <t>XSIS0460</t>
  </si>
  <si>
    <t>EBU_XSIS0460</t>
  </si>
  <si>
    <t>XSIS0131</t>
  </si>
  <si>
    <t>EBU_XSIS0131</t>
  </si>
  <si>
    <t>XSER5172</t>
  </si>
  <si>
    <t>XSER0881</t>
  </si>
  <si>
    <t>EBU_XSER0881</t>
  </si>
  <si>
    <t>XSER4778</t>
  </si>
  <si>
    <t>XSER3952</t>
  </si>
  <si>
    <t>XSER1329</t>
  </si>
  <si>
    <t>EBU_XSER1329</t>
  </si>
  <si>
    <t>XSER4672</t>
  </si>
  <si>
    <t>XSER4777</t>
  </si>
  <si>
    <t>XSIS0070</t>
  </si>
  <si>
    <t>EBU_XSIS0070</t>
  </si>
  <si>
    <t>XSIS0926</t>
  </si>
  <si>
    <t>XSIS0419</t>
  </si>
  <si>
    <t>XSMT0243</t>
  </si>
  <si>
    <t>EBU_XSMT0243</t>
  </si>
  <si>
    <t>XSER4054</t>
  </si>
  <si>
    <t>XSIS0272</t>
  </si>
  <si>
    <t>EBU_XSIS0272</t>
  </si>
  <si>
    <t>XSER4121</t>
  </si>
  <si>
    <t>XSIS0916</t>
  </si>
  <si>
    <t>EBU_XSIS0916</t>
  </si>
  <si>
    <t>XSIS0915</t>
  </si>
  <si>
    <t>EBU_XSIS0915</t>
  </si>
  <si>
    <t>XSIS0657</t>
  </si>
  <si>
    <t>EBU_XSIS0657</t>
  </si>
  <si>
    <t>XSIS1157</t>
  </si>
  <si>
    <t>XSIS0871</t>
  </si>
  <si>
    <t>XSER4642</t>
  </si>
  <si>
    <t>XSIS0080</t>
  </si>
  <si>
    <t>XSER0297</t>
  </si>
  <si>
    <t>EBU_XSER0297</t>
  </si>
  <si>
    <t xml:space="preserve">iPhone branch </t>
  </si>
  <si>
    <t>NoniPhone branch</t>
  </si>
  <si>
    <t>MRC</t>
  </si>
  <si>
    <t>PS voice</t>
  </si>
  <si>
    <t>PS Data</t>
  </si>
  <si>
    <t>PP Voice branch</t>
  </si>
  <si>
    <t>PP Data branch</t>
  </si>
  <si>
    <t>Jawwy branch</t>
  </si>
  <si>
    <t>FWA branch</t>
  </si>
  <si>
    <t>FTTH branch</t>
  </si>
  <si>
    <t>XSIS1142</t>
  </si>
  <si>
    <t>EBU_XSIS1142</t>
  </si>
  <si>
    <t>XSER1669</t>
  </si>
  <si>
    <t>EBU_XSER1669</t>
  </si>
  <si>
    <t>XSER5438</t>
  </si>
  <si>
    <t>XSER5441</t>
  </si>
  <si>
    <t>EBU_XSIS0654</t>
  </si>
  <si>
    <t>XSER5449</t>
  </si>
  <si>
    <t>XSER5445</t>
  </si>
  <si>
    <t>XSER5446</t>
  </si>
  <si>
    <t>الخبر سيتي ووك</t>
  </si>
  <si>
    <t>XSER2270</t>
  </si>
  <si>
    <t>EBU_XSER2270</t>
  </si>
  <si>
    <t>XSER3436</t>
  </si>
  <si>
    <t>Trade in</t>
  </si>
  <si>
    <t>trade in</t>
  </si>
  <si>
    <t>XSER0425</t>
  </si>
  <si>
    <t>EBU_XSER0425</t>
  </si>
  <si>
    <t>XSER1381</t>
  </si>
  <si>
    <t>EBU_XSER1381</t>
  </si>
  <si>
    <t>XSER5465</t>
  </si>
  <si>
    <t xml:space="preserve">District </t>
  </si>
  <si>
    <t>iphone</t>
  </si>
  <si>
    <t>Non iphone</t>
  </si>
  <si>
    <t>EBU MRC</t>
  </si>
  <si>
    <t>FWA</t>
  </si>
  <si>
    <t>FTTH</t>
  </si>
  <si>
    <t>PS Voice</t>
  </si>
  <si>
    <t>PP Voice</t>
  </si>
  <si>
    <t>PP Data</t>
  </si>
  <si>
    <t>Jawwy</t>
  </si>
  <si>
    <t>TGT android</t>
  </si>
  <si>
    <t>branch</t>
  </si>
  <si>
    <t>digital</t>
  </si>
  <si>
    <t>total</t>
  </si>
  <si>
    <t>Trade in (QTY)</t>
  </si>
  <si>
    <t>Code</t>
  </si>
  <si>
    <t>الفنار</t>
  </si>
  <si>
    <t xml:space="preserve">الظهران مول </t>
  </si>
  <si>
    <t>الظهران - ارامكو</t>
  </si>
  <si>
    <t xml:space="preserve">طريق الملك فيصل ، الخبر، مبنى الخريجي </t>
  </si>
  <si>
    <t xml:space="preserve">المجدوعي </t>
  </si>
  <si>
    <t xml:space="preserve">راس تنورة  </t>
  </si>
  <si>
    <t>القطيف</t>
  </si>
  <si>
    <t xml:space="preserve">الفناتير </t>
  </si>
  <si>
    <t xml:space="preserve">الجبيل البلد </t>
  </si>
  <si>
    <t>حفر الباطن، النموذجي طريق الملك خالد</t>
  </si>
  <si>
    <t>الخفجي ، شارع الملك فيصل</t>
  </si>
  <si>
    <t>حفر الباطن الرئيسي , المحمدية</t>
  </si>
  <si>
    <t>الراشد مول</t>
  </si>
  <si>
    <t>Soho(SAR)</t>
  </si>
  <si>
    <t>Attachment rate</t>
  </si>
  <si>
    <t>XSER3998</t>
  </si>
  <si>
    <t>XSER5494</t>
  </si>
  <si>
    <t>القارة</t>
  </si>
  <si>
    <t>EBU_XSER1046</t>
  </si>
  <si>
    <t>الندى</t>
  </si>
  <si>
    <t>xser3769</t>
  </si>
  <si>
    <t>EBU_XSER3769</t>
  </si>
  <si>
    <t>الراكة ، خالد بن الوليد</t>
  </si>
  <si>
    <t>xser5526</t>
  </si>
  <si>
    <t>الشفا</t>
  </si>
  <si>
    <t>XSER4462</t>
  </si>
  <si>
    <t>Android Samsung</t>
  </si>
  <si>
    <t>طلال احمد عبدالله السنيد</t>
  </si>
  <si>
    <t>Area Manager</t>
  </si>
  <si>
    <t>Administration</t>
  </si>
  <si>
    <t>Admin</t>
  </si>
  <si>
    <t>علي احمد علي الدوله</t>
  </si>
  <si>
    <t>Branch Manager</t>
  </si>
  <si>
    <t>المجدوعي</t>
  </si>
  <si>
    <t>بدر شبيب منديل المطيري</t>
  </si>
  <si>
    <t>Branch Supervisor</t>
  </si>
  <si>
    <t>حسن ابراهيم حسن البريكان</t>
  </si>
  <si>
    <t>Sales Agent</t>
  </si>
  <si>
    <t>محمد صلاح محمد الدوسري</t>
  </si>
  <si>
    <t>ابراهيم سعد عبدالعزيز الربيع</t>
  </si>
  <si>
    <t>عمر عبدالعزيز عبدالقادر خطيب</t>
  </si>
  <si>
    <t>أحمد يحي عبدالله شراحيلي</t>
  </si>
  <si>
    <t xml:space="preserve"> عامر مساعد الجريد </t>
  </si>
  <si>
    <t>محمد علي مشرف الغامدى</t>
  </si>
  <si>
    <t>عبدالرحمن حميد حمدان المطيري</t>
  </si>
  <si>
    <t>دسمان محمد دسمان الخلف</t>
  </si>
  <si>
    <t>خالد صالح راشد العميري</t>
  </si>
  <si>
    <t>علي عبدالهادي عبدالمحسن الجباره</t>
  </si>
  <si>
    <t>فهد سعد محمد السديري</t>
  </si>
  <si>
    <t>محمد عبدالله راشد المحيسن</t>
  </si>
  <si>
    <t>فيصل خالد محمد العضاض</t>
  </si>
  <si>
    <t>خالد علي ضاوي الغامدي</t>
  </si>
  <si>
    <t>راس تنورة ، شارع الامير فيصل بن فهد</t>
  </si>
  <si>
    <t>هاشم مروعي يحيى الخرمي</t>
  </si>
  <si>
    <t>سلطان مسفر محمد القحطاني</t>
  </si>
  <si>
    <t>سلطان عبد العزيز زيد العليق</t>
  </si>
  <si>
    <t>عبدالله محمد عبدالله الصائغ</t>
  </si>
  <si>
    <t>القطيف ، القدس</t>
  </si>
  <si>
    <t>مازن عبدرب الرسول صالح الغمغام</t>
  </si>
  <si>
    <t>حسن علوي علوي القمر</t>
  </si>
  <si>
    <t>عبدالعليم حسن محمد آل صفوان</t>
  </si>
  <si>
    <t>بدر عبدرب الأمير مكي الخاطر</t>
  </si>
  <si>
    <t>محمد عبدالله ناصر الشعيبي</t>
  </si>
  <si>
    <t>محمد مهدي حسن آل جعفر</t>
  </si>
  <si>
    <t>فهد محمد صاهود الخالدي</t>
  </si>
  <si>
    <t>علي حسين مكي المحاسنه</t>
  </si>
  <si>
    <t>منهال عبدالمجيد يوسف الزريقي</t>
  </si>
  <si>
    <t>عبدالعزيز خالد حمود الخالدي</t>
  </si>
  <si>
    <t>ياسر محمد احمد آل عبدالباقي</t>
  </si>
  <si>
    <t>محمد عبدرب  الرسول مكي آل شلي</t>
  </si>
  <si>
    <t>محمد عبدالله عبداللطيف الجنيد</t>
  </si>
  <si>
    <t>عبدالرحمن عبداللطيف عبدالوهاب المهاوش </t>
  </si>
  <si>
    <t>حسن محمد علي التريكي</t>
  </si>
  <si>
    <t>ثامر عبدالعزيز - الرناخ</t>
  </si>
  <si>
    <t>عبدالرحمن صالح علي القرني</t>
  </si>
  <si>
    <t>سعيد عبدالله سعيد الوطبان</t>
  </si>
  <si>
    <t>عبدالله عبدالعزيز عبدالله الربيع</t>
  </si>
  <si>
    <t>احمد بدر احمد البدر</t>
  </si>
  <si>
    <t>حسين عبدالله علي الصاغه</t>
  </si>
  <si>
    <t>محمد ابراهيم محمد الرفيعي</t>
  </si>
  <si>
    <t>اسامه عبدالواحد منصور الجشي</t>
  </si>
  <si>
    <t>خالد ناصر سالم الجفر</t>
  </si>
  <si>
    <t>سعد عامر حمد الطويل</t>
  </si>
  <si>
    <t>سالم محمد هادي حيسي</t>
  </si>
  <si>
    <t>ثامر عبدالله حسن الصفيان</t>
  </si>
  <si>
    <t>فاضل عباس باقر الناصر</t>
  </si>
  <si>
    <t>محمد عبدالله هادي الحلافي</t>
  </si>
  <si>
    <t>أحمد محمد راشد الحوار</t>
  </si>
  <si>
    <t>عبدالله علي محمد ال سويده</t>
  </si>
  <si>
    <t>مشاري راشد حيدر آل سالم</t>
  </si>
  <si>
    <t>وائل علي عبدالله الزهراني</t>
  </si>
  <si>
    <t>محمد شريده مبارك العميني</t>
  </si>
  <si>
    <t>حسين حسن ناصر الحمود</t>
  </si>
  <si>
    <t>سراج وهب محمد العيسى</t>
  </si>
  <si>
    <t>بندر سلطان مسفر ال عبيه</t>
  </si>
  <si>
    <t>وليد مصلح عبدالله الشمراني</t>
  </si>
  <si>
    <t>الشفاء</t>
  </si>
  <si>
    <t>عقاب فراج غنيم المطيري</t>
  </si>
  <si>
    <t>احمد صالح سعيد زهراني</t>
  </si>
  <si>
    <t>عبدالله جاسر عبدالله الخراع</t>
  </si>
  <si>
    <t>عبدالعزيز سعيد عواض الزهراني</t>
  </si>
  <si>
    <t>محمد عبدالرحمن محمد الخيرالله</t>
  </si>
  <si>
    <t>بسام عبدالله ميرغني الحسن</t>
  </si>
  <si>
    <t>محمد عبدالله مطلق الدويش</t>
  </si>
  <si>
    <t>نواف عقاب حمود المطيري</t>
  </si>
  <si>
    <t>خالد سعيد حسين آل عجير</t>
  </si>
  <si>
    <t>فهد عبدالله محمد الشهراني</t>
  </si>
  <si>
    <t>خالد داود سلمان الراجح</t>
  </si>
  <si>
    <t>خالد أحمد عبدالله الملحم</t>
  </si>
  <si>
    <t>صالح علي ياسين الشهري</t>
  </si>
  <si>
    <t>سالم منصور معيض ال بوعيبه</t>
  </si>
  <si>
    <t>محمد فهد عبدالله الهاجري</t>
  </si>
  <si>
    <t>سالم مطلق سالم العتيبي</t>
  </si>
  <si>
    <t>احمد محمد المطيري</t>
  </si>
  <si>
    <t>ناصر عون ناصر الشريف</t>
  </si>
  <si>
    <t>خالد عبدالله محمد العامري</t>
  </si>
  <si>
    <t>فيصل عبدالله محمد الاسمري</t>
  </si>
  <si>
    <t>احمد عون منصور المختار</t>
  </si>
  <si>
    <t>محمد حبيب محمد آل هلال</t>
  </si>
  <si>
    <t>حمد محمد سالم الغانمي</t>
  </si>
  <si>
    <t>بدر محمد مساعد التيسان</t>
  </si>
  <si>
    <t>عبدالله احمد عبدالله الملحم</t>
  </si>
  <si>
    <t>محمد ابراهيم عبدالله الخلفان</t>
  </si>
  <si>
    <t>بندر عيسى احمد الحمد</t>
  </si>
  <si>
    <t>محمد علي عبدالله النجيدى</t>
  </si>
  <si>
    <t>عبدالرحمن محمد عبدالله جروان</t>
  </si>
  <si>
    <t>احمد محمد صالح المحيفيظ</t>
  </si>
  <si>
    <t>حسين عبدالله حسين الحصار</t>
  </si>
  <si>
    <t>فهد عبدالله فهد الشنيبر</t>
  </si>
  <si>
    <t>علي معتوق علي الناصر</t>
  </si>
  <si>
    <t>خالد حمد حسن اليامي</t>
  </si>
  <si>
    <t>عمار عبدالله حسين البن احمد</t>
  </si>
  <si>
    <t>ابراهيم عباس ابراهيم القطان</t>
  </si>
  <si>
    <t>جهاد احمد عبدالوهاب بوعامر</t>
  </si>
  <si>
    <t>علي مصطفى علي الحميد</t>
  </si>
  <si>
    <t>نايف عبدالعزيز حمد الفضلي</t>
  </si>
  <si>
    <t>محمد صالح دخيل الدخيل</t>
  </si>
  <si>
    <t>سعد محمد سعد الشمراني</t>
  </si>
  <si>
    <t>حسين هاشم جواد السويج</t>
  </si>
  <si>
    <t>ماجد سيف سعد الدوسري</t>
  </si>
  <si>
    <t>محمد خالد عبدالله الرشيد</t>
  </si>
  <si>
    <t>قبلان عبيد دراع العتيبي</t>
  </si>
  <si>
    <t>محمد فارس سالم الشهري</t>
  </si>
  <si>
    <t>عبدالرحمن فهد أحمد بوعركه</t>
  </si>
  <si>
    <t>عبدالله عبدالمحسن عبدالله النشوان</t>
  </si>
  <si>
    <t>سعد صالح سعد الفرج</t>
  </si>
  <si>
    <t>موسى محمد علي حدادي</t>
  </si>
  <si>
    <t>جاسم محمد ابراهيم البريه</t>
  </si>
  <si>
    <t>عبدالرحمن عادل عبدالرحمن الأحمد</t>
  </si>
  <si>
    <t>علي حسن عبدالله الفضل</t>
  </si>
  <si>
    <t>محمد شرار شحيبان العتيبي</t>
  </si>
  <si>
    <t>عبدالرحمن ابراهيم راشد العجيان</t>
  </si>
  <si>
    <t>ابراهيم خالد ابراهيم المذن</t>
  </si>
  <si>
    <t>منصور علي محمد الهاجري</t>
  </si>
  <si>
    <t>XSER5548</t>
  </si>
  <si>
    <t>نوف ظافر سعيد الهاجري</t>
  </si>
  <si>
    <t>مجمع ارامكو</t>
  </si>
  <si>
    <t>سمر ناجي حسن آل يوسف</t>
  </si>
  <si>
    <t>لطيفه محمد أحمد الطليحي</t>
  </si>
  <si>
    <t>ايمان سعيد علي اليامي</t>
  </si>
  <si>
    <t>ماجد ابراهيم عبدالله الصمعاني</t>
  </si>
  <si>
    <t>حسين عبدالله مبارك ال فاضل</t>
  </si>
  <si>
    <t>ابراهيم بتال عبدالمحسن القحطاني</t>
  </si>
  <si>
    <t>عبدالمجيد جدعان مضحي العنزي</t>
  </si>
  <si>
    <t>عبدالله ابراهيم عبدالله الخلفان</t>
  </si>
  <si>
    <t>محمد علي حسين الشخل</t>
  </si>
  <si>
    <t>ياسر حسين حسن ابالحارث</t>
  </si>
  <si>
    <t>محمد صالح عبدالله النغموش</t>
  </si>
  <si>
    <t>بدر نواف حبيب الخالدي</t>
  </si>
  <si>
    <t>فهد احمد منصور القحطاني</t>
  </si>
  <si>
    <t>عبدالله مفرح فهد العجمي</t>
  </si>
  <si>
    <t>عبدالله خالد رافع الشهري</t>
  </si>
  <si>
    <t>عبدالرحمن محمد عبدالله ال هداف</t>
  </si>
  <si>
    <t>وليد خالد فهد السنيد</t>
  </si>
  <si>
    <t>الملك فيصل</t>
  </si>
  <si>
    <t>تركي محمد مبارك العجمي</t>
  </si>
  <si>
    <t>علي حسين حسن الصقور</t>
  </si>
  <si>
    <t>بشير ناصر بشير العميرى</t>
  </si>
  <si>
    <t>حمد مزعل عبدالله المحيميد</t>
  </si>
  <si>
    <t>ابراهيم حسن مسعود الغباري</t>
  </si>
  <si>
    <t>محمد فرحان محمد عياشي</t>
  </si>
  <si>
    <t>ايوب مسفر حسين ال ساري</t>
  </si>
  <si>
    <t>عبدالرحمن مانع علي القشانين</t>
  </si>
  <si>
    <t>حمد ابراهيم حمد المحارف</t>
  </si>
  <si>
    <t>مساعد عبدالله محمد القحطاني</t>
  </si>
  <si>
    <t>فيصل محمد حمد الصويغ</t>
  </si>
  <si>
    <t>خالد عبدالله خالد المغلوث</t>
  </si>
  <si>
    <t>ابراهيم محمد حسين آل عباس</t>
  </si>
  <si>
    <t>اماني مسعد عتيق المطيري</t>
  </si>
  <si>
    <t>الظهران مول</t>
  </si>
  <si>
    <t>فاطمه وليد عبدالله المرجان</t>
  </si>
  <si>
    <t>سناء عبدالله يحى الملحاوي</t>
  </si>
  <si>
    <t>عهود مخلف سعد المطيري</t>
  </si>
  <si>
    <t>سميره قرعاوى محمد قحم</t>
  </si>
  <si>
    <t>نوف عبدالله يوسف الدوسري</t>
  </si>
  <si>
    <t>ميعاد سامي راشد السعيد</t>
  </si>
  <si>
    <t>فصال صالح سالم الفلاسه</t>
  </si>
  <si>
    <t>سلوى سعيد سالم بارضوان</t>
  </si>
  <si>
    <t xml:space="preserve">فردوس عثمان السيف </t>
  </si>
  <si>
    <t>نوره مفرح محمد الاحمري</t>
  </si>
  <si>
    <t>أمل عايل حسن المغربى</t>
  </si>
  <si>
    <t>بدور بداح حسن القحطانى</t>
  </si>
  <si>
    <t>هناء بخيت سالم الراشدي</t>
  </si>
  <si>
    <t>لينا حميد سالم النعيمي</t>
  </si>
  <si>
    <t>محمد زاهر احمد الشهري</t>
  </si>
  <si>
    <t>الراكة , خالد بن الوليد</t>
  </si>
  <si>
    <t>سعد صالح عبدالله القطري</t>
  </si>
  <si>
    <t>عبدالعزيز فوزان ابراهيم النافع</t>
  </si>
  <si>
    <t>عبدالعزيز عبدالرحمن سلمان الشهري</t>
  </si>
  <si>
    <t>نواف عبداللطيف عبدالعزيز السند</t>
  </si>
  <si>
    <t>محمد مساعد ناصر العجمي</t>
  </si>
  <si>
    <t>حمد صالح ابراهيم المحسون</t>
  </si>
  <si>
    <t>حسين حمد حسين آل دويس</t>
  </si>
  <si>
    <t>زياد عبدالعزيز عبداللطيف الناصر</t>
  </si>
  <si>
    <t>مسلم علي حسن بوموزه</t>
  </si>
  <si>
    <t>محمد حماد عزل الرويلي</t>
  </si>
  <si>
    <t>عائشه احمد محمد العلي</t>
  </si>
  <si>
    <t>نوره أحمد محمد القحطاني</t>
  </si>
  <si>
    <t>هنوف نبيل سالم الفلاسه</t>
  </si>
  <si>
    <t>حليمه فايد دغيم الرشيدي</t>
  </si>
  <si>
    <t>ايثار احمد جاسم الفندي</t>
  </si>
  <si>
    <t>حنين محمد علي السبيعي</t>
  </si>
  <si>
    <t>اراده عبدالرؤف مهدي السنان</t>
  </si>
  <si>
    <t>نوف فلاح ابراهيم السويلم</t>
  </si>
  <si>
    <t>مسلط بندر بريكان المريخي</t>
  </si>
  <si>
    <t>فهد عبدالله عيد القحطاني</t>
  </si>
  <si>
    <t>الفناتير</t>
  </si>
  <si>
    <t>فيصل محمد لزام الشمري</t>
  </si>
  <si>
    <t xml:space="preserve">خالد خلف رقاد العنزي </t>
  </si>
  <si>
    <t>احمد سالم احمد الشهري</t>
  </si>
  <si>
    <t>محمد حمد حسين علي الزبادين</t>
  </si>
  <si>
    <t>قاسم احمد هجلس</t>
  </si>
  <si>
    <t>مشعل امين محمد الزعبي</t>
  </si>
  <si>
    <t>طه حسين علي الصفار</t>
  </si>
  <si>
    <t>عبدالله ناصر عبدالله العجمي</t>
  </si>
  <si>
    <t>XSER5540</t>
  </si>
  <si>
    <t>مازن دليم مسعود القحطاني</t>
  </si>
  <si>
    <t>عبدالله جارالله عبدالله الزهراني</t>
  </si>
  <si>
    <t>عبدالله سفر محسن البقمي</t>
  </si>
  <si>
    <t>فيصل حمد محمد الرشيدي</t>
  </si>
  <si>
    <t>عبدالرحمن علي محمد العجمي</t>
  </si>
  <si>
    <t>عبدالله جابر عبدالله العجمي</t>
  </si>
  <si>
    <t>محمد أحمد سليمان المطيري</t>
  </si>
  <si>
    <t>بندر مشعل بدير الرشيدي</t>
  </si>
  <si>
    <t>نعيم وصل الله حمدان المزروعي</t>
  </si>
  <si>
    <t>محمد ضاوي عواض المطيري</t>
  </si>
  <si>
    <t>زيد خلف مبارك البناقي</t>
  </si>
  <si>
    <t>حسين محمد عبدالله الدريع</t>
  </si>
  <si>
    <t>علي ماطر علي الشمري</t>
  </si>
  <si>
    <t>هزاع مطلق رديني المطيري</t>
  </si>
  <si>
    <t>عبدالله سعد محمد المطيري</t>
  </si>
  <si>
    <t>محمد عبدالله طامي المطيري</t>
  </si>
  <si>
    <t>سليم دهش سليم الخالدي</t>
  </si>
  <si>
    <t>بندر فلاح حاكم الدويش</t>
  </si>
  <si>
    <t>بدر راشد الرويبخ العتيبي</t>
  </si>
  <si>
    <t>مطلق ناصر طامي المطيري</t>
  </si>
  <si>
    <t>محمد خالد الحويلي المطيري</t>
  </si>
  <si>
    <t>عبدالله محمد عبدالله المطيري</t>
  </si>
  <si>
    <t>عبدالعزيز عطيه شبيط العنزي</t>
  </si>
  <si>
    <t>الجبيل البلد</t>
  </si>
  <si>
    <t>سعيد فهد ناصر الدوسري</t>
  </si>
  <si>
    <t>احمد فرحان مفلح الشمري</t>
  </si>
  <si>
    <t>فهد فالح فهد القحطاني</t>
  </si>
  <si>
    <t>عبدالرحمن عبدالله ابراهيم الورثان</t>
  </si>
  <si>
    <t>هيثم يوسف عبدالعزيز الخلف</t>
  </si>
  <si>
    <t>محمد موسى خليفة الياسين</t>
  </si>
  <si>
    <t>زكريا علي سعيد الغامدي</t>
  </si>
  <si>
    <t>عمر فهيد عقيل الحربي</t>
  </si>
  <si>
    <t xml:space="preserve">ناصر حمد اليامي </t>
  </si>
  <si>
    <t>نواف سعود عبدالعزيز الدويش</t>
  </si>
  <si>
    <t>حفر الباطن، النموذجي</t>
  </si>
  <si>
    <t>نايف ماجد هدمول المطيري</t>
  </si>
  <si>
    <t>فهد عواد جزاع العنزي</t>
  </si>
  <si>
    <t>نواف محمد سلمان البلوي</t>
  </si>
  <si>
    <t>براك حماد ذيبان الشمري</t>
  </si>
  <si>
    <t>محمد خالد عقاب المطيري</t>
  </si>
  <si>
    <t>فهد علي ربيع العنزي</t>
  </si>
  <si>
    <t>فهد فلاح راجح المطيري</t>
  </si>
  <si>
    <t>محمد عبدالعزيز دحيم السيف</t>
  </si>
  <si>
    <t>محمد خاتم ضاوي الرشيدي</t>
  </si>
  <si>
    <t>عبداللطيف جاسر مخلف المطيري</t>
  </si>
  <si>
    <t>نايف هايف عويض الديحاني</t>
  </si>
  <si>
    <t>هزاع زايد مزيد المطيري</t>
  </si>
  <si>
    <t>ندى عبيد مناحي العشوان</t>
  </si>
  <si>
    <t>خالد سعود سامر المطيري</t>
  </si>
  <si>
    <t>علي عبدالله زايد المطيري</t>
  </si>
  <si>
    <t>صباح فهد حيدر الشمري</t>
  </si>
  <si>
    <t>حسن سعد محمد السبيعي</t>
  </si>
  <si>
    <t>الخفجي</t>
  </si>
  <si>
    <t>نايف محمد علي المري</t>
  </si>
  <si>
    <t>عبدالعزيز ذياب ذويب الشمري</t>
  </si>
  <si>
    <t>خالد نصار جاسر المريخي</t>
  </si>
  <si>
    <t>عبدالاله حمدان فرحان الحربي</t>
  </si>
  <si>
    <t>بدر ذياب الصدي الرويلي</t>
  </si>
  <si>
    <t>يوسف نجيب عبدالمحسن الحزامي</t>
  </si>
  <si>
    <t>محمد الحميدي ساير العتيبي</t>
  </si>
  <si>
    <t>حفر الباطن الوطنية</t>
  </si>
  <si>
    <t>خالد فارس بدر ضمنه</t>
  </si>
  <si>
    <t>أحمد عبدالعزيز مقحم المطيري</t>
  </si>
  <si>
    <t>عبدالله صياح دعسان العنزي</t>
  </si>
  <si>
    <t>محمد فهد تركي المطيري</t>
  </si>
  <si>
    <t>فرحان مفضي العنزي</t>
  </si>
  <si>
    <t>مشعل شقاحي وارد الخالدي</t>
  </si>
  <si>
    <t>سعد حزام فرحان العنزي</t>
  </si>
  <si>
    <t>فيصل صعفق الظفيري</t>
  </si>
  <si>
    <t>سعد مناحي عايض المطيري</t>
  </si>
  <si>
    <t>محمد فيحان محمد الحميداني</t>
  </si>
  <si>
    <t>نواف فيصل سلطان المطيري</t>
  </si>
  <si>
    <t>باسم سليم رحيل العنزي</t>
  </si>
  <si>
    <t>منصور بندر القني المطيري</t>
  </si>
  <si>
    <t>محمد فهد حيدر الشمري</t>
  </si>
  <si>
    <t>سلطان عايش هليل المطيرى</t>
  </si>
  <si>
    <t>ابراهيم علي ربيع العنزي</t>
  </si>
  <si>
    <t>عبدالله مناحي عبدالله المطيري</t>
  </si>
  <si>
    <t>محمد نمر ضويحي المطيري</t>
  </si>
  <si>
    <t>خالد عبدالرحمن عبدالله الملحم</t>
  </si>
  <si>
    <t>حيدر طاهر محمد العليو</t>
  </si>
  <si>
    <t>وائل يوسف صالح العلي</t>
  </si>
  <si>
    <t>احمد عبدالله محمد الحوطي</t>
  </si>
  <si>
    <t>يوسف محمد علي البوحسن</t>
  </si>
  <si>
    <t>عبدالله يوسف عبدالرحمن الحمادي</t>
  </si>
  <si>
    <t>حزام عبدالهادي راشد المري</t>
  </si>
  <si>
    <t>سعد محسن مبارك المهري</t>
  </si>
  <si>
    <t>فهد عيسى فهد العويض</t>
  </si>
  <si>
    <t>سالم ناجي سالم الدوسري</t>
  </si>
  <si>
    <t>يوسف محمد احمد الجبيلي</t>
  </si>
  <si>
    <t>منصور نايف فهد السعدون</t>
  </si>
  <si>
    <t>عبدالله عبدالعزيز عبدالله الخميس</t>
  </si>
  <si>
    <t>فيصل عبدالعزيز عبدالرحمن المقرن</t>
  </si>
  <si>
    <t>نايف سعود عبيد الدوسري</t>
  </si>
  <si>
    <t>عبداللطيف سعود عبدالعزيز العامر</t>
  </si>
  <si>
    <t>عبدالمحسن ابراهيم عبدالمحسن الملحم</t>
  </si>
  <si>
    <t>ابراهيم خالد ابراهيم العبيد الله</t>
  </si>
  <si>
    <t>ابراهيم سعد احمد المحارفي</t>
  </si>
  <si>
    <t>مسفر محمد سعد الدوسري</t>
  </si>
  <si>
    <t>فهد عبدالرحمن عبدالرحمن البقيشي</t>
  </si>
  <si>
    <t>صالح سعد علي البحر</t>
  </si>
  <si>
    <t>محمد يوسف محمد الجيبان</t>
  </si>
  <si>
    <t>احمد صادق حجي الحسن</t>
  </si>
  <si>
    <t>محمد عبدالله عبدالرحمن العثمان</t>
  </si>
  <si>
    <t>مرتضى سامي خليفه البريه</t>
  </si>
  <si>
    <t>سعد فهد الحميدي الراجح</t>
  </si>
  <si>
    <t>هاني علي حسين العباد</t>
  </si>
  <si>
    <t>سامي مبارك عبدالله القاسم</t>
  </si>
  <si>
    <t>فهد مسلط ضيف  الله العتيبي</t>
  </si>
  <si>
    <t>عبدالعزيز عبدالله محمد الزعبي</t>
  </si>
  <si>
    <t>احمد علي سعود ال سليمان</t>
  </si>
  <si>
    <t>محمد عبدالله عبدالرحمن العامر</t>
  </si>
  <si>
    <t>محمد عبدالله علي العبدرب  النبي</t>
  </si>
  <si>
    <t>حسين طاهر الحمد</t>
  </si>
  <si>
    <t>احمد محمد ناصر السعيد</t>
  </si>
  <si>
    <t>احمد عبدالله احمد المخيزيم</t>
  </si>
  <si>
    <t>فاضل طاهر حسين الحمد</t>
  </si>
  <si>
    <t>هيثم وهب عبدالله الحضري</t>
  </si>
  <si>
    <t>حسن عبدالمحسن أحمد الخواجه</t>
  </si>
  <si>
    <t>محمد نايف محمد النهيان</t>
  </si>
  <si>
    <t>محمود حمد عبدالله الجعفري</t>
  </si>
  <si>
    <t>أحمد علي مرعي الشهري</t>
  </si>
  <si>
    <t>نايف محمد علي الجلجل</t>
  </si>
  <si>
    <t>خالد محمد عبدالله بو بشيت</t>
  </si>
  <si>
    <t>احمد عبدالمجيد احمد ال براهيم</t>
  </si>
  <si>
    <t>بدر محمد صالح المبارك</t>
  </si>
  <si>
    <t>مشعل عبدالعزيز عبدالعزيز العويشير</t>
  </si>
  <si>
    <t>محمد احمد عبدالرحمن الخليفه السيد</t>
  </si>
  <si>
    <t>محمد عبدالرحمن عبدالعزيز العصيل</t>
  </si>
  <si>
    <t>علي حسين عبدالله الوباري</t>
  </si>
  <si>
    <t>عصام ابراهيم عبدالله الباش</t>
  </si>
  <si>
    <t>أحمد عبدالعزيز احمد السليم</t>
  </si>
  <si>
    <t>فؤاد عبدالله ابراهيم بن عشوان</t>
  </si>
  <si>
    <t>فالح سعد احمد الهزاع</t>
  </si>
  <si>
    <t>فهد عليش عبدالله العجمي</t>
  </si>
  <si>
    <t>عبدالله عبدالعزيز علي الزين</t>
  </si>
  <si>
    <t>عبدالرحمن عبدالعزيز محمد التريكي</t>
  </si>
  <si>
    <t>سلطان محمد زيد اللبيدي</t>
  </si>
  <si>
    <t>PS voice (QTY)</t>
  </si>
  <si>
    <t>صالح عبدالله صالح الرواجح</t>
  </si>
  <si>
    <t>محمد سالم غدير العنزي</t>
  </si>
  <si>
    <t>XSER4625</t>
  </si>
  <si>
    <t>Al jouf</t>
  </si>
  <si>
    <t>حسن خالد الرويلي</t>
  </si>
  <si>
    <t>XSER4190</t>
  </si>
  <si>
    <t>سكاكا القلعه</t>
  </si>
  <si>
    <t>عمر سعد الضلي</t>
  </si>
  <si>
    <t>XSER3949</t>
  </si>
  <si>
    <t>فؤاد سعود الجوفي</t>
  </si>
  <si>
    <t>XSIS0938</t>
  </si>
  <si>
    <t>EBU_XSIS0938</t>
  </si>
  <si>
    <t>سليمان محمد الدرعان</t>
  </si>
  <si>
    <t>XSIS1258</t>
  </si>
  <si>
    <t>EBU_XSIS1258</t>
  </si>
  <si>
    <t>عبدالله غالب الخالدي</t>
  </si>
  <si>
    <t>XSIS1336</t>
  </si>
  <si>
    <t>مشاري عبد العزيز الحموان</t>
  </si>
  <si>
    <t>XSER5179</t>
  </si>
  <si>
    <t>محمد خليف الفهيقي</t>
  </si>
  <si>
    <t>XSIS0827</t>
  </si>
  <si>
    <t>EBU_XSIS0827</t>
  </si>
  <si>
    <t xml:space="preserve">عبدالرحمن عبدالله الضلي </t>
  </si>
  <si>
    <t>XSIS1255</t>
  </si>
  <si>
    <t>EBU_XSIS1255</t>
  </si>
  <si>
    <t>مفلح عقلا الطالب</t>
  </si>
  <si>
    <t>XSER4718</t>
  </si>
  <si>
    <t xml:space="preserve">عبدالرحيم مطلق الرويلي </t>
  </si>
  <si>
    <t>XSIS1257</t>
  </si>
  <si>
    <t>زيد عبدالله الصقعبي</t>
  </si>
  <si>
    <t>XSER0705</t>
  </si>
  <si>
    <t>EBU_XSER0705</t>
  </si>
  <si>
    <t>فيصل فهد السويلم</t>
  </si>
  <si>
    <t>XSIS1265</t>
  </si>
  <si>
    <t>EBU_XSIS1265</t>
  </si>
  <si>
    <t>سلمان يوسف البراهيم</t>
  </si>
  <si>
    <t>XSER1968</t>
  </si>
  <si>
    <t>EBU_XSER1968</t>
  </si>
  <si>
    <t>محمد عبد الله الخالد</t>
  </si>
  <si>
    <t>XSIS0467</t>
  </si>
  <si>
    <t>عبدالله عبدالرحمن الشمري</t>
  </si>
  <si>
    <t>XSIS0937</t>
  </si>
  <si>
    <t>ابراهيم سالم البلوي</t>
  </si>
  <si>
    <t>XSIS1253</t>
  </si>
  <si>
    <t>القريات السديريه-حي العليا</t>
  </si>
  <si>
    <t>عبدالهادي عواد الشراري</t>
  </si>
  <si>
    <t>XSER5251</t>
  </si>
  <si>
    <t>محمد هليل العنزي</t>
  </si>
  <si>
    <t>XSIS0333</t>
  </si>
  <si>
    <t>عبدالمجيد عبدالهادي الرويلي</t>
  </si>
  <si>
    <t>XSIS0952</t>
  </si>
  <si>
    <t>EBU_XSIS0952</t>
  </si>
  <si>
    <t>سيف عبدالله السحيمي</t>
  </si>
  <si>
    <t>XSER0661</t>
  </si>
  <si>
    <t>عبدالله بن مقبل  العنزي</t>
  </si>
  <si>
    <t>XSER5258</t>
  </si>
  <si>
    <t>عبدالهادي قاعد الخابور</t>
  </si>
  <si>
    <t>XSER4456</t>
  </si>
  <si>
    <t>دومة الجندل</t>
  </si>
  <si>
    <t>صالح محمود البراك</t>
  </si>
  <si>
    <t>XSIS0936</t>
  </si>
  <si>
    <t>EBU_XSIS0936</t>
  </si>
  <si>
    <t>فواز فالح الهديب</t>
  </si>
  <si>
    <t>XSER4545</t>
  </si>
  <si>
    <t>غالب محمد العرجان</t>
  </si>
  <si>
    <t>XSER4504</t>
  </si>
  <si>
    <t>عبدالحميد فهاد الزارع</t>
  </si>
  <si>
    <t>XSIS0939</t>
  </si>
  <si>
    <t>مهند مسند الحنيبيص</t>
  </si>
  <si>
    <t>XSMT0287</t>
  </si>
  <si>
    <t>عبدالرحمن عبد الرزاق الجوفي</t>
  </si>
  <si>
    <t>XSIS1254</t>
  </si>
  <si>
    <t xml:space="preserve">طبرجل </t>
  </si>
  <si>
    <t>عبدالله خالد الشراري</t>
  </si>
  <si>
    <t>XSIS0941</t>
  </si>
  <si>
    <t>EBU_XSIS0941</t>
  </si>
  <si>
    <t>طبرجل</t>
  </si>
  <si>
    <t>عبدالعزيز نازل الشراري</t>
  </si>
  <si>
    <t>XSIS0552</t>
  </si>
  <si>
    <t>EBU_XSIS0552</t>
  </si>
  <si>
    <t>تركي دخيل الله الشراري</t>
  </si>
  <si>
    <t>XSIS1419</t>
  </si>
  <si>
    <t>غانم مسلم الشراري</t>
  </si>
  <si>
    <t>XSIS0940</t>
  </si>
  <si>
    <t>عقيل عطاالله الشراري</t>
  </si>
  <si>
    <t>XSER5256</t>
  </si>
  <si>
    <t>Tabuk</t>
  </si>
  <si>
    <t>حقل</t>
  </si>
  <si>
    <t>-</t>
  </si>
  <si>
    <t>Dummy</t>
  </si>
  <si>
    <t>محمد احمد هادي الراعي المشيخي</t>
  </si>
  <si>
    <t>XSIS1331</t>
  </si>
  <si>
    <t>احمد حسن الزهراني</t>
  </si>
  <si>
    <t>XSER3884</t>
  </si>
  <si>
    <t>طارق ماجد سالم الزرقي</t>
  </si>
  <si>
    <t>XSER5190</t>
  </si>
  <si>
    <t>ممدوح مسعد نويجع الزمهري الحويطي</t>
  </si>
  <si>
    <t>XSER5189</t>
  </si>
  <si>
    <t>نبيل عبدالغني احمد الفرشوطي</t>
  </si>
  <si>
    <t>XSER4763</t>
  </si>
  <si>
    <t>ضبا</t>
  </si>
  <si>
    <t>محمد عطالله سالم الحويطي</t>
  </si>
  <si>
    <t>XSER1887</t>
  </si>
  <si>
    <t>EBU_XSER1887</t>
  </si>
  <si>
    <t>محمد عويض الطقطقي</t>
  </si>
  <si>
    <t>XSER0897</t>
  </si>
  <si>
    <t>EBU_XSER0897</t>
  </si>
  <si>
    <t>محمد علي معتق الحويطي</t>
  </si>
  <si>
    <t>XSIS0471</t>
  </si>
  <si>
    <t>EBU_XSIS0471</t>
  </si>
  <si>
    <t>ناصر امين محمد الفرشوطي</t>
  </si>
  <si>
    <t>XSER4739</t>
  </si>
  <si>
    <t>الوجه</t>
  </si>
  <si>
    <t>علاء عمر محمود غبان</t>
  </si>
  <si>
    <t>XSER1886</t>
  </si>
  <si>
    <t>EBU_XSER1886</t>
  </si>
  <si>
    <t>ابراهيم صالح البلوي</t>
  </si>
  <si>
    <t>XSER1585</t>
  </si>
  <si>
    <t>EBU_XSER1585</t>
  </si>
  <si>
    <t>بدر محمد سالم المرواني</t>
  </si>
  <si>
    <t>XSIS0962</t>
  </si>
  <si>
    <t>أملج</t>
  </si>
  <si>
    <t>ابراهيم محمد المرواني</t>
  </si>
  <si>
    <t>XSER0908</t>
  </si>
  <si>
    <t>EBU_XSER0908</t>
  </si>
  <si>
    <t>عماد محمد شليه العلاطي</t>
  </si>
  <si>
    <t>XSER3647</t>
  </si>
  <si>
    <t>عبدالعزيز محمد سليم الجهني</t>
  </si>
  <si>
    <t>XSER1750</t>
  </si>
  <si>
    <t>EBU_XSER1750</t>
  </si>
  <si>
    <t>محمد على حسين جحيو</t>
  </si>
  <si>
    <t>XSER4662</t>
  </si>
  <si>
    <t>تبوك الرئيسي</t>
  </si>
  <si>
    <t>مازن محمد حماد الحويطي</t>
  </si>
  <si>
    <t>XSIS0758</t>
  </si>
  <si>
    <t>EBU_XSIS0758</t>
  </si>
  <si>
    <t>خالد علي محمد الشهري</t>
  </si>
  <si>
    <t>XSER5253</t>
  </si>
  <si>
    <t>عبدربه سليمان سلمان الحويطي</t>
  </si>
  <si>
    <t>XSIS0956</t>
  </si>
  <si>
    <t>EBU_XSIS0956</t>
  </si>
  <si>
    <t>علي حمدان صالح العطوي</t>
  </si>
  <si>
    <t>XSMT0244</t>
  </si>
  <si>
    <t>ابراهيم صالح محمد العبيدان</t>
  </si>
  <si>
    <t>XSER2845</t>
  </si>
  <si>
    <t>EBU_XSER2845</t>
  </si>
  <si>
    <t>عبدالعزيز فاهد عايد العنزي</t>
  </si>
  <si>
    <t>XSER2844</t>
  </si>
  <si>
    <t>EBU_XSER2844</t>
  </si>
  <si>
    <t>عبدالرحمن سعد عويض العتيبي</t>
  </si>
  <si>
    <t>XSER2556</t>
  </si>
  <si>
    <t>EBU_XSER2556</t>
  </si>
  <si>
    <t>ياسر محمد ابراهيم الشاعري</t>
  </si>
  <si>
    <t>XSIS1421</t>
  </si>
  <si>
    <t>ماجد حمدان سالم العطوي</t>
  </si>
  <si>
    <t>XSER2884</t>
  </si>
  <si>
    <t>EBU_XSER2884</t>
  </si>
  <si>
    <t>محمد ابراهيم غازي العرادي</t>
  </si>
  <si>
    <t>XSER3167</t>
  </si>
  <si>
    <t>EBU_XSER3167</t>
  </si>
  <si>
    <t>وائل سعود عقلا العنزي</t>
  </si>
  <si>
    <t>XSER3397</t>
  </si>
  <si>
    <t>EBU_XSER3397</t>
  </si>
  <si>
    <t>طارق خميس سالم البلوي</t>
  </si>
  <si>
    <t>XSIS1402</t>
  </si>
  <si>
    <t>عايد ربيع عواد الحويطي</t>
  </si>
  <si>
    <t>XSER4353</t>
  </si>
  <si>
    <t>المروج</t>
  </si>
  <si>
    <t>ياسر سالم جريد العنزي</t>
  </si>
  <si>
    <t>XSIS1327</t>
  </si>
  <si>
    <t>نايف معوض محمد العنزي</t>
  </si>
  <si>
    <t>XSIS1405</t>
  </si>
  <si>
    <t>EBU_XSIS1405</t>
  </si>
  <si>
    <t>يوسف عبدالله رويعي العطوي</t>
  </si>
  <si>
    <t>XSER2322</t>
  </si>
  <si>
    <t>EBU_XSER2322</t>
  </si>
  <si>
    <t>عبدالله عوض صياح الحربي</t>
  </si>
  <si>
    <t>XSIS1104</t>
  </si>
  <si>
    <t>EBU_XSIS1104</t>
  </si>
  <si>
    <t>فرحان سعود عبدالدائم العنزي</t>
  </si>
  <si>
    <t>XSIS1401</t>
  </si>
  <si>
    <t>عبدالرحمن شايح غضبان العنزي</t>
  </si>
  <si>
    <t>XSIS0540</t>
  </si>
  <si>
    <t>EBU_XSIS0540</t>
  </si>
  <si>
    <t>بندر فريج حمود البلوي</t>
  </si>
  <si>
    <t>XSIS1326</t>
  </si>
  <si>
    <t>سعود رفيع احمد العقبي</t>
  </si>
  <si>
    <t>XSER1580</t>
  </si>
  <si>
    <t>EBU_XSER1580</t>
  </si>
  <si>
    <t>محمد يحي محمد متنبك</t>
  </si>
  <si>
    <t>XSIS1399</t>
  </si>
  <si>
    <t>عبدالإله فارس سليمان شبيكان الفقير</t>
  </si>
  <si>
    <t>XSER5198</t>
  </si>
  <si>
    <t>تيماء</t>
  </si>
  <si>
    <t>فيصل فهد السالمي</t>
  </si>
  <si>
    <t>XSER3883</t>
  </si>
  <si>
    <t>فهد عماش العنزي</t>
  </si>
  <si>
    <t>XSER3882</t>
  </si>
  <si>
    <t>عبدالسلام خالد بندر العلي الشمري</t>
  </si>
  <si>
    <t>XSER5186</t>
  </si>
  <si>
    <t>عبدالرحمن غريب لافي الضوي العنزي</t>
  </si>
  <si>
    <t>XSER5185</t>
  </si>
  <si>
    <t>NBR</t>
  </si>
  <si>
    <t>طريف</t>
  </si>
  <si>
    <t>احمد عطيه الحازمي</t>
  </si>
  <si>
    <t>XSIS0104</t>
  </si>
  <si>
    <t>عطا الله نزال الحازمي</t>
  </si>
  <si>
    <t>XSER1579</t>
  </si>
  <si>
    <t>EBU_XSER1579</t>
  </si>
  <si>
    <t>محمد زيدان الحازمي</t>
  </si>
  <si>
    <t>XSER1582</t>
  </si>
  <si>
    <t>EBU_XSER1582</t>
  </si>
  <si>
    <t>ثامر دحام الشعلان</t>
  </si>
  <si>
    <t>XSER3902</t>
  </si>
  <si>
    <t>خالد بريت العنزي</t>
  </si>
  <si>
    <t>XSER4215</t>
  </si>
  <si>
    <t>عرعر</t>
  </si>
  <si>
    <t>عبدالعزيز عطاالله البناقي</t>
  </si>
  <si>
    <t>XSIS1298</t>
  </si>
  <si>
    <t>EBU_XSIS1298</t>
  </si>
  <si>
    <t>هاني عذاب البناقي</t>
  </si>
  <si>
    <t>XSIS1380</t>
  </si>
  <si>
    <t>عبدالمجيد مثيب العنزي</t>
  </si>
  <si>
    <t>XSIS0955</t>
  </si>
  <si>
    <t>عبدالمصلح مياح الميخ الرويلي</t>
  </si>
  <si>
    <t>XSIS0953</t>
  </si>
  <si>
    <t>EBU_XSIS0953</t>
  </si>
  <si>
    <t>حامد حمود الشمري</t>
  </si>
  <si>
    <t>XSIS1312</t>
  </si>
  <si>
    <t>علي سليم العنزي</t>
  </si>
  <si>
    <t>XSIS1311</t>
  </si>
  <si>
    <t>ابراهيم سبتي العنزي</t>
  </si>
  <si>
    <t>XSIS0954</t>
  </si>
  <si>
    <t>مشعل حمود الشمري</t>
  </si>
  <si>
    <t>XSER4707</t>
  </si>
  <si>
    <t>رفحاء</t>
  </si>
  <si>
    <t>حاشم فريح الشمري</t>
  </si>
  <si>
    <t>XSIS1252</t>
  </si>
  <si>
    <t>EBU_XSIS1252</t>
  </si>
  <si>
    <t>خالد صالح راكان الشملاني العنزي</t>
  </si>
  <si>
    <t>XSER5194</t>
  </si>
  <si>
    <t>يوسف سلطان محمدالسماري المطيري</t>
  </si>
  <si>
    <t>XSER5195</t>
  </si>
  <si>
    <t>محمد حماد الشمري</t>
  </si>
  <si>
    <t>XSIS1239</t>
  </si>
  <si>
    <t>العويقيلة</t>
  </si>
  <si>
    <t>محمد عبيد العنزي</t>
  </si>
  <si>
    <t>XSER3964</t>
  </si>
  <si>
    <t>محمد ذعذاع الشمري</t>
  </si>
  <si>
    <t>XSER3970</t>
  </si>
  <si>
    <t>مع تحيات فريق دعم الاقليم الشرقي و الشمالي</t>
  </si>
  <si>
    <t>القريات السديريه - حي العليا</t>
  </si>
  <si>
    <t>XSER5560</t>
  </si>
  <si>
    <t xml:space="preserve">الراشد مول </t>
  </si>
  <si>
    <t>North Area</t>
  </si>
  <si>
    <t>زيد دهام الرويلي</t>
  </si>
  <si>
    <t>XSER4045</t>
  </si>
  <si>
    <t>Al Jouf</t>
  </si>
  <si>
    <t>IOS Cases (QTY)</t>
  </si>
  <si>
    <t>استشاري مبيعات</t>
  </si>
  <si>
    <t>إجازة سنوية</t>
  </si>
  <si>
    <t xml:space="preserve">خبير اعمال </t>
  </si>
  <si>
    <t>اجازة سنوية</t>
  </si>
  <si>
    <t>اسشاري مبيعات</t>
  </si>
  <si>
    <t xml:space="preserve">استشاري مبيعات </t>
  </si>
  <si>
    <t>خبير اعمال</t>
  </si>
  <si>
    <t xml:space="preserve">Residential FTTH </t>
  </si>
  <si>
    <t xml:space="preserve">Residential FWA </t>
  </si>
  <si>
    <t xml:space="preserve">Jawwy </t>
  </si>
  <si>
    <t xml:space="preserve">PP Voice </t>
  </si>
  <si>
    <t xml:space="preserve">PS Voice </t>
  </si>
  <si>
    <t>Non-iPhone</t>
  </si>
  <si>
    <t>iPhone</t>
  </si>
  <si>
    <t>Samsung Accessories</t>
  </si>
  <si>
    <t xml:space="preserve">IOS AirPods </t>
  </si>
  <si>
    <t xml:space="preserve">IOS Watch </t>
  </si>
  <si>
    <t xml:space="preserve">Growth Accessories </t>
  </si>
  <si>
    <t>AlAhsa</t>
  </si>
  <si>
    <t>طريق الملك فيصل</t>
  </si>
  <si>
    <t>Alkhobar</t>
  </si>
  <si>
    <t>Revenue</t>
  </si>
  <si>
    <t>لا يوجد هدف</t>
  </si>
  <si>
    <t>XSER3765</t>
  </si>
  <si>
    <t>XSER5284</t>
  </si>
  <si>
    <t>محمد عبدالله محمد الحافظ</t>
  </si>
  <si>
    <t>الجفر ، الشارع العام</t>
  </si>
  <si>
    <t>خالد إبراهيم بشير كفينه</t>
  </si>
  <si>
    <t>XSER5583</t>
  </si>
  <si>
    <t xml:space="preserve">محمد فهد محمد الجهني </t>
  </si>
  <si>
    <t>xser5052</t>
  </si>
  <si>
    <t>Device Protection QTY</t>
  </si>
  <si>
    <t xml:space="preserve">إجازة </t>
  </si>
  <si>
    <t>Row Labels</t>
  </si>
  <si>
    <t xml:space="preserve">Sum of iPhone branch </t>
  </si>
  <si>
    <t>Sum of NoniPhone branch</t>
  </si>
  <si>
    <t>Sum of MRC</t>
  </si>
  <si>
    <t>Sum of PS voice</t>
  </si>
  <si>
    <t>Sum of PS Data</t>
  </si>
  <si>
    <t>Sum of PP Voice branch</t>
  </si>
  <si>
    <t>Sum of PP Data branch</t>
  </si>
  <si>
    <t>Sum of Jawwy branch</t>
  </si>
  <si>
    <t>Sum of FWA branch</t>
  </si>
  <si>
    <t>Sum of FTTH branch</t>
  </si>
  <si>
    <t>Sum of trade in</t>
  </si>
  <si>
    <t>Sum of Device Protection QTY</t>
  </si>
  <si>
    <t>يارا سالم ناصر الدوسري</t>
  </si>
  <si>
    <t>طلال سعد عبيد العتيبي</t>
  </si>
  <si>
    <t>XSER3685</t>
  </si>
  <si>
    <t>عبدالرحمن عيسى مساعد المغربي</t>
  </si>
  <si>
    <t>XSER5605</t>
  </si>
  <si>
    <t>حيدر علي رضي آل مرهون</t>
  </si>
  <si>
    <t>ذوي احتياجات خاصه</t>
  </si>
  <si>
    <t>خالد محمد صالح القرنى</t>
  </si>
  <si>
    <t xml:space="preserve">رامي أنور الزارع </t>
  </si>
  <si>
    <t>XSIS1290</t>
  </si>
  <si>
    <t xml:space="preserve">محمد فتحي البلوي </t>
  </si>
  <si>
    <t>XSIS1339</t>
  </si>
  <si>
    <t>Professional area sales manager </t>
  </si>
  <si>
    <t>استشاري مبيعات مكلف</t>
  </si>
  <si>
    <t>إجازة</t>
  </si>
  <si>
    <t>خالد محمد الدغمي</t>
  </si>
  <si>
    <t>XSIS1337</t>
  </si>
  <si>
    <t>Sum of 1st contract  </t>
  </si>
  <si>
    <t>بطل راوتر</t>
  </si>
  <si>
    <t>بطل فايبر</t>
  </si>
  <si>
    <t xml:space="preserve">نواف عبدالله الحمدان </t>
  </si>
  <si>
    <t>XSER5626</t>
  </si>
  <si>
    <t>**</t>
  </si>
  <si>
    <t xml:space="preserve">حقل </t>
  </si>
  <si>
    <t xml:space="preserve">تيماء </t>
  </si>
  <si>
    <t>Non Core (SAR)</t>
  </si>
  <si>
    <t>Non Core</t>
  </si>
  <si>
    <t>Non Core Branch</t>
  </si>
  <si>
    <t>Sum of Non Core Branch</t>
  </si>
  <si>
    <t>Eastern &amp; Northern</t>
  </si>
  <si>
    <t>خبير سكني</t>
  </si>
  <si>
    <t>خبير سكني + Non Core</t>
  </si>
  <si>
    <t xml:space="preserve">موظف احتياجات خاصة </t>
  </si>
  <si>
    <t xml:space="preserve">خبير سكني </t>
  </si>
  <si>
    <t>خبير اعمال + Non Core</t>
  </si>
  <si>
    <t>جميع المنتجات</t>
  </si>
  <si>
    <t>خبير السكني</t>
  </si>
  <si>
    <t>من هدف الراوتر</t>
  </si>
  <si>
    <t xml:space="preserve">هدف الاعمال </t>
  </si>
  <si>
    <t>هدف الفايبر كامل</t>
  </si>
  <si>
    <t xml:space="preserve">إبراهيم حامد الابراهيم </t>
  </si>
  <si>
    <t>XSER5636</t>
  </si>
  <si>
    <t xml:space="preserve">إجازة سنوية+ خبير اعمال </t>
  </si>
  <si>
    <t xml:space="preserve">بندر محمود العازمي </t>
  </si>
  <si>
    <t>XSIS1329</t>
  </si>
  <si>
    <t>عبدالله العاني هلال العنزي</t>
  </si>
  <si>
    <t>XSER5632</t>
  </si>
  <si>
    <t xml:space="preserve">إجازة +خبير سكني </t>
  </si>
  <si>
    <t>استشاري مبيعات + خبير اعمال</t>
  </si>
  <si>
    <t>خبير اعمال  + سكني</t>
  </si>
  <si>
    <t>الإجمالي الكلي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</si>
</sst>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_-* #,##0_-;\-* #,##0_-;_-* &quot;-&quot;??_-;_-@_-"/>
    <numFmt numFmtId="167" formatCode="#,##0;[Red]#,##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11"/>
      <color rgb="FF006100"/>
      <name val="Calibri"/>
      <family val="2"/>
      <charset val="178"/>
      <scheme val="minor"/>
    </font>
    <font>
      <sz val="10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0"/>
      <name val="Calibri"/>
      <family val="2"/>
      <scheme val="minor"/>
    </font>
    <font>
      <sz val="10"/>
      <name val="Calibri"/>
      <family val="2"/>
    </font>
    <font>
      <sz val="10"/>
      <name val="Times New Roman"/>
      <family val="1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FFFFFF"/>
      <name val="Calibri"/>
      <family val="2"/>
    </font>
    <font>
      <sz val="11"/>
      <color theme="1"/>
      <name val="Times New Roman"/>
      <family val="1"/>
    </font>
    <font>
      <b/>
      <sz val="11"/>
      <name val="Calibri"/>
      <family val="2"/>
      <scheme val="minor"/>
    </font>
    <font>
      <b/>
      <sz val="11"/>
      <color rgb="FFFFFFFF"/>
      <name val="Sakkal Majalla"/>
    </font>
    <font>
      <b/>
      <sz val="14"/>
      <color rgb="FFFFFFFF"/>
      <name val="Sakkal Majalla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charset val="178"/>
      <scheme val="minor"/>
    </font>
    <font>
      <b/>
      <sz val="11"/>
      <color rgb="FF1D252D"/>
      <name val="Calibri"/>
      <family val="2"/>
    </font>
    <font>
      <b/>
      <sz val="11"/>
      <color rgb="FF000000"/>
      <name val="Calibri"/>
      <family val="2"/>
    </font>
    <font>
      <sz val="11"/>
      <color rgb="FF1D252D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7030A0"/>
        <bgColor indexed="64"/>
      </patternFill>
    </fill>
    <fill>
      <patternFill patternType="solid">
        <fgColor rgb="FFAA3C95"/>
        <bgColor theme="8"/>
      </patternFill>
    </fill>
    <fill>
      <patternFill patternType="solid">
        <fgColor rgb="FF2E3A47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theme="0" tint="-0.34998626667073579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rgb="FFA6A6A6"/>
      </patternFill>
    </fill>
    <fill>
      <patternFill patternType="solid">
        <fgColor theme="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theme="8"/>
      </patternFill>
    </fill>
    <fill>
      <patternFill patternType="solid">
        <fgColor rgb="FF4F008C"/>
        <bgColor indexed="64"/>
      </patternFill>
    </fill>
    <fill>
      <patternFill patternType="solid">
        <fgColor rgb="FFFF375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theme="8"/>
      </patternFill>
    </fill>
    <fill>
      <patternFill patternType="solid">
        <fgColor rgb="FFAA3C9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rgb="FFD9D9D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A6A6A6"/>
      </patternFill>
    </fill>
    <fill>
      <patternFill patternType="solid">
        <fgColor theme="3" tint="0.89999084444715716"/>
        <bgColor rgb="FFA6A6A6"/>
      </patternFill>
    </fill>
    <fill>
      <patternFill patternType="solid">
        <fgColor theme="9" tint="0.79998168889431442"/>
        <bgColor rgb="FFD9D9D9"/>
      </patternFill>
    </fill>
    <fill>
      <patternFill patternType="solid">
        <fgColor theme="3" tint="0.89999084444715716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9" tint="0.79998168889431442"/>
        <bgColor rgb="FFFFFFFF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1D252D"/>
      </left>
      <right style="thin">
        <color rgb="FF1D252D"/>
      </right>
      <top style="thin">
        <color rgb="FF1D252D"/>
      </top>
      <bottom style="thin">
        <color rgb="FF1D252D"/>
      </bottom>
      <diagonal/>
    </border>
    <border>
      <left style="thin">
        <color rgb="FF1D252D"/>
      </left>
      <right style="thin">
        <color rgb="FF1D252D"/>
      </right>
      <top style="thin">
        <color rgb="FF1D252D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2" borderId="0" applyNumberFormat="0" applyBorder="0" applyAlignment="0" applyProtection="0"/>
    <xf numFmtId="9" fontId="23" fillId="0" borderId="0" applyFont="0" applyFill="0" applyBorder="0" applyAlignment="0" applyProtection="0"/>
    <xf numFmtId="164" fontId="23" fillId="0" borderId="0" applyFont="0" applyFill="0" applyBorder="0" applyAlignment="0" applyProtection="0"/>
  </cellStyleXfs>
  <cellXfs count="308">
    <xf numFmtId="0" fontId="0" fillId="0" borderId="0" xfId="0"/>
    <xf numFmtId="165" fontId="2" fillId="3" borderId="3" xfId="1" applyNumberFormat="1" applyFont="1" applyFill="1" applyBorder="1" applyAlignment="1">
      <alignment horizontal="center" vertical="center"/>
    </xf>
    <xf numFmtId="165" fontId="0" fillId="0" borderId="0" xfId="1" applyNumberFormat="1" applyFont="1"/>
    <xf numFmtId="165" fontId="2" fillId="4" borderId="3" xfId="1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 readingOrder="2"/>
    </xf>
    <xf numFmtId="0" fontId="8" fillId="8" borderId="3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 readingOrder="2"/>
    </xf>
    <xf numFmtId="0" fontId="8" fillId="11" borderId="3" xfId="0" applyFont="1" applyFill="1" applyBorder="1" applyAlignment="1">
      <alignment horizontal="center"/>
    </xf>
    <xf numFmtId="0" fontId="8" fillId="11" borderId="3" xfId="0" applyFont="1" applyFill="1" applyBorder="1" applyAlignment="1">
      <alignment horizontal="center" readingOrder="2"/>
    </xf>
    <xf numFmtId="0" fontId="8" fillId="11" borderId="3" xfId="0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horizontal="center" vertical="center" readingOrder="2"/>
    </xf>
    <xf numFmtId="0" fontId="8" fillId="13" borderId="3" xfId="0" applyFont="1" applyFill="1" applyBorder="1" applyAlignment="1">
      <alignment horizontal="center"/>
    </xf>
    <xf numFmtId="0" fontId="8" fillId="13" borderId="3" xfId="0" applyFont="1" applyFill="1" applyBorder="1" applyAlignment="1">
      <alignment horizontal="center" readingOrder="2"/>
    </xf>
    <xf numFmtId="0" fontId="8" fillId="13" borderId="3" xfId="0" applyFont="1" applyFill="1" applyBorder="1" applyAlignment="1">
      <alignment horizontal="center" vertical="center"/>
    </xf>
    <xf numFmtId="0" fontId="8" fillId="13" borderId="3" xfId="0" applyFont="1" applyFill="1" applyBorder="1" applyAlignment="1">
      <alignment horizontal="center" vertical="center" readingOrder="2"/>
    </xf>
    <xf numFmtId="0" fontId="8" fillId="14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 readingOrder="2"/>
    </xf>
    <xf numFmtId="0" fontId="9" fillId="7" borderId="3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8" fillId="8" borderId="3" xfId="3" applyNumberFormat="1" applyFont="1" applyFill="1" applyBorder="1" applyAlignment="1">
      <alignment horizontal="center"/>
    </xf>
    <xf numFmtId="0" fontId="8" fillId="11" borderId="3" xfId="3" applyNumberFormat="1" applyFont="1" applyFill="1" applyBorder="1" applyAlignment="1">
      <alignment horizontal="center"/>
    </xf>
    <xf numFmtId="0" fontId="8" fillId="12" borderId="3" xfId="4" applyFont="1" applyFill="1" applyBorder="1" applyAlignment="1">
      <alignment horizontal="center" vertical="center"/>
    </xf>
    <xf numFmtId="0" fontId="8" fillId="8" borderId="3" xfId="3" applyNumberFormat="1" applyFont="1" applyFill="1" applyBorder="1" applyAlignment="1">
      <alignment horizontal="center" vertical="center"/>
    </xf>
    <xf numFmtId="0" fontId="8" fillId="11" borderId="3" xfId="3" applyNumberFormat="1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/>
    </xf>
    <xf numFmtId="0" fontId="3" fillId="10" borderId="3" xfId="0" applyFont="1" applyFill="1" applyBorder="1" applyAlignment="1">
      <alignment horizontal="center" vertical="center"/>
    </xf>
    <xf numFmtId="0" fontId="10" fillId="0" borderId="3" xfId="0" applyFont="1" applyBorder="1"/>
    <xf numFmtId="9" fontId="0" fillId="0" borderId="0" xfId="2" applyFont="1"/>
    <xf numFmtId="9" fontId="2" fillId="5" borderId="2" xfId="2" applyFont="1" applyFill="1" applyBorder="1" applyAlignment="1">
      <alignment horizontal="center" vertical="center"/>
    </xf>
    <xf numFmtId="9" fontId="2" fillId="4" borderId="3" xfId="2" applyFont="1" applyFill="1" applyBorder="1" applyAlignment="1">
      <alignment horizontal="center" vertical="center"/>
    </xf>
    <xf numFmtId="9" fontId="2" fillId="3" borderId="3" xfId="2" applyFont="1" applyFill="1" applyBorder="1" applyAlignment="1">
      <alignment horizontal="center" vertical="center"/>
    </xf>
    <xf numFmtId="9" fontId="0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66" fontId="0" fillId="0" borderId="0" xfId="3" applyNumberFormat="1" applyFont="1" applyAlignment="1">
      <alignment horizontal="center"/>
    </xf>
    <xf numFmtId="0" fontId="15" fillId="19" borderId="5" xfId="0" applyFont="1" applyFill="1" applyBorder="1" applyAlignment="1">
      <alignment vertical="center"/>
    </xf>
    <xf numFmtId="166" fontId="15" fillId="19" borderId="5" xfId="3" applyNumberFormat="1" applyFont="1" applyFill="1" applyBorder="1" applyAlignment="1">
      <alignment vertical="center"/>
    </xf>
    <xf numFmtId="9" fontId="15" fillId="19" borderId="5" xfId="2" applyFont="1" applyFill="1" applyBorder="1" applyAlignment="1">
      <alignment vertical="center"/>
    </xf>
    <xf numFmtId="165" fontId="2" fillId="20" borderId="5" xfId="3" applyNumberFormat="1" applyFont="1" applyFill="1" applyBorder="1" applyAlignment="1">
      <alignment vertical="center"/>
    </xf>
    <xf numFmtId="166" fontId="2" fillId="21" borderId="5" xfId="3" applyNumberFormat="1" applyFont="1" applyFill="1" applyBorder="1" applyAlignment="1"/>
    <xf numFmtId="166" fontId="2" fillId="20" borderId="5" xfId="3" applyNumberFormat="1" applyFont="1" applyFill="1" applyBorder="1" applyAlignment="1">
      <alignment vertical="center"/>
    </xf>
    <xf numFmtId="9" fontId="2" fillId="20" borderId="5" xfId="2" applyFont="1" applyFill="1" applyBorder="1" applyAlignment="1">
      <alignment vertical="center"/>
    </xf>
    <xf numFmtId="166" fontId="2" fillId="4" borderId="8" xfId="3" applyNumberFormat="1" applyFont="1" applyFill="1" applyBorder="1" applyAlignment="1">
      <alignment horizontal="center" vertical="center"/>
    </xf>
    <xf numFmtId="9" fontId="2" fillId="4" borderId="8" xfId="2" applyFont="1" applyFill="1" applyBorder="1" applyAlignment="1">
      <alignment horizontal="center" vertical="center"/>
    </xf>
    <xf numFmtId="166" fontId="2" fillId="20" borderId="8" xfId="3" applyNumberFormat="1" applyFont="1" applyFill="1" applyBorder="1" applyAlignment="1">
      <alignment horizontal="center" vertical="center"/>
    </xf>
    <xf numFmtId="9" fontId="2" fillId="20" borderId="8" xfId="2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9" fontId="11" fillId="0" borderId="3" xfId="2" applyFont="1" applyBorder="1" applyAlignment="1">
      <alignment horizontal="center"/>
    </xf>
    <xf numFmtId="9" fontId="2" fillId="21" borderId="5" xfId="2" applyFont="1" applyFill="1" applyBorder="1"/>
    <xf numFmtId="9" fontId="2" fillId="21" borderId="5" xfId="2" applyFont="1" applyFill="1" applyBorder="1" applyAlignment="1"/>
    <xf numFmtId="166" fontId="11" fillId="0" borderId="3" xfId="3" applyNumberFormat="1" applyFont="1" applyBorder="1" applyAlignment="1">
      <alignment horizontal="center"/>
    </xf>
    <xf numFmtId="0" fontId="7" fillId="6" borderId="2" xfId="0" applyFont="1" applyFill="1" applyBorder="1" applyAlignment="1">
      <alignment horizontal="center" vertical="center"/>
    </xf>
    <xf numFmtId="0" fontId="13" fillId="17" borderId="0" xfId="0" applyFont="1" applyFill="1" applyAlignment="1">
      <alignment vertical="center" wrapText="1" readingOrder="2"/>
    </xf>
    <xf numFmtId="165" fontId="6" fillId="0" borderId="3" xfId="1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9" fontId="6" fillId="0" borderId="3" xfId="2" applyFont="1" applyBorder="1" applyAlignment="1">
      <alignment horizontal="center"/>
    </xf>
    <xf numFmtId="0" fontId="2" fillId="21" borderId="5" xfId="0" applyFont="1" applyFill="1" applyBorder="1" applyAlignment="1">
      <alignment horizontal="center"/>
    </xf>
    <xf numFmtId="165" fontId="0" fillId="0" borderId="0" xfId="0" applyNumberFormat="1"/>
    <xf numFmtId="0" fontId="15" fillId="19" borderId="8" xfId="0" applyFont="1" applyFill="1" applyBorder="1" applyAlignment="1">
      <alignment horizontal="center" vertical="center"/>
    </xf>
    <xf numFmtId="0" fontId="15" fillId="19" borderId="9" xfId="0" applyFont="1" applyFill="1" applyBorder="1" applyAlignment="1">
      <alignment horizontal="center" vertical="center"/>
    </xf>
    <xf numFmtId="166" fontId="11" fillId="19" borderId="3" xfId="3" applyNumberFormat="1" applyFont="1" applyFill="1" applyBorder="1" applyAlignment="1">
      <alignment horizontal="center"/>
    </xf>
    <xf numFmtId="0" fontId="11" fillId="19" borderId="3" xfId="0" applyFont="1" applyFill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166" fontId="2" fillId="21" borderId="5" xfId="3" applyNumberFormat="1" applyFont="1" applyFill="1" applyBorder="1" applyAlignment="1">
      <alignment horizontal="center"/>
    </xf>
    <xf numFmtId="166" fontId="2" fillId="20" borderId="5" xfId="3" applyNumberFormat="1" applyFont="1" applyFill="1" applyBorder="1" applyAlignment="1">
      <alignment horizontal="center" vertical="center"/>
    </xf>
    <xf numFmtId="166" fontId="2" fillId="4" borderId="11" xfId="3" applyNumberFormat="1" applyFont="1" applyFill="1" applyBorder="1" applyAlignment="1">
      <alignment horizontal="center" vertical="center"/>
    </xf>
    <xf numFmtId="9" fontId="2" fillId="4" borderId="11" xfId="2" applyFont="1" applyFill="1" applyBorder="1" applyAlignment="1">
      <alignment horizontal="center" vertical="center"/>
    </xf>
    <xf numFmtId="9" fontId="2" fillId="20" borderId="12" xfId="2" applyFont="1" applyFill="1" applyBorder="1" applyAlignment="1">
      <alignment horizontal="center" vertical="center"/>
    </xf>
    <xf numFmtId="9" fontId="2" fillId="4" borderId="12" xfId="2" applyFont="1" applyFill="1" applyBorder="1" applyAlignment="1">
      <alignment horizontal="center" vertical="center"/>
    </xf>
    <xf numFmtId="166" fontId="2" fillId="20" borderId="3" xfId="3" applyNumberFormat="1" applyFont="1" applyFill="1" applyBorder="1" applyAlignment="1">
      <alignment horizontal="center" vertical="center"/>
    </xf>
    <xf numFmtId="9" fontId="2" fillId="20" borderId="3" xfId="2" applyFont="1" applyFill="1" applyBorder="1" applyAlignment="1">
      <alignment horizontal="center" vertical="center"/>
    </xf>
    <xf numFmtId="43" fontId="0" fillId="0" borderId="0" xfId="1" applyFont="1"/>
    <xf numFmtId="165" fontId="0" fillId="0" borderId="1" xfId="1" applyNumberFormat="1" applyFont="1" applyBorder="1"/>
    <xf numFmtId="165" fontId="0" fillId="0" borderId="3" xfId="1" applyNumberFormat="1" applyFont="1" applyBorder="1"/>
    <xf numFmtId="0" fontId="11" fillId="22" borderId="3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165" fontId="0" fillId="0" borderId="3" xfId="1" applyNumberFormat="1" applyFont="1" applyBorder="1" applyAlignment="1">
      <alignment horizontal="center"/>
    </xf>
    <xf numFmtId="165" fontId="11" fillId="0" borderId="0" xfId="1" applyNumberFormat="1" applyFont="1" applyAlignment="1">
      <alignment horizontal="center"/>
    </xf>
    <xf numFmtId="165" fontId="20" fillId="20" borderId="3" xfId="3" applyNumberFormat="1" applyFont="1" applyFill="1" applyBorder="1" applyAlignment="1">
      <alignment horizontal="center" vertical="center"/>
    </xf>
    <xf numFmtId="165" fontId="20" fillId="4" borderId="3" xfId="3" applyNumberFormat="1" applyFont="1" applyFill="1" applyBorder="1" applyAlignment="1">
      <alignment horizontal="center" vertical="center"/>
    </xf>
    <xf numFmtId="0" fontId="22" fillId="19" borderId="3" xfId="0" applyFont="1" applyFill="1" applyBorder="1" applyAlignment="1">
      <alignment horizontal="center" vertical="center"/>
    </xf>
    <xf numFmtId="165" fontId="21" fillId="7" borderId="3" xfId="3" applyNumberFormat="1" applyFont="1" applyFill="1" applyBorder="1" applyAlignment="1">
      <alignment horizontal="center" vertical="center"/>
    </xf>
    <xf numFmtId="9" fontId="21" fillId="7" borderId="3" xfId="2" applyFont="1" applyFill="1" applyBorder="1" applyAlignment="1">
      <alignment horizontal="center" vertical="center"/>
    </xf>
    <xf numFmtId="0" fontId="20" fillId="3" borderId="3" xfId="0" applyFont="1" applyFill="1" applyBorder="1" applyAlignment="1">
      <alignment horizontal="center" vertical="center"/>
    </xf>
    <xf numFmtId="166" fontId="20" fillId="3" borderId="3" xfId="3" applyNumberFormat="1" applyFont="1" applyFill="1" applyBorder="1" applyAlignment="1">
      <alignment horizontal="center" vertical="center"/>
    </xf>
    <xf numFmtId="9" fontId="20" fillId="3" borderId="3" xfId="2" applyFont="1" applyFill="1" applyBorder="1" applyAlignment="1">
      <alignment horizontal="center" vertical="center"/>
    </xf>
    <xf numFmtId="165" fontId="20" fillId="3" borderId="3" xfId="3" applyNumberFormat="1" applyFont="1" applyFill="1" applyBorder="1" applyAlignment="1">
      <alignment horizontal="center" vertical="center"/>
    </xf>
    <xf numFmtId="165" fontId="21" fillId="23" borderId="3" xfId="3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9" fontId="6" fillId="0" borderId="0" xfId="2" applyFont="1" applyAlignment="1">
      <alignment horizontal="center" vertical="center"/>
    </xf>
    <xf numFmtId="0" fontId="0" fillId="7" borderId="3" xfId="0" applyFill="1" applyBorder="1" applyAlignment="1">
      <alignment horizontal="center"/>
    </xf>
    <xf numFmtId="165" fontId="0" fillId="7" borderId="3" xfId="1" applyNumberFormat="1" applyFont="1" applyFill="1" applyBorder="1" applyAlignment="1">
      <alignment horizontal="center"/>
    </xf>
    <xf numFmtId="165" fontId="0" fillId="7" borderId="3" xfId="1" applyNumberFormat="1" applyFont="1" applyFill="1" applyBorder="1"/>
    <xf numFmtId="0" fontId="0" fillId="7" borderId="0" xfId="0" applyFill="1"/>
    <xf numFmtId="167" fontId="6" fillId="0" borderId="3" xfId="1" applyNumberFormat="1" applyFont="1" applyBorder="1" applyAlignment="1">
      <alignment horizontal="center"/>
    </xf>
    <xf numFmtId="0" fontId="6" fillId="23" borderId="3" xfId="0" applyFont="1" applyFill="1" applyBorder="1" applyAlignment="1">
      <alignment horizontal="center" vertical="center"/>
    </xf>
    <xf numFmtId="0" fontId="0" fillId="23" borderId="0" xfId="0" applyFill="1"/>
    <xf numFmtId="165" fontId="2" fillId="15" borderId="1" xfId="1" applyNumberFormat="1" applyFont="1" applyFill="1" applyBorder="1" applyAlignment="1">
      <alignment horizontal="center" vertical="center"/>
    </xf>
    <xf numFmtId="165" fontId="2" fillId="15" borderId="3" xfId="1" applyNumberFormat="1" applyFont="1" applyFill="1" applyBorder="1" applyAlignment="1">
      <alignment horizontal="center" vertical="center"/>
    </xf>
    <xf numFmtId="165" fontId="2" fillId="16" borderId="3" xfId="1" applyNumberFormat="1" applyFont="1" applyFill="1" applyBorder="1" applyAlignment="1">
      <alignment horizontal="center" vertical="center"/>
    </xf>
    <xf numFmtId="165" fontId="11" fillId="22" borderId="3" xfId="1" applyNumberFormat="1" applyFont="1" applyFill="1" applyBorder="1" applyAlignment="1">
      <alignment horizontal="center"/>
    </xf>
    <xf numFmtId="165" fontId="11" fillId="24" borderId="3" xfId="1" applyNumberFormat="1" applyFont="1" applyFill="1" applyBorder="1" applyAlignment="1">
      <alignment horizontal="center"/>
    </xf>
    <xf numFmtId="0" fontId="15" fillId="19" borderId="5" xfId="2" applyNumberFormat="1" applyFont="1" applyFill="1" applyBorder="1" applyAlignment="1">
      <alignment vertical="center"/>
    </xf>
    <xf numFmtId="0" fontId="11" fillId="0" borderId="3" xfId="3" applyNumberFormat="1" applyFont="1" applyBorder="1" applyAlignment="1">
      <alignment horizontal="center"/>
    </xf>
    <xf numFmtId="0" fontId="0" fillId="0" borderId="0" xfId="1" applyNumberFormat="1" applyFont="1"/>
    <xf numFmtId="0" fontId="20" fillId="25" borderId="3" xfId="0" applyFont="1" applyFill="1" applyBorder="1" applyAlignment="1">
      <alignment horizontal="center" vertical="center"/>
    </xf>
    <xf numFmtId="9" fontId="20" fillId="25" borderId="3" xfId="5" applyFont="1" applyFill="1" applyBorder="1" applyAlignment="1">
      <alignment horizontal="center" vertical="center"/>
    </xf>
    <xf numFmtId="167" fontId="20" fillId="25" borderId="3" xfId="6" applyNumberFormat="1" applyFont="1" applyFill="1" applyBorder="1" applyAlignment="1">
      <alignment horizontal="center" vertical="center"/>
    </xf>
    <xf numFmtId="0" fontId="21" fillId="26" borderId="3" xfId="0" applyFont="1" applyFill="1" applyBorder="1" applyAlignment="1">
      <alignment horizontal="center" vertical="center"/>
    </xf>
    <xf numFmtId="0" fontId="21" fillId="27" borderId="3" xfId="3" applyNumberFormat="1" applyFont="1" applyFill="1" applyBorder="1" applyAlignment="1">
      <alignment horizontal="center" vertical="center"/>
    </xf>
    <xf numFmtId="0" fontId="21" fillId="27" borderId="3" xfId="0" applyFont="1" applyFill="1" applyBorder="1" applyAlignment="1">
      <alignment horizontal="center" vertical="center"/>
    </xf>
    <xf numFmtId="165" fontId="21" fillId="27" borderId="3" xfId="0" applyNumberFormat="1" applyFont="1" applyFill="1" applyBorder="1" applyAlignment="1">
      <alignment horizontal="center" vertical="center"/>
    </xf>
    <xf numFmtId="9" fontId="21" fillId="27" borderId="3" xfId="2" applyFont="1" applyFill="1" applyBorder="1" applyAlignment="1">
      <alignment horizontal="center" vertical="center"/>
    </xf>
    <xf numFmtId="167" fontId="21" fillId="27" borderId="13" xfId="1" applyNumberFormat="1" applyFont="1" applyFill="1" applyBorder="1" applyAlignment="1">
      <alignment horizontal="center" vertical="center"/>
    </xf>
    <xf numFmtId="0" fontId="24" fillId="28" borderId="3" xfId="0" applyFont="1" applyFill="1" applyBorder="1" applyAlignment="1">
      <alignment horizontal="center" vertical="center"/>
    </xf>
    <xf numFmtId="0" fontId="21" fillId="28" borderId="3" xfId="0" applyFont="1" applyFill="1" applyBorder="1" applyAlignment="1">
      <alignment horizontal="center" vertical="center"/>
    </xf>
    <xf numFmtId="0" fontId="21" fillId="28" borderId="3" xfId="3" applyNumberFormat="1" applyFont="1" applyFill="1" applyBorder="1" applyAlignment="1">
      <alignment horizontal="center" vertical="center"/>
    </xf>
    <xf numFmtId="165" fontId="21" fillId="28" borderId="3" xfId="0" applyNumberFormat="1" applyFont="1" applyFill="1" applyBorder="1" applyAlignment="1">
      <alignment horizontal="center" vertical="center"/>
    </xf>
    <xf numFmtId="9" fontId="21" fillId="28" borderId="3" xfId="2" applyFont="1" applyFill="1" applyBorder="1" applyAlignment="1">
      <alignment horizontal="center" vertical="center"/>
    </xf>
    <xf numFmtId="167" fontId="21" fillId="29" borderId="13" xfId="1" applyNumberFormat="1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3" applyNumberFormat="1" applyFont="1" applyFill="1" applyBorder="1" applyAlignment="1">
      <alignment horizontal="center" vertical="center"/>
    </xf>
    <xf numFmtId="165" fontId="6" fillId="7" borderId="3" xfId="0" applyNumberFormat="1" applyFont="1" applyFill="1" applyBorder="1" applyAlignment="1">
      <alignment horizontal="center" vertical="center"/>
    </xf>
    <xf numFmtId="9" fontId="6" fillId="7" borderId="3" xfId="2" applyFont="1" applyFill="1" applyBorder="1" applyAlignment="1">
      <alignment horizontal="center" vertical="center"/>
    </xf>
    <xf numFmtId="167" fontId="6" fillId="8" borderId="13" xfId="1" applyNumberFormat="1" applyFont="1" applyFill="1" applyBorder="1" applyAlignment="1">
      <alignment horizontal="center" vertical="center"/>
    </xf>
    <xf numFmtId="167" fontId="6" fillId="11" borderId="13" xfId="1" applyNumberFormat="1" applyFont="1" applyFill="1" applyBorder="1" applyAlignment="1">
      <alignment horizontal="center" vertical="center"/>
    </xf>
    <xf numFmtId="0" fontId="21" fillId="26" borderId="3" xfId="3" applyNumberFormat="1" applyFont="1" applyFill="1" applyBorder="1" applyAlignment="1">
      <alignment horizontal="center" vertical="center"/>
    </xf>
    <xf numFmtId="165" fontId="21" fillId="26" borderId="3" xfId="0" applyNumberFormat="1" applyFont="1" applyFill="1" applyBorder="1" applyAlignment="1">
      <alignment horizontal="center" vertical="center"/>
    </xf>
    <xf numFmtId="9" fontId="21" fillId="26" borderId="3" xfId="2" applyFont="1" applyFill="1" applyBorder="1" applyAlignment="1">
      <alignment horizontal="center" vertical="center"/>
    </xf>
    <xf numFmtId="167" fontId="21" fillId="30" borderId="13" xfId="1" applyNumberFormat="1" applyFont="1" applyFill="1" applyBorder="1" applyAlignment="1">
      <alignment horizontal="center" vertical="center"/>
    </xf>
    <xf numFmtId="0" fontId="6" fillId="11" borderId="3" xfId="3" applyNumberFormat="1" applyFont="1" applyFill="1" applyBorder="1" applyAlignment="1">
      <alignment horizontal="center" vertical="center"/>
    </xf>
    <xf numFmtId="0" fontId="6" fillId="11" borderId="3" xfId="0" applyFont="1" applyFill="1" applyBorder="1" applyAlignment="1">
      <alignment horizontal="center" vertical="center"/>
    </xf>
    <xf numFmtId="165" fontId="6" fillId="11" borderId="3" xfId="0" applyNumberFormat="1" applyFont="1" applyFill="1" applyBorder="1" applyAlignment="1">
      <alignment horizontal="center" vertical="center"/>
    </xf>
    <xf numFmtId="9" fontId="6" fillId="11" borderId="3" xfId="2" applyFont="1" applyFill="1" applyBorder="1" applyAlignment="1">
      <alignment horizontal="center" vertical="center"/>
    </xf>
    <xf numFmtId="0" fontId="6" fillId="7" borderId="3" xfId="4" applyNumberFormat="1" applyFont="1" applyFill="1" applyBorder="1" applyAlignment="1">
      <alignment horizontal="center" vertical="center"/>
    </xf>
    <xf numFmtId="167" fontId="6" fillId="7" borderId="13" xfId="1" applyNumberFormat="1" applyFont="1" applyFill="1" applyBorder="1" applyAlignment="1">
      <alignment horizontal="center" vertical="center"/>
    </xf>
    <xf numFmtId="0" fontId="6" fillId="8" borderId="3" xfId="3" applyNumberFormat="1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165" fontId="6" fillId="8" borderId="3" xfId="0" applyNumberFormat="1" applyFont="1" applyFill="1" applyBorder="1" applyAlignment="1">
      <alignment horizontal="center" vertical="center"/>
    </xf>
    <xf numFmtId="9" fontId="6" fillId="8" borderId="3" xfId="2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21" fillId="32" borderId="3" xfId="0" applyFont="1" applyFill="1" applyBorder="1" applyAlignment="1">
      <alignment horizontal="center" vertical="center"/>
    </xf>
    <xf numFmtId="167" fontId="6" fillId="8" borderId="3" xfId="1" applyNumberFormat="1" applyFont="1" applyFill="1" applyBorder="1" applyAlignment="1">
      <alignment horizontal="center" vertical="center"/>
    </xf>
    <xf numFmtId="167" fontId="6" fillId="11" borderId="3" xfId="1" applyNumberFormat="1" applyFont="1" applyFill="1" applyBorder="1" applyAlignment="1">
      <alignment horizontal="center" vertical="center"/>
    </xf>
    <xf numFmtId="9" fontId="21" fillId="26" borderId="3" xfId="5" applyFont="1" applyFill="1" applyBorder="1" applyAlignment="1">
      <alignment horizontal="center" vertical="center"/>
    </xf>
    <xf numFmtId="167" fontId="21" fillId="26" borderId="3" xfId="6" applyNumberFormat="1" applyFont="1" applyFill="1" applyBorder="1" applyAlignment="1">
      <alignment horizontal="center" vertical="center"/>
    </xf>
    <xf numFmtId="9" fontId="21" fillId="28" borderId="3" xfId="5" applyFont="1" applyFill="1" applyBorder="1" applyAlignment="1">
      <alignment horizontal="center" vertical="center"/>
    </xf>
    <xf numFmtId="167" fontId="21" fillId="28" borderId="3" xfId="6" applyNumberFormat="1" applyFont="1" applyFill="1" applyBorder="1" applyAlignment="1">
      <alignment horizontal="center" vertical="center"/>
    </xf>
    <xf numFmtId="9" fontId="6" fillId="7" borderId="3" xfId="5" applyFont="1" applyFill="1" applyBorder="1" applyAlignment="1">
      <alignment horizontal="center" vertical="center"/>
    </xf>
    <xf numFmtId="167" fontId="6" fillId="7" borderId="3" xfId="6" applyNumberFormat="1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/>
    </xf>
    <xf numFmtId="1" fontId="6" fillId="7" borderId="3" xfId="0" applyNumberFormat="1" applyFont="1" applyFill="1" applyBorder="1" applyAlignment="1">
      <alignment horizontal="center" vertical="center"/>
    </xf>
    <xf numFmtId="9" fontId="21" fillId="32" borderId="3" xfId="5" applyFont="1" applyFill="1" applyBorder="1" applyAlignment="1">
      <alignment horizontal="center" vertical="center"/>
    </xf>
    <xf numFmtId="167" fontId="21" fillId="32" borderId="3" xfId="6" applyNumberFormat="1" applyFont="1" applyFill="1" applyBorder="1" applyAlignment="1">
      <alignment horizontal="center" vertical="center"/>
    </xf>
    <xf numFmtId="0" fontId="25" fillId="33" borderId="3" xfId="0" applyFont="1" applyFill="1" applyBorder="1" applyAlignment="1">
      <alignment horizontal="center" vertical="center"/>
    </xf>
    <xf numFmtId="9" fontId="25" fillId="33" borderId="3" xfId="5" applyFont="1" applyFill="1" applyBorder="1" applyAlignment="1">
      <alignment horizontal="center" vertical="center"/>
    </xf>
    <xf numFmtId="167" fontId="25" fillId="33" borderId="3" xfId="6" applyNumberFormat="1" applyFont="1" applyFill="1" applyBorder="1" applyAlignment="1">
      <alignment horizontal="center" vertical="center"/>
    </xf>
    <xf numFmtId="9" fontId="21" fillId="28" borderId="4" xfId="5" applyFont="1" applyFill="1" applyBorder="1" applyAlignment="1">
      <alignment horizontal="center" vertical="center"/>
    </xf>
    <xf numFmtId="167" fontId="22" fillId="28" borderId="3" xfId="6" applyNumberFormat="1" applyFont="1" applyFill="1" applyBorder="1" applyAlignment="1">
      <alignment horizontal="center" vertical="center"/>
    </xf>
    <xf numFmtId="9" fontId="6" fillId="7" borderId="4" xfId="5" applyFont="1" applyFill="1" applyBorder="1" applyAlignment="1">
      <alignment horizontal="center" vertical="center"/>
    </xf>
    <xf numFmtId="167" fontId="21" fillId="7" borderId="3" xfId="6" applyNumberFormat="1" applyFont="1" applyFill="1" applyBorder="1" applyAlignment="1">
      <alignment horizontal="center" vertical="center"/>
    </xf>
    <xf numFmtId="9" fontId="21" fillId="26" borderId="4" xfId="5" applyFont="1" applyFill="1" applyBorder="1" applyAlignment="1">
      <alignment horizontal="center" vertical="center"/>
    </xf>
    <xf numFmtId="9" fontId="6" fillId="23" borderId="4" xfId="5" applyFont="1" applyFill="1" applyBorder="1" applyAlignment="1">
      <alignment horizontal="center" vertical="center"/>
    </xf>
    <xf numFmtId="0" fontId="21" fillId="27" borderId="3" xfId="0" applyFont="1" applyFill="1" applyBorder="1" applyAlignment="1">
      <alignment horizontal="center"/>
    </xf>
    <xf numFmtId="0" fontId="21" fillId="32" borderId="3" xfId="0" applyFont="1" applyFill="1" applyBorder="1" applyAlignment="1">
      <alignment horizontal="center" vertical="center" readingOrder="2"/>
    </xf>
    <xf numFmtId="0" fontId="21" fillId="27" borderId="3" xfId="0" applyFont="1" applyFill="1" applyBorder="1" applyAlignment="1">
      <alignment horizontal="center" vertical="center" readingOrder="2"/>
    </xf>
    <xf numFmtId="167" fontId="21" fillId="27" borderId="3" xfId="0" applyNumberFormat="1" applyFont="1" applyFill="1" applyBorder="1" applyAlignment="1">
      <alignment horizontal="center" vertical="center"/>
    </xf>
    <xf numFmtId="0" fontId="24" fillId="29" borderId="3" xfId="0" applyFont="1" applyFill="1" applyBorder="1" applyAlignment="1">
      <alignment horizontal="center" vertical="center"/>
    </xf>
    <xf numFmtId="0" fontId="24" fillId="29" borderId="3" xfId="0" applyFont="1" applyFill="1" applyBorder="1" applyAlignment="1">
      <alignment horizontal="center"/>
    </xf>
    <xf numFmtId="0" fontId="24" fillId="29" borderId="3" xfId="0" applyFont="1" applyFill="1" applyBorder="1" applyAlignment="1">
      <alignment horizontal="center" vertical="center" readingOrder="2"/>
    </xf>
    <xf numFmtId="167" fontId="24" fillId="29" borderId="3" xfId="0" applyNumberFormat="1" applyFont="1" applyFill="1" applyBorder="1" applyAlignment="1">
      <alignment horizontal="center" vertical="center"/>
    </xf>
    <xf numFmtId="0" fontId="6" fillId="13" borderId="3" xfId="0" applyFont="1" applyFill="1" applyBorder="1" applyAlignment="1">
      <alignment horizontal="center" vertical="center"/>
    </xf>
    <xf numFmtId="0" fontId="6" fillId="13" borderId="3" xfId="0" applyFont="1" applyFill="1" applyBorder="1" applyAlignment="1">
      <alignment horizontal="center"/>
    </xf>
    <xf numFmtId="0" fontId="6" fillId="13" borderId="3" xfId="0" applyFont="1" applyFill="1" applyBorder="1" applyAlignment="1">
      <alignment horizontal="center" vertical="center" readingOrder="2"/>
    </xf>
    <xf numFmtId="167" fontId="6" fillId="13" borderId="3" xfId="0" applyNumberFormat="1" applyFont="1" applyFill="1" applyBorder="1" applyAlignment="1">
      <alignment horizontal="center" vertical="center"/>
    </xf>
    <xf numFmtId="9" fontId="6" fillId="13" borderId="3" xfId="0" applyNumberFormat="1" applyFont="1" applyFill="1" applyBorder="1" applyAlignment="1">
      <alignment horizontal="center" vertical="center"/>
    </xf>
    <xf numFmtId="0" fontId="24" fillId="33" borderId="3" xfId="0" applyFont="1" applyFill="1" applyBorder="1" applyAlignment="1">
      <alignment horizontal="center" vertical="center"/>
    </xf>
    <xf numFmtId="0" fontId="24" fillId="31" borderId="3" xfId="0" applyFont="1" applyFill="1" applyBorder="1" applyAlignment="1">
      <alignment horizontal="center" vertical="center" readingOrder="2"/>
    </xf>
    <xf numFmtId="0" fontId="6" fillId="14" borderId="3" xfId="0" applyFont="1" applyFill="1" applyBorder="1" applyAlignment="1">
      <alignment horizontal="center"/>
    </xf>
    <xf numFmtId="0" fontId="21" fillId="30" borderId="3" xfId="0" applyFont="1" applyFill="1" applyBorder="1" applyAlignment="1">
      <alignment horizontal="center" vertical="center" readingOrder="2"/>
    </xf>
    <xf numFmtId="0" fontId="21" fillId="30" borderId="3" xfId="0" applyFont="1" applyFill="1" applyBorder="1" applyAlignment="1">
      <alignment horizontal="center" vertical="center"/>
    </xf>
    <xf numFmtId="167" fontId="21" fillId="30" borderId="3" xfId="0" applyNumberFormat="1" applyFont="1" applyFill="1" applyBorder="1" applyAlignment="1">
      <alignment horizontal="center" vertical="center"/>
    </xf>
    <xf numFmtId="0" fontId="24" fillId="33" borderId="3" xfId="0" applyFont="1" applyFill="1" applyBorder="1" applyAlignment="1">
      <alignment horizontal="center" vertical="center" readingOrder="2"/>
    </xf>
    <xf numFmtId="0" fontId="24" fillId="31" borderId="3" xfId="0" applyFont="1" applyFill="1" applyBorder="1" applyAlignment="1">
      <alignment horizontal="center" vertical="center"/>
    </xf>
    <xf numFmtId="167" fontId="24" fillId="31" borderId="3" xfId="0" applyNumberFormat="1" applyFont="1" applyFill="1" applyBorder="1" applyAlignment="1">
      <alignment horizontal="center" vertical="center"/>
    </xf>
    <xf numFmtId="167" fontId="6" fillId="7" borderId="3" xfId="3" applyNumberFormat="1" applyFont="1" applyFill="1" applyBorder="1" applyAlignment="1">
      <alignment horizontal="center"/>
    </xf>
    <xf numFmtId="0" fontId="24" fillId="31" borderId="3" xfId="0" applyFont="1" applyFill="1" applyBorder="1" applyAlignment="1">
      <alignment horizontal="center"/>
    </xf>
    <xf numFmtId="0" fontId="6" fillId="7" borderId="0" xfId="0" applyFont="1" applyFill="1"/>
    <xf numFmtId="165" fontId="20" fillId="4" borderId="4" xfId="3" applyNumberFormat="1" applyFont="1" applyFill="1" applyBorder="1" applyAlignment="1">
      <alignment vertical="center"/>
    </xf>
    <xf numFmtId="165" fontId="20" fillId="4" borderId="5" xfId="3" applyNumberFormat="1" applyFont="1" applyFill="1" applyBorder="1" applyAlignment="1">
      <alignment vertical="center"/>
    </xf>
    <xf numFmtId="165" fontId="20" fillId="4" borderId="1" xfId="3" applyNumberFormat="1" applyFont="1" applyFill="1" applyBorder="1" applyAlignment="1">
      <alignment vertical="center"/>
    </xf>
    <xf numFmtId="0" fontId="21" fillId="19" borderId="3" xfId="0" applyFont="1" applyFill="1" applyBorder="1" applyAlignment="1">
      <alignment vertical="center"/>
    </xf>
    <xf numFmtId="0" fontId="19" fillId="17" borderId="0" xfId="0" applyFont="1" applyFill="1" applyAlignment="1">
      <alignment vertical="center" wrapText="1" readingOrder="2"/>
    </xf>
    <xf numFmtId="165" fontId="2" fillId="4" borderId="4" xfId="1" applyNumberFormat="1" applyFont="1" applyFill="1" applyBorder="1" applyAlignment="1">
      <alignment vertical="center"/>
    </xf>
    <xf numFmtId="165" fontId="2" fillId="4" borderId="5" xfId="1" applyNumberFormat="1" applyFont="1" applyFill="1" applyBorder="1" applyAlignment="1">
      <alignment vertical="center"/>
    </xf>
    <xf numFmtId="165" fontId="2" fillId="4" borderId="1" xfId="1" applyNumberFormat="1" applyFont="1" applyFill="1" applyBorder="1" applyAlignment="1">
      <alignment vertical="center"/>
    </xf>
    <xf numFmtId="9" fontId="20" fillId="4" borderId="3" xfId="2" applyFont="1" applyFill="1" applyBorder="1" applyAlignment="1">
      <alignment horizontal="center" vertical="center"/>
    </xf>
    <xf numFmtId="0" fontId="26" fillId="28" borderId="3" xfId="0" applyFont="1" applyFill="1" applyBorder="1" applyAlignment="1">
      <alignment horizontal="center" vertical="center"/>
    </xf>
    <xf numFmtId="0" fontId="6" fillId="28" borderId="3" xfId="0" applyFont="1" applyFill="1" applyBorder="1" applyAlignment="1">
      <alignment horizontal="center" vertical="center"/>
    </xf>
    <xf numFmtId="0" fontId="6" fillId="28" borderId="3" xfId="3" applyNumberFormat="1" applyFont="1" applyFill="1" applyBorder="1" applyAlignment="1">
      <alignment horizontal="center" vertical="center"/>
    </xf>
    <xf numFmtId="165" fontId="6" fillId="28" borderId="3" xfId="0" applyNumberFormat="1" applyFont="1" applyFill="1" applyBorder="1" applyAlignment="1">
      <alignment horizontal="center" vertical="center"/>
    </xf>
    <xf numFmtId="9" fontId="6" fillId="28" borderId="3" xfId="2" applyFont="1" applyFill="1" applyBorder="1" applyAlignment="1">
      <alignment horizontal="center" vertical="center"/>
    </xf>
    <xf numFmtId="167" fontId="6" fillId="29" borderId="13" xfId="1" applyNumberFormat="1" applyFont="1" applyFill="1" applyBorder="1" applyAlignment="1">
      <alignment horizontal="center" vertical="center"/>
    </xf>
    <xf numFmtId="167" fontId="6" fillId="31" borderId="13" xfId="1" applyNumberFormat="1" applyFont="1" applyFill="1" applyBorder="1" applyAlignment="1">
      <alignment horizontal="center" vertical="center"/>
    </xf>
    <xf numFmtId="0" fontId="6" fillId="26" borderId="3" xfId="0" applyFont="1" applyFill="1" applyBorder="1" applyAlignment="1">
      <alignment horizontal="center" vertical="center"/>
    </xf>
    <xf numFmtId="0" fontId="6" fillId="27" borderId="3" xfId="3" applyNumberFormat="1" applyFont="1" applyFill="1" applyBorder="1" applyAlignment="1">
      <alignment horizontal="center" vertical="center"/>
    </xf>
    <xf numFmtId="0" fontId="6" fillId="27" borderId="3" xfId="0" applyFont="1" applyFill="1" applyBorder="1" applyAlignment="1">
      <alignment horizontal="center" vertical="center"/>
    </xf>
    <xf numFmtId="165" fontId="6" fillId="27" borderId="3" xfId="0" applyNumberFormat="1" applyFont="1" applyFill="1" applyBorder="1" applyAlignment="1">
      <alignment horizontal="center" vertical="center"/>
    </xf>
    <xf numFmtId="9" fontId="6" fillId="27" borderId="3" xfId="2" applyFont="1" applyFill="1" applyBorder="1" applyAlignment="1">
      <alignment horizontal="center" vertical="center"/>
    </xf>
    <xf numFmtId="167" fontId="6" fillId="27" borderId="13" xfId="1" applyNumberFormat="1" applyFont="1" applyFill="1" applyBorder="1" applyAlignment="1">
      <alignment horizontal="center" vertical="center"/>
    </xf>
    <xf numFmtId="0" fontId="6" fillId="31" borderId="3" xfId="3" applyNumberFormat="1" applyFont="1" applyFill="1" applyBorder="1" applyAlignment="1">
      <alignment horizontal="center" vertical="center"/>
    </xf>
    <xf numFmtId="0" fontId="6" fillId="31" borderId="3" xfId="0" applyFont="1" applyFill="1" applyBorder="1" applyAlignment="1">
      <alignment horizontal="center" vertical="center"/>
    </xf>
    <xf numFmtId="165" fontId="6" fillId="31" borderId="3" xfId="0" applyNumberFormat="1" applyFont="1" applyFill="1" applyBorder="1" applyAlignment="1">
      <alignment horizontal="center" vertical="center"/>
    </xf>
    <xf numFmtId="167" fontId="6" fillId="30" borderId="13" xfId="1" applyNumberFormat="1" applyFont="1" applyFill="1" applyBorder="1" applyAlignment="1">
      <alignment horizontal="center" vertical="center"/>
    </xf>
    <xf numFmtId="0" fontId="6" fillId="26" borderId="3" xfId="3" applyNumberFormat="1" applyFont="1" applyFill="1" applyBorder="1" applyAlignment="1">
      <alignment horizontal="center" vertical="center"/>
    </xf>
    <xf numFmtId="165" fontId="6" fillId="26" borderId="3" xfId="0" applyNumberFormat="1" applyFont="1" applyFill="1" applyBorder="1" applyAlignment="1">
      <alignment horizontal="center" vertical="center"/>
    </xf>
    <xf numFmtId="9" fontId="6" fillId="26" borderId="3" xfId="2" applyFont="1" applyFill="1" applyBorder="1" applyAlignment="1">
      <alignment horizontal="center" vertical="center"/>
    </xf>
    <xf numFmtId="9" fontId="6" fillId="31" borderId="3" xfId="2" applyFont="1" applyFill="1" applyBorder="1" applyAlignment="1">
      <alignment horizontal="center" vertical="center"/>
    </xf>
    <xf numFmtId="0" fontId="6" fillId="32" borderId="3" xfId="0" applyFont="1" applyFill="1" applyBorder="1" applyAlignment="1">
      <alignment horizontal="center" vertical="center"/>
    </xf>
    <xf numFmtId="167" fontId="6" fillId="30" borderId="14" xfId="1" applyNumberFormat="1" applyFont="1" applyFill="1" applyBorder="1" applyAlignment="1">
      <alignment horizontal="center" vertical="center"/>
    </xf>
    <xf numFmtId="9" fontId="6" fillId="28" borderId="3" xfId="5" applyFont="1" applyFill="1" applyBorder="1" applyAlignment="1">
      <alignment horizontal="center" vertical="center"/>
    </xf>
    <xf numFmtId="167" fontId="6" fillId="28" borderId="3" xfId="6" applyNumberFormat="1" applyFont="1" applyFill="1" applyBorder="1" applyAlignment="1">
      <alignment horizontal="center" vertical="center"/>
    </xf>
    <xf numFmtId="9" fontId="6" fillId="26" borderId="3" xfId="5" applyFont="1" applyFill="1" applyBorder="1" applyAlignment="1">
      <alignment horizontal="center" vertical="center"/>
    </xf>
    <xf numFmtId="167" fontId="6" fillId="26" borderId="3" xfId="6" applyNumberFormat="1" applyFont="1" applyFill="1" applyBorder="1" applyAlignment="1">
      <alignment horizontal="center" vertical="center"/>
    </xf>
    <xf numFmtId="0" fontId="27" fillId="25" borderId="3" xfId="0" applyFont="1" applyFill="1" applyBorder="1" applyAlignment="1">
      <alignment horizontal="center" vertical="center"/>
    </xf>
    <xf numFmtId="9" fontId="27" fillId="25" borderId="3" xfId="5" applyFont="1" applyFill="1" applyBorder="1" applyAlignment="1">
      <alignment horizontal="center" vertical="center"/>
    </xf>
    <xf numFmtId="167" fontId="27" fillId="25" borderId="3" xfId="6" applyNumberFormat="1" applyFont="1" applyFill="1" applyBorder="1" applyAlignment="1">
      <alignment horizontal="center" vertical="center"/>
    </xf>
    <xf numFmtId="0" fontId="28" fillId="33" borderId="3" xfId="0" applyFont="1" applyFill="1" applyBorder="1" applyAlignment="1">
      <alignment horizontal="center" vertical="center"/>
    </xf>
    <xf numFmtId="9" fontId="28" fillId="33" borderId="3" xfId="5" applyFont="1" applyFill="1" applyBorder="1" applyAlignment="1">
      <alignment horizontal="center" vertical="center"/>
    </xf>
    <xf numFmtId="167" fontId="28" fillId="33" borderId="3" xfId="6" applyNumberFormat="1" applyFont="1" applyFill="1" applyBorder="1" applyAlignment="1">
      <alignment horizontal="center" vertical="center"/>
    </xf>
    <xf numFmtId="9" fontId="6" fillId="32" borderId="3" xfId="5" applyFont="1" applyFill="1" applyBorder="1" applyAlignment="1">
      <alignment horizontal="center" vertical="center"/>
    </xf>
    <xf numFmtId="167" fontId="6" fillId="32" borderId="3" xfId="6" applyNumberFormat="1" applyFont="1" applyFill="1" applyBorder="1" applyAlignment="1">
      <alignment horizontal="center" vertical="center"/>
    </xf>
    <xf numFmtId="9" fontId="27" fillId="25" borderId="4" xfId="5" applyFont="1" applyFill="1" applyBorder="1" applyAlignment="1">
      <alignment horizontal="center" vertical="center"/>
    </xf>
    <xf numFmtId="9" fontId="6" fillId="28" borderId="4" xfId="5" applyFont="1" applyFill="1" applyBorder="1" applyAlignment="1">
      <alignment horizontal="center" vertical="center"/>
    </xf>
    <xf numFmtId="167" fontId="29" fillId="28" borderId="3" xfId="6" applyNumberFormat="1" applyFont="1" applyFill="1" applyBorder="1" applyAlignment="1">
      <alignment horizontal="center" vertical="center"/>
    </xf>
    <xf numFmtId="0" fontId="6" fillId="26" borderId="10" xfId="0" applyFont="1" applyFill="1" applyBorder="1" applyAlignment="1">
      <alignment horizontal="center" vertical="center"/>
    </xf>
    <xf numFmtId="9" fontId="6" fillId="26" borderId="6" xfId="5" applyFont="1" applyFill="1" applyBorder="1" applyAlignment="1">
      <alignment horizontal="center" vertical="center"/>
    </xf>
    <xf numFmtId="9" fontId="6" fillId="26" borderId="4" xfId="5" applyFont="1" applyFill="1" applyBorder="1" applyAlignment="1">
      <alignment horizontal="center" vertical="center"/>
    </xf>
    <xf numFmtId="0" fontId="26" fillId="29" borderId="3" xfId="0" applyFont="1" applyFill="1" applyBorder="1" applyAlignment="1">
      <alignment horizontal="center" vertical="center"/>
    </xf>
    <xf numFmtId="0" fontId="26" fillId="29" borderId="3" xfId="0" applyFont="1" applyFill="1" applyBorder="1" applyAlignment="1">
      <alignment horizontal="center"/>
    </xf>
    <xf numFmtId="0" fontId="26" fillId="29" borderId="3" xfId="0" applyFont="1" applyFill="1" applyBorder="1" applyAlignment="1">
      <alignment horizontal="center" vertical="center" readingOrder="2"/>
    </xf>
    <xf numFmtId="167" fontId="26" fillId="29" borderId="3" xfId="0" applyNumberFormat="1" applyFont="1" applyFill="1" applyBorder="1" applyAlignment="1">
      <alignment horizontal="center" vertical="center"/>
    </xf>
    <xf numFmtId="0" fontId="26" fillId="34" borderId="3" xfId="0" applyFont="1" applyFill="1" applyBorder="1" applyAlignment="1">
      <alignment horizontal="center" vertical="center"/>
    </xf>
    <xf numFmtId="0" fontId="26" fillId="34" borderId="3" xfId="0" applyFont="1" applyFill="1" applyBorder="1" applyAlignment="1">
      <alignment horizontal="center"/>
    </xf>
    <xf numFmtId="0" fontId="26" fillId="33" borderId="3" xfId="0" applyFont="1" applyFill="1" applyBorder="1" applyAlignment="1">
      <alignment horizontal="center" vertical="center"/>
    </xf>
    <xf numFmtId="0" fontId="26" fillId="34" borderId="3" xfId="0" applyFont="1" applyFill="1" applyBorder="1" applyAlignment="1">
      <alignment horizontal="center" vertical="center" readingOrder="2"/>
    </xf>
    <xf numFmtId="0" fontId="26" fillId="31" borderId="3" xfId="0" applyFont="1" applyFill="1" applyBorder="1" applyAlignment="1">
      <alignment horizontal="center" vertical="center" readingOrder="2"/>
    </xf>
    <xf numFmtId="0" fontId="6" fillId="27" borderId="3" xfId="0" applyFont="1" applyFill="1" applyBorder="1" applyAlignment="1">
      <alignment horizontal="center"/>
    </xf>
    <xf numFmtId="0" fontId="6" fillId="27" borderId="3" xfId="0" applyFont="1" applyFill="1" applyBorder="1" applyAlignment="1">
      <alignment horizontal="center" vertical="center" readingOrder="2"/>
    </xf>
    <xf numFmtId="167" fontId="6" fillId="27" borderId="3" xfId="0" applyNumberFormat="1" applyFont="1" applyFill="1" applyBorder="1" applyAlignment="1">
      <alignment horizontal="center" vertical="center"/>
    </xf>
    <xf numFmtId="0" fontId="6" fillId="30" borderId="3" xfId="0" applyFont="1" applyFill="1" applyBorder="1" applyAlignment="1">
      <alignment horizontal="center" vertical="center"/>
    </xf>
    <xf numFmtId="0" fontId="6" fillId="30" borderId="3" xfId="0" applyFont="1" applyFill="1" applyBorder="1" applyAlignment="1">
      <alignment horizontal="center"/>
    </xf>
    <xf numFmtId="0" fontId="6" fillId="30" borderId="3" xfId="0" applyFont="1" applyFill="1" applyBorder="1" applyAlignment="1">
      <alignment horizontal="center" vertical="center" readingOrder="2"/>
    </xf>
    <xf numFmtId="167" fontId="6" fillId="30" borderId="3" xfId="0" applyNumberFormat="1" applyFont="1" applyFill="1" applyBorder="1" applyAlignment="1">
      <alignment horizontal="center" vertical="center"/>
    </xf>
    <xf numFmtId="167" fontId="26" fillId="31" borderId="3" xfId="0" applyNumberFormat="1" applyFont="1" applyFill="1" applyBorder="1" applyAlignment="1">
      <alignment horizontal="center" vertical="center"/>
    </xf>
    <xf numFmtId="0" fontId="19" fillId="17" borderId="0" xfId="0" applyFont="1" applyFill="1" applyAlignment="1">
      <alignment horizontal="center" vertical="center" wrapText="1" readingOrder="2"/>
    </xf>
    <xf numFmtId="0" fontId="21" fillId="19" borderId="8" xfId="0" applyFont="1" applyFill="1" applyBorder="1" applyAlignment="1">
      <alignment horizontal="center" vertical="center"/>
    </xf>
    <xf numFmtId="0" fontId="21" fillId="19" borderId="10" xfId="0" applyFont="1" applyFill="1" applyBorder="1" applyAlignment="1">
      <alignment horizontal="center" vertical="center"/>
    </xf>
    <xf numFmtId="165" fontId="20" fillId="20" borderId="4" xfId="3" applyNumberFormat="1" applyFont="1" applyFill="1" applyBorder="1" applyAlignment="1">
      <alignment horizontal="center" vertical="center"/>
    </xf>
    <xf numFmtId="165" fontId="20" fillId="20" borderId="5" xfId="3" applyNumberFormat="1" applyFont="1" applyFill="1" applyBorder="1" applyAlignment="1">
      <alignment horizontal="center" vertical="center"/>
    </xf>
    <xf numFmtId="165" fontId="20" fillId="20" borderId="1" xfId="3" applyNumberFormat="1" applyFont="1" applyFill="1" applyBorder="1" applyAlignment="1">
      <alignment horizontal="center" vertical="center"/>
    </xf>
    <xf numFmtId="165" fontId="20" fillId="4" borderId="4" xfId="3" applyNumberFormat="1" applyFont="1" applyFill="1" applyBorder="1" applyAlignment="1">
      <alignment horizontal="center" vertical="center"/>
    </xf>
    <xf numFmtId="165" fontId="20" fillId="4" borderId="5" xfId="3" applyNumberFormat="1" applyFont="1" applyFill="1" applyBorder="1" applyAlignment="1">
      <alignment horizontal="center" vertical="center"/>
    </xf>
    <xf numFmtId="165" fontId="20" fillId="4" borderId="1" xfId="3" applyNumberFormat="1" applyFont="1" applyFill="1" applyBorder="1" applyAlignment="1">
      <alignment horizontal="center" vertical="center"/>
    </xf>
    <xf numFmtId="165" fontId="20" fillId="4" borderId="6" xfId="3" applyNumberFormat="1" applyFont="1" applyFill="1" applyBorder="1" applyAlignment="1">
      <alignment horizontal="center" vertical="center"/>
    </xf>
    <xf numFmtId="165" fontId="20" fillId="4" borderId="7" xfId="3" applyNumberFormat="1" applyFont="1" applyFill="1" applyBorder="1" applyAlignment="1">
      <alignment horizontal="center" vertical="center"/>
    </xf>
    <xf numFmtId="165" fontId="20" fillId="4" borderId="15" xfId="3" applyNumberFormat="1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16" fillId="17" borderId="0" xfId="0" applyFont="1" applyFill="1" applyAlignment="1">
      <alignment horizontal="center" vertical="center" wrapText="1" readingOrder="2"/>
    </xf>
    <xf numFmtId="0" fontId="14" fillId="3" borderId="0" xfId="0" applyFont="1" applyFill="1" applyAlignment="1">
      <alignment horizontal="center" vertical="top" wrapText="1"/>
    </xf>
    <xf numFmtId="165" fontId="2" fillId="3" borderId="4" xfId="1" applyNumberFormat="1" applyFont="1" applyFill="1" applyBorder="1" applyAlignment="1">
      <alignment horizontal="center" vertical="center"/>
    </xf>
    <xf numFmtId="165" fontId="2" fillId="3" borderId="5" xfId="1" applyNumberFormat="1" applyFont="1" applyFill="1" applyBorder="1" applyAlignment="1">
      <alignment horizontal="center" vertical="center"/>
    </xf>
    <xf numFmtId="165" fontId="2" fillId="3" borderId="1" xfId="1" applyNumberFormat="1" applyFont="1" applyFill="1" applyBorder="1" applyAlignment="1">
      <alignment horizontal="center" vertical="center"/>
    </xf>
    <xf numFmtId="165" fontId="2" fillId="4" borderId="4" xfId="1" applyNumberFormat="1" applyFont="1" applyFill="1" applyBorder="1" applyAlignment="1">
      <alignment horizontal="center" vertical="center"/>
    </xf>
    <xf numFmtId="165" fontId="2" fillId="4" borderId="5" xfId="1" applyNumberFormat="1" applyFont="1" applyFill="1" applyBorder="1" applyAlignment="1">
      <alignment horizontal="center" vertical="center"/>
    </xf>
    <xf numFmtId="165" fontId="2" fillId="4" borderId="1" xfId="1" applyNumberFormat="1" applyFont="1" applyFill="1" applyBorder="1" applyAlignment="1">
      <alignment horizontal="center" vertical="center"/>
    </xf>
    <xf numFmtId="166" fontId="2" fillId="21" borderId="4" xfId="3" applyNumberFormat="1" applyFont="1" applyFill="1" applyBorder="1" applyAlignment="1">
      <alignment horizontal="center"/>
    </xf>
    <xf numFmtId="166" fontId="2" fillId="21" borderId="5" xfId="3" applyNumberFormat="1" applyFont="1" applyFill="1" applyBorder="1" applyAlignment="1">
      <alignment horizontal="center"/>
    </xf>
    <xf numFmtId="166" fontId="2" fillId="21" borderId="3" xfId="3" applyNumberFormat="1" applyFont="1" applyFill="1" applyBorder="1" applyAlignment="1">
      <alignment horizontal="center"/>
    </xf>
    <xf numFmtId="165" fontId="2" fillId="20" borderId="3" xfId="3" applyNumberFormat="1" applyFont="1" applyFill="1" applyBorder="1" applyAlignment="1">
      <alignment horizontal="center" vertical="center"/>
    </xf>
    <xf numFmtId="166" fontId="2" fillId="4" borderId="3" xfId="3" applyNumberFormat="1" applyFont="1" applyFill="1" applyBorder="1" applyAlignment="1">
      <alignment horizontal="center" vertical="center"/>
    </xf>
    <xf numFmtId="0" fontId="18" fillId="17" borderId="0" xfId="0" applyFont="1" applyFill="1" applyAlignment="1">
      <alignment horizontal="center" vertical="center" wrapText="1" readingOrder="2"/>
    </xf>
    <xf numFmtId="0" fontId="17" fillId="17" borderId="0" xfId="0" applyFont="1" applyFill="1" applyAlignment="1">
      <alignment horizontal="center" vertical="center" wrapText="1" readingOrder="2"/>
    </xf>
    <xf numFmtId="0" fontId="2" fillId="21" borderId="4" xfId="0" applyFont="1" applyFill="1" applyBorder="1" applyAlignment="1">
      <alignment horizontal="center"/>
    </xf>
    <xf numFmtId="0" fontId="2" fillId="21" borderId="5" xfId="0" applyFont="1" applyFill="1" applyBorder="1" applyAlignment="1">
      <alignment horizontal="center"/>
    </xf>
    <xf numFmtId="165" fontId="2" fillId="20" borderId="5" xfId="3" applyNumberFormat="1" applyFont="1" applyFill="1" applyBorder="1" applyAlignment="1">
      <alignment horizontal="center" vertical="center"/>
    </xf>
    <xf numFmtId="165" fontId="2" fillId="20" borderId="1" xfId="3" applyNumberFormat="1" applyFont="1" applyFill="1" applyBorder="1" applyAlignment="1">
      <alignment horizontal="center" vertical="center"/>
    </xf>
    <xf numFmtId="0" fontId="2" fillId="21" borderId="3" xfId="0" applyFont="1" applyFill="1" applyBorder="1" applyAlignment="1">
      <alignment horizontal="center"/>
    </xf>
    <xf numFmtId="166" fontId="2" fillId="20" borderId="3" xfId="3" applyNumberFormat="1" applyFont="1" applyFill="1" applyBorder="1" applyAlignment="1">
      <alignment horizontal="center" vertical="center"/>
    </xf>
    <xf numFmtId="0" fontId="11" fillId="19" borderId="4" xfId="0" applyFont="1" applyFill="1" applyBorder="1" applyAlignment="1">
      <alignment horizontal="center"/>
    </xf>
    <xf numFmtId="0" fontId="11" fillId="19" borderId="5" xfId="0" applyFont="1" applyFill="1" applyBorder="1" applyAlignment="1">
      <alignment horizontal="center"/>
    </xf>
    <xf numFmtId="0" fontId="11" fillId="19" borderId="1" xfId="0" applyFont="1" applyFill="1" applyBorder="1" applyAlignment="1">
      <alignment horizontal="center"/>
    </xf>
    <xf numFmtId="0" fontId="12" fillId="18" borderId="0" xfId="0" applyFont="1" applyFill="1" applyAlignment="1">
      <alignment horizontal="center" vertical="top" wrapText="1"/>
    </xf>
    <xf numFmtId="0" fontId="15" fillId="19" borderId="3" xfId="0" applyFont="1" applyFill="1" applyBorder="1" applyAlignment="1">
      <alignment horizontal="center" vertical="center"/>
    </xf>
    <xf numFmtId="0" fontId="15" fillId="19" borderId="8" xfId="0" applyFont="1" applyFill="1" applyBorder="1" applyAlignment="1">
      <alignment horizontal="center" vertical="center"/>
    </xf>
    <xf numFmtId="0" fontId="15" fillId="19" borderId="10" xfId="0" applyFont="1" applyFill="1" applyBorder="1" applyAlignment="1">
      <alignment horizontal="center" vertical="center"/>
    </xf>
    <xf numFmtId="166" fontId="2" fillId="21" borderId="1" xfId="3" applyNumberFormat="1" applyFont="1" applyFill="1" applyBorder="1" applyAlignment="1">
      <alignment horizontal="center"/>
    </xf>
    <xf numFmtId="165" fontId="2" fillId="20" borderId="4" xfId="3" applyNumberFormat="1" applyFont="1" applyFill="1" applyBorder="1" applyAlignment="1">
      <alignment horizontal="center" vertical="center"/>
    </xf>
    <xf numFmtId="166" fontId="2" fillId="20" borderId="5" xfId="3" applyNumberFormat="1" applyFont="1" applyFill="1" applyBorder="1" applyAlignment="1">
      <alignment horizontal="center" vertical="center"/>
    </xf>
  </cellXfs>
  <cellStyles count="7">
    <cellStyle name="Comma" xfId="1" builtinId="3"/>
    <cellStyle name="Comma 2" xfId="3" xr:uid="{016B59D5-1C83-4560-8DDC-DB8AC2ACA7F7}"/>
    <cellStyle name="Comma 3" xfId="6" xr:uid="{FD93D717-65B2-47CB-B0D6-64754EC70477}"/>
    <cellStyle name="Good 2" xfId="4" xr:uid="{F36F0FAD-1761-411F-AF9C-A27C457C3E12}"/>
    <cellStyle name="Normal" xfId="0" builtinId="0"/>
    <cellStyle name="Percent" xfId="2" builtinId="5"/>
    <cellStyle name="Percent 2" xfId="5" xr:uid="{74BB375F-F1E9-4254-90B0-C4AA218ED5D5}"/>
  </cellStyles>
  <dxfs count="70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FDD7E8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rgb="FF1D252D"/>
      </font>
      <fill>
        <patternFill>
          <bgColor rgb="FFDFB5FF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D9D9D9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FDD7E8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DFB5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AB1A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jusoor-my.sharepoint.com/Users/nalmoubarak/Desktop/Retail%20Tree%20-TGT-%20&#1610;&#1606;&#1575;&#1610;&#15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ers Data (1)"/>
      <sheetName val="Target Tree (3)"/>
      <sheetName val="SK (4)"/>
      <sheetName val="Target Table (5)"/>
      <sheetName val="Data Validation Tables"/>
      <sheetName val="Product Table"/>
      <sheetName val="Formulas"/>
      <sheetName val="Retail Tree -TGT- يناير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BB76B-F5A1-403C-89B1-6E0FF31BA57F}">
  <sheetPr>
    <tabColor rgb="FFFF0000"/>
  </sheetPr>
  <dimension ref="A1:AA49"/>
  <sheetViews>
    <sheetView showGridLines="0" topLeftCell="A24" zoomScale="106" zoomScaleNormal="106" workbookViewId="0">
      <selection sqref="A1:M49"/>
    </sheetView>
  </sheetViews>
  <sheetFormatPr defaultColWidth="17.140625" defaultRowHeight="15" x14ac:dyDescent="0.25"/>
  <cols>
    <col min="1" max="1" width="9" style="96" bestFit="1" customWidth="1"/>
    <col min="2" max="2" width="11.28515625" style="96" bestFit="1" customWidth="1"/>
    <col min="3" max="3" width="12.42578125" style="96" bestFit="1" customWidth="1"/>
    <col min="4" max="4" width="12" style="96" bestFit="1" customWidth="1"/>
    <col min="5" max="5" width="11.28515625" style="96" bestFit="1" customWidth="1"/>
    <col min="6" max="6" width="12.42578125" style="96" bestFit="1" customWidth="1"/>
    <col min="7" max="7" width="10.140625" style="96" bestFit="1" customWidth="1"/>
    <col min="8" max="8" width="12.42578125" style="96" bestFit="1" customWidth="1"/>
    <col min="9" max="9" width="12" style="96" bestFit="1" customWidth="1"/>
    <col min="10" max="10" width="10.140625" style="96" bestFit="1" customWidth="1"/>
    <col min="11" max="11" width="13.140625" style="96" bestFit="1" customWidth="1"/>
    <col min="12" max="12" width="11.28515625" style="96" bestFit="1" customWidth="1"/>
    <col min="13" max="13" width="12.42578125" style="96" bestFit="1" customWidth="1"/>
    <col min="14" max="14" width="12" style="96" bestFit="1" customWidth="1"/>
    <col min="15" max="15" width="10.140625" style="96" bestFit="1" customWidth="1"/>
    <col min="16" max="17" width="6.5703125" style="96" bestFit="1" customWidth="1"/>
    <col min="18" max="18" width="4.28515625" style="96" bestFit="1" customWidth="1"/>
    <col min="19" max="20" width="9" style="96" bestFit="1" customWidth="1"/>
    <col min="21" max="21" width="12.42578125" style="96" bestFit="1" customWidth="1"/>
    <col min="22" max="22" width="7.85546875" style="96" bestFit="1" customWidth="1"/>
    <col min="23" max="23" width="7.140625" style="96" bestFit="1" customWidth="1"/>
    <col min="24" max="24" width="6.140625" style="96" bestFit="1" customWidth="1"/>
    <col min="25" max="27" width="4.7109375" style="96" bestFit="1" customWidth="1"/>
    <col min="28" max="16384" width="17.140625" style="96"/>
  </cols>
  <sheetData>
    <row r="1" spans="1:18" x14ac:dyDescent="0.25">
      <c r="A1" s="276"/>
      <c r="B1" s="276"/>
      <c r="C1" s="276"/>
      <c r="D1" s="276"/>
      <c r="E1" s="276"/>
      <c r="F1" s="276"/>
      <c r="G1" s="276"/>
      <c r="H1" s="276"/>
      <c r="I1" s="276"/>
      <c r="J1" s="276"/>
      <c r="K1" s="276"/>
      <c r="L1" s="276"/>
      <c r="M1" s="276"/>
      <c r="N1" s="60"/>
      <c r="O1" s="60"/>
      <c r="P1" s="60"/>
      <c r="Q1" s="60"/>
      <c r="R1" s="60"/>
    </row>
    <row r="2" spans="1:18" x14ac:dyDescent="0.25">
      <c r="A2" s="276"/>
      <c r="B2" s="276"/>
      <c r="C2" s="276"/>
      <c r="D2" s="276"/>
      <c r="E2" s="276"/>
      <c r="F2" s="276"/>
      <c r="G2" s="276"/>
      <c r="H2" s="276"/>
      <c r="I2" s="276"/>
      <c r="J2" s="276"/>
      <c r="K2" s="276"/>
      <c r="L2" s="276"/>
      <c r="M2" s="276"/>
      <c r="N2" s="60"/>
      <c r="O2" s="60"/>
      <c r="P2" s="60"/>
      <c r="Q2" s="60"/>
      <c r="R2" s="60"/>
    </row>
    <row r="4" spans="1:18" x14ac:dyDescent="0.25">
      <c r="A4" s="265" t="s">
        <v>493</v>
      </c>
      <c r="B4" s="267" t="s">
        <v>494</v>
      </c>
      <c r="C4" s="268"/>
      <c r="D4" s="269"/>
      <c r="E4" s="273" t="s">
        <v>495</v>
      </c>
      <c r="F4" s="274"/>
      <c r="G4" s="275"/>
      <c r="H4" s="267" t="s">
        <v>1215</v>
      </c>
      <c r="I4" s="268"/>
      <c r="J4" s="269"/>
    </row>
    <row r="5" spans="1:18" x14ac:dyDescent="0.25">
      <c r="A5" s="266"/>
      <c r="B5" s="86" t="s">
        <v>24</v>
      </c>
      <c r="C5" s="86" t="s">
        <v>25</v>
      </c>
      <c r="D5" s="86" t="s">
        <v>28</v>
      </c>
      <c r="E5" s="87" t="s">
        <v>24</v>
      </c>
      <c r="F5" s="87" t="s">
        <v>25</v>
      </c>
      <c r="G5" s="87" t="s">
        <v>28</v>
      </c>
      <c r="H5" s="86" t="s">
        <v>24</v>
      </c>
      <c r="I5" s="86" t="s">
        <v>25</v>
      </c>
      <c r="J5" s="86" t="s">
        <v>28</v>
      </c>
    </row>
    <row r="6" spans="1:18" x14ac:dyDescent="0.25">
      <c r="A6" s="88" t="s">
        <v>313</v>
      </c>
      <c r="B6" s="89">
        <f>SUM('branches '!D8:D12)</f>
        <v>3939902.77251</v>
      </c>
      <c r="C6" s="89">
        <f>SUM('branches '!E8:E12)</f>
        <v>2919448.0900000008</v>
      </c>
      <c r="D6" s="90">
        <f>C6/B6</f>
        <v>0.74099495814210248</v>
      </c>
      <c r="E6" s="89">
        <f>SUM('branches '!G8:G12)</f>
        <v>581819.39061</v>
      </c>
      <c r="F6" s="89">
        <f>SUM('branches '!H8:H12)</f>
        <v>364321.17</v>
      </c>
      <c r="G6" s="90">
        <f>F6/E6</f>
        <v>0.6261757099879961</v>
      </c>
      <c r="H6" s="89">
        <f>SUM('branches '!J8:J12)</f>
        <v>1185486.6264558802</v>
      </c>
      <c r="I6" s="89">
        <f>SUM('branches '!K8:K12)</f>
        <v>590663.13</v>
      </c>
      <c r="J6" s="90">
        <f>I6/H6</f>
        <v>0.49824529169581694</v>
      </c>
    </row>
    <row r="7" spans="1:18" x14ac:dyDescent="0.25">
      <c r="A7" s="88" t="s">
        <v>112</v>
      </c>
      <c r="B7" s="89">
        <f>SUM('branches '!D13:D22)</f>
        <v>4669514</v>
      </c>
      <c r="C7" s="89">
        <f>SUM('branches '!E13:E22)</f>
        <v>3530584.8099999996</v>
      </c>
      <c r="D7" s="90">
        <f t="shared" ref="D7:D12" si="0">C7/B7</f>
        <v>0.75609256338025743</v>
      </c>
      <c r="E7" s="89">
        <f>SUM('branches '!G13:G22)</f>
        <v>621974</v>
      </c>
      <c r="F7" s="89">
        <f>SUM('branches '!H13:H22)</f>
        <v>135752.42000000001</v>
      </c>
      <c r="G7" s="90">
        <f t="shared" ref="G7:G12" si="1">F7/E7</f>
        <v>0.21826060253322488</v>
      </c>
      <c r="H7" s="89">
        <f>SUM('branches '!J13:J22)</f>
        <v>1257421.8498842521</v>
      </c>
      <c r="I7" s="89">
        <f>SUM('branches '!K13:K22)</f>
        <v>660662.67000000004</v>
      </c>
      <c r="J7" s="90">
        <f t="shared" ref="J7:J12" si="2">I7/H7</f>
        <v>0.52541052158495194</v>
      </c>
    </row>
    <row r="8" spans="1:18" x14ac:dyDescent="0.25">
      <c r="A8" s="88" t="s">
        <v>221</v>
      </c>
      <c r="B8" s="89">
        <f>SUM('branches '!D23:D31)</f>
        <v>6128738</v>
      </c>
      <c r="C8" s="89">
        <f>SUM('branches '!E23:E31)</f>
        <v>5056441.790000001</v>
      </c>
      <c r="D8" s="90">
        <f t="shared" si="0"/>
        <v>0.82503800782477588</v>
      </c>
      <c r="E8" s="89">
        <f>SUM('branches '!G23:G31)</f>
        <v>804083</v>
      </c>
      <c r="F8" s="89">
        <f>SUM('branches '!H23:H31)</f>
        <v>287837.28999999992</v>
      </c>
      <c r="G8" s="90">
        <f t="shared" si="1"/>
        <v>0.35796962502627205</v>
      </c>
      <c r="H8" s="89">
        <f>SUM('branches '!J23:J31)</f>
        <v>1746448.2413803125</v>
      </c>
      <c r="I8" s="89">
        <f>SUM('branches '!K23:K31)</f>
        <v>900439.95999999985</v>
      </c>
      <c r="J8" s="90">
        <f t="shared" si="2"/>
        <v>0.51558353615354413</v>
      </c>
    </row>
    <row r="9" spans="1:18" x14ac:dyDescent="0.25">
      <c r="A9" s="88" t="s">
        <v>30</v>
      </c>
      <c r="B9" s="89">
        <f>SUM('branches '!D32:D38)</f>
        <v>5836893</v>
      </c>
      <c r="C9" s="89">
        <f>SUM('branches '!E32:E38)</f>
        <v>4905860.84</v>
      </c>
      <c r="D9" s="90">
        <f t="shared" si="0"/>
        <v>0.84049182330393923</v>
      </c>
      <c r="E9" s="89">
        <f>SUM('branches '!G32:G38)</f>
        <v>590031</v>
      </c>
      <c r="F9" s="89">
        <f>SUM('branches '!H32:H38)</f>
        <v>176092.36</v>
      </c>
      <c r="G9" s="90">
        <f t="shared" si="1"/>
        <v>0.29844594606046121</v>
      </c>
      <c r="H9" s="89">
        <f>SUM('branches '!J32:J38)</f>
        <v>1204526.2361283388</v>
      </c>
      <c r="I9" s="89">
        <f>SUM('branches '!K32:K38)</f>
        <v>678394.71</v>
      </c>
      <c r="J9" s="90">
        <f t="shared" si="2"/>
        <v>0.56320459418180657</v>
      </c>
    </row>
    <row r="10" spans="1:18" x14ac:dyDescent="0.25">
      <c r="A10" s="88" t="s">
        <v>887</v>
      </c>
      <c r="B10" s="89">
        <f>SUM('branches '!D39:D42)</f>
        <v>2502757</v>
      </c>
      <c r="C10" s="89">
        <f>SUM('branches '!E39:E42)</f>
        <v>2004680.0100000005</v>
      </c>
      <c r="D10" s="90">
        <f t="shared" si="0"/>
        <v>0.80098867369065418</v>
      </c>
      <c r="E10" s="89">
        <f>SUM('branches '!G39:G42)</f>
        <v>272113.14332451404</v>
      </c>
      <c r="F10" s="89">
        <f>SUM('branches '!H39:H42)</f>
        <v>154902.25</v>
      </c>
      <c r="G10" s="90">
        <f t="shared" si="1"/>
        <v>0.56925677351522919</v>
      </c>
      <c r="H10" s="89">
        <f>SUM('branches '!J39:J42)</f>
        <v>725024.74572262017</v>
      </c>
      <c r="I10" s="89">
        <f>SUM('branches '!K39:K42)</f>
        <v>299823.90999999997</v>
      </c>
      <c r="J10" s="90">
        <f t="shared" si="2"/>
        <v>0.41353610586238743</v>
      </c>
    </row>
    <row r="11" spans="1:18" x14ac:dyDescent="0.25">
      <c r="A11" s="88" t="s">
        <v>1086</v>
      </c>
      <c r="B11" s="89">
        <f>SUM('branches '!D43:D45)</f>
        <v>2000603.0644892498</v>
      </c>
      <c r="C11" s="89">
        <f>SUM('branches '!E43:E45)</f>
        <v>2025493.3699999999</v>
      </c>
      <c r="D11" s="90">
        <f t="shared" si="0"/>
        <v>1.0124414012717233</v>
      </c>
      <c r="E11" s="89">
        <f>SUM('branches '!G43:G45)</f>
        <v>234914.60462714004</v>
      </c>
      <c r="F11" s="89">
        <f>SUM('branches '!H43:H45)</f>
        <v>77362.500000000015</v>
      </c>
      <c r="G11" s="90">
        <f t="shared" si="1"/>
        <v>0.32932179811804774</v>
      </c>
      <c r="H11" s="89">
        <f>SUM('branches '!J43:J45)</f>
        <v>674736.94305781974</v>
      </c>
      <c r="I11" s="89">
        <f>SUM('branches '!K43:K45)</f>
        <v>276174.21999999997</v>
      </c>
      <c r="J11" s="90">
        <f t="shared" si="2"/>
        <v>0.40930650506316502</v>
      </c>
    </row>
    <row r="12" spans="1:18" x14ac:dyDescent="0.25">
      <c r="A12" s="88" t="s">
        <v>970</v>
      </c>
      <c r="B12" s="89">
        <f>SUM('branches '!D46:D52)</f>
        <v>4106056.5889904443</v>
      </c>
      <c r="C12" s="89">
        <f>SUM('branches '!E46:E52)</f>
        <v>3189668.08</v>
      </c>
      <c r="D12" s="90">
        <f t="shared" si="0"/>
        <v>0.77682029238282935</v>
      </c>
      <c r="E12" s="89">
        <f>SUM('branches '!G46:G52)</f>
        <v>479773.23283000547</v>
      </c>
      <c r="F12" s="89">
        <f>SUM('branches '!H46:H52)</f>
        <v>148359.6</v>
      </c>
      <c r="G12" s="90">
        <f t="shared" si="1"/>
        <v>0.30922858935852132</v>
      </c>
      <c r="H12" s="89">
        <f>SUM('branches '!J46:J52)</f>
        <v>1201298.3019503013</v>
      </c>
      <c r="I12" s="89">
        <f>SUM('branches '!K46:K52)</f>
        <v>588771.00999999989</v>
      </c>
      <c r="J12" s="90">
        <f t="shared" si="2"/>
        <v>0.49011224692828864</v>
      </c>
    </row>
    <row r="13" spans="1:18" x14ac:dyDescent="0.25">
      <c r="A13" s="91" t="s">
        <v>27</v>
      </c>
      <c r="B13" s="92">
        <f>SUM(B6:B12)</f>
        <v>29184464.425989695</v>
      </c>
      <c r="C13" s="92">
        <f>SUM(C6:C12)</f>
        <v>23632176.990000002</v>
      </c>
      <c r="D13" s="93">
        <f>C13/B13</f>
        <v>0.80975195038887871</v>
      </c>
      <c r="E13" s="87">
        <f>SUM(E6:E12)</f>
        <v>3584708.3713916596</v>
      </c>
      <c r="F13" s="87">
        <f>SUM(F6:F12)</f>
        <v>1344627.5899999999</v>
      </c>
      <c r="G13" s="205">
        <f>F13/E13</f>
        <v>0.37510097075985765</v>
      </c>
      <c r="H13" s="92">
        <f>SUM(H6:H12)</f>
        <v>7994942.944579524</v>
      </c>
      <c r="I13" s="92">
        <f>SUM(I6:I12)</f>
        <v>3994929.6099999994</v>
      </c>
      <c r="J13" s="93">
        <f>I13/H13</f>
        <v>0.49968206623769768</v>
      </c>
    </row>
    <row r="15" spans="1:18" x14ac:dyDescent="0.25">
      <c r="A15" s="265" t="s">
        <v>493</v>
      </c>
      <c r="B15" s="267" t="s">
        <v>497</v>
      </c>
      <c r="C15" s="268"/>
      <c r="D15" s="269"/>
      <c r="E15" s="270" t="s">
        <v>498</v>
      </c>
      <c r="F15" s="271"/>
      <c r="G15" s="272"/>
      <c r="H15" s="267" t="s">
        <v>1174</v>
      </c>
      <c r="I15" s="268"/>
      <c r="J15" s="269"/>
    </row>
    <row r="16" spans="1:18" x14ac:dyDescent="0.25">
      <c r="A16" s="266"/>
      <c r="B16" s="86" t="s">
        <v>24</v>
      </c>
      <c r="C16" s="86" t="s">
        <v>25</v>
      </c>
      <c r="D16" s="86" t="s">
        <v>28</v>
      </c>
      <c r="E16" s="87" t="s">
        <v>24</v>
      </c>
      <c r="F16" s="87" t="s">
        <v>29</v>
      </c>
      <c r="G16" s="87" t="s">
        <v>28</v>
      </c>
      <c r="H16" s="86" t="s">
        <v>24</v>
      </c>
      <c r="I16" s="86" t="s">
        <v>29</v>
      </c>
      <c r="J16" s="86" t="s">
        <v>28</v>
      </c>
    </row>
    <row r="17" spans="1:24" x14ac:dyDescent="0.25">
      <c r="A17" s="88" t="s">
        <v>313</v>
      </c>
      <c r="B17" s="89">
        <f>SUM('branches '!AE8:AE12)</f>
        <v>436.90979568708792</v>
      </c>
      <c r="C17" s="89">
        <f>SUM('branches '!AF8:AF12)</f>
        <v>204</v>
      </c>
      <c r="D17" s="90">
        <f>C17/B17</f>
        <v>0.46691560137530891</v>
      </c>
      <c r="E17" s="89">
        <f>SUM('branches '!AH8:AH12)</f>
        <v>220</v>
      </c>
      <c r="F17" s="89">
        <f>SUM('branches '!AI8:AI12)</f>
        <v>143</v>
      </c>
      <c r="G17" s="90">
        <f>F17/E17</f>
        <v>0.65</v>
      </c>
      <c r="H17" s="89">
        <f>SUM('branches '!AN8:AN12)</f>
        <v>363</v>
      </c>
      <c r="I17" s="89">
        <f>SUM('branches '!AO8:AO12)</f>
        <v>79</v>
      </c>
      <c r="J17" s="90">
        <f>I17/H17</f>
        <v>0.21763085399449036</v>
      </c>
    </row>
    <row r="18" spans="1:24" x14ac:dyDescent="0.25">
      <c r="A18" s="88" t="s">
        <v>112</v>
      </c>
      <c r="B18" s="89">
        <f>SUM('branches '!AE13:AE22)</f>
        <v>427.44250011972252</v>
      </c>
      <c r="C18" s="89">
        <f>SUM('branches '!AF13:AF22)</f>
        <v>143</v>
      </c>
      <c r="D18" s="90">
        <f t="shared" ref="D18:D23" si="3">C18/B18</f>
        <v>0.33454792155657681</v>
      </c>
      <c r="E18" s="89">
        <f>SUM('branches '!AH13:AH22)</f>
        <v>338</v>
      </c>
      <c r="F18" s="89">
        <f>SUM('branches '!AI13:AI22)</f>
        <v>197</v>
      </c>
      <c r="G18" s="90">
        <f t="shared" ref="G18:G23" si="4">F18/E18</f>
        <v>0.58284023668639051</v>
      </c>
      <c r="H18" s="89">
        <f>SUM('branches '!AN13:AN22)</f>
        <v>420</v>
      </c>
      <c r="I18" s="89">
        <f>SUM('branches '!AO13:AO22)</f>
        <v>120</v>
      </c>
      <c r="J18" s="90">
        <f t="shared" ref="J18:J23" si="5">I18/H18</f>
        <v>0.2857142857142857</v>
      </c>
    </row>
    <row r="19" spans="1:24" x14ac:dyDescent="0.25">
      <c r="A19" s="88" t="s">
        <v>221</v>
      </c>
      <c r="B19" s="89">
        <f>SUM('branches '!AE23:AE31)</f>
        <v>550.20900434698024</v>
      </c>
      <c r="C19" s="89">
        <f>SUM('branches '!AF23:AF31)</f>
        <v>213</v>
      </c>
      <c r="D19" s="90">
        <f t="shared" si="3"/>
        <v>0.38712561647877913</v>
      </c>
      <c r="E19" s="89">
        <f>SUM('branches '!AH23:AH31)</f>
        <v>465</v>
      </c>
      <c r="F19" s="89">
        <f>SUM('branches '!AI23:AI31)</f>
        <v>293</v>
      </c>
      <c r="G19" s="90">
        <f t="shared" si="4"/>
        <v>0.63010752688172045</v>
      </c>
      <c r="H19" s="89">
        <f>SUM('branches '!AN23:AN31)</f>
        <v>493</v>
      </c>
      <c r="I19" s="89">
        <f>SUM('branches '!AO23:AO31)</f>
        <v>205</v>
      </c>
      <c r="J19" s="90">
        <f t="shared" si="5"/>
        <v>0.41582150101419879</v>
      </c>
    </row>
    <row r="20" spans="1:24" x14ac:dyDescent="0.25">
      <c r="A20" s="88" t="s">
        <v>30</v>
      </c>
      <c r="B20" s="89">
        <f>SUM('branches '!AE32:AE38)</f>
        <v>414.00091206564321</v>
      </c>
      <c r="C20" s="89">
        <f>SUM('branches '!AF32:AF38)</f>
        <v>172</v>
      </c>
      <c r="D20" s="90">
        <f t="shared" si="3"/>
        <v>0.41545802192031889</v>
      </c>
      <c r="E20" s="89">
        <f>SUM('branches '!AH32:AH38)</f>
        <v>355</v>
      </c>
      <c r="F20" s="89">
        <f>SUM('branches '!AI32:AI38)</f>
        <v>115</v>
      </c>
      <c r="G20" s="90">
        <f t="shared" si="4"/>
        <v>0.323943661971831</v>
      </c>
      <c r="H20" s="89">
        <f>SUM('branches '!AN32:AN38)</f>
        <v>387</v>
      </c>
      <c r="I20" s="89">
        <f>SUM('branches '!AO32:AO38)</f>
        <v>170</v>
      </c>
      <c r="J20" s="90">
        <f t="shared" si="5"/>
        <v>0.43927648578811368</v>
      </c>
    </row>
    <row r="21" spans="1:24" x14ac:dyDescent="0.25">
      <c r="A21" s="88" t="s">
        <v>887</v>
      </c>
      <c r="B21" s="89">
        <f>SUM('branches '!AE39:AE42)</f>
        <v>264.33062129521045</v>
      </c>
      <c r="C21" s="89">
        <f>SUM('branches '!AF39:AF42)</f>
        <v>74</v>
      </c>
      <c r="D21" s="90">
        <f t="shared" si="3"/>
        <v>0.27995243092685473</v>
      </c>
      <c r="E21" s="89">
        <f>SUM('branches '!AH39:AH42)</f>
        <v>76.934345680641826</v>
      </c>
      <c r="F21" s="89">
        <f>SUM('branches '!AI39:AI42)</f>
        <v>27</v>
      </c>
      <c r="G21" s="90">
        <f t="shared" si="4"/>
        <v>0.35094858819074515</v>
      </c>
      <c r="H21" s="89">
        <f>SUM('branches '!AN39:AN42)</f>
        <v>213.7581924664496</v>
      </c>
      <c r="I21" s="89">
        <f>SUM('branches '!AO39:AO42)</f>
        <v>65</v>
      </c>
      <c r="J21" s="90">
        <f t="shared" si="5"/>
        <v>0.30408191260413125</v>
      </c>
    </row>
    <row r="22" spans="1:24" x14ac:dyDescent="0.25">
      <c r="A22" s="88" t="s">
        <v>1086</v>
      </c>
      <c r="B22" s="89">
        <f>SUM('branches '!AE43:AE45)</f>
        <v>166.99611408625151</v>
      </c>
      <c r="C22" s="89">
        <f>SUM('branches '!AF43:AF45)</f>
        <v>89</v>
      </c>
      <c r="D22" s="90">
        <f t="shared" si="3"/>
        <v>0.53294653283987525</v>
      </c>
      <c r="E22" s="89">
        <f>SUM('branches '!AH43:AH45)</f>
        <v>62.038958200165268</v>
      </c>
      <c r="F22" s="89">
        <f>SUM('branches '!AI43:AI45)</f>
        <v>23</v>
      </c>
      <c r="G22" s="90">
        <f t="shared" si="4"/>
        <v>0.37073478774082202</v>
      </c>
      <c r="H22" s="89">
        <f>SUM('branches '!AN43:AN45)</f>
        <v>179.63798931648151</v>
      </c>
      <c r="I22" s="89">
        <f>SUM('branches '!AO43:AO45)</f>
        <v>71</v>
      </c>
      <c r="J22" s="90">
        <f t="shared" si="5"/>
        <v>0.39523933812749407</v>
      </c>
    </row>
    <row r="23" spans="1:24" x14ac:dyDescent="0.25">
      <c r="A23" s="88" t="s">
        <v>970</v>
      </c>
      <c r="B23" s="89">
        <f>SUM('branches '!AE46:AE52)</f>
        <v>425.04140947217576</v>
      </c>
      <c r="C23" s="89">
        <f>SUM('branches '!AF46:AF52)</f>
        <v>139</v>
      </c>
      <c r="D23" s="90">
        <f t="shared" si="3"/>
        <v>0.32702695996753062</v>
      </c>
      <c r="E23" s="89">
        <f>SUM('branches '!AH46:AH52)</f>
        <v>177.62080020081493</v>
      </c>
      <c r="F23" s="89">
        <f>SUM('branches '!AI46:AI52)</f>
        <v>39</v>
      </c>
      <c r="G23" s="90">
        <f t="shared" si="4"/>
        <v>0.21956887907219927</v>
      </c>
      <c r="H23" s="89">
        <f>SUM('branches '!AN46:AN52)</f>
        <v>362.62781518727684</v>
      </c>
      <c r="I23" s="89">
        <f>SUM('branches '!AO46:AO52)</f>
        <v>169</v>
      </c>
      <c r="J23" s="90">
        <f t="shared" si="5"/>
        <v>0.46604257291383183</v>
      </c>
    </row>
    <row r="24" spans="1:24" x14ac:dyDescent="0.25">
      <c r="A24" s="91" t="s">
        <v>27</v>
      </c>
      <c r="B24" s="94">
        <f>SUM(B17:B23)</f>
        <v>2684.9303570730717</v>
      </c>
      <c r="C24" s="94">
        <f>SUM(C17:C23)</f>
        <v>1034</v>
      </c>
      <c r="D24" s="93">
        <f>C24/B24</f>
        <v>0.38511240981579736</v>
      </c>
      <c r="E24" s="87">
        <f>SUM(E17:E23)</f>
        <v>1694.5941040816222</v>
      </c>
      <c r="F24" s="87">
        <f>SUM(F17:F23)</f>
        <v>837</v>
      </c>
      <c r="G24" s="205">
        <f>F24/E24</f>
        <v>0.493923587945922</v>
      </c>
      <c r="H24" s="92">
        <f>SUM(H17:H23)</f>
        <v>2419.0239969702079</v>
      </c>
      <c r="I24" s="92">
        <f>SUM(I17:I23)</f>
        <v>879</v>
      </c>
      <c r="J24" s="93">
        <f>I24/H24</f>
        <v>0.36336969004893488</v>
      </c>
    </row>
    <row r="26" spans="1:24" x14ac:dyDescent="0.25">
      <c r="A26" s="265" t="s">
        <v>493</v>
      </c>
      <c r="B26" s="270" t="s">
        <v>2</v>
      </c>
      <c r="C26" s="271"/>
      <c r="D26" s="272"/>
      <c r="E26" s="267" t="s">
        <v>499</v>
      </c>
      <c r="F26" s="268"/>
      <c r="G26" s="269"/>
      <c r="H26" s="270" t="s">
        <v>466</v>
      </c>
      <c r="I26" s="271"/>
      <c r="J26" s="272"/>
      <c r="K26" s="267" t="s">
        <v>486</v>
      </c>
      <c r="L26" s="268"/>
      <c r="M26" s="269"/>
    </row>
    <row r="27" spans="1:24" x14ac:dyDescent="0.25">
      <c r="A27" s="266"/>
      <c r="B27" s="87" t="s">
        <v>24</v>
      </c>
      <c r="C27" s="87" t="s">
        <v>29</v>
      </c>
      <c r="D27" s="87" t="s">
        <v>28</v>
      </c>
      <c r="E27" s="86" t="s">
        <v>24</v>
      </c>
      <c r="F27" s="86" t="s">
        <v>29</v>
      </c>
      <c r="G27" s="86" t="s">
        <v>28</v>
      </c>
      <c r="H27" s="87" t="s">
        <v>24</v>
      </c>
      <c r="I27" s="87" t="s">
        <v>29</v>
      </c>
      <c r="J27" s="87" t="s">
        <v>28</v>
      </c>
      <c r="K27" s="86" t="s">
        <v>24</v>
      </c>
      <c r="L27" s="86" t="s">
        <v>29</v>
      </c>
      <c r="M27" s="86" t="s">
        <v>28</v>
      </c>
    </row>
    <row r="28" spans="1:24" x14ac:dyDescent="0.25">
      <c r="A28" s="88" t="s">
        <v>313</v>
      </c>
      <c r="B28" s="89">
        <f>SUM('branches '!M8:M12)</f>
        <v>48455.087790000005</v>
      </c>
      <c r="C28" s="89">
        <f>SUM('branches '!N8:N12)</f>
        <v>8245</v>
      </c>
      <c r="D28" s="90">
        <f>C28/B28</f>
        <v>0.17015757015513189</v>
      </c>
      <c r="E28" s="89">
        <f>SUM('branches '!P8:P12)</f>
        <v>796</v>
      </c>
      <c r="F28" s="89">
        <f>SUM('branches '!Q8:Q12)</f>
        <v>441</v>
      </c>
      <c r="G28" s="90">
        <f>F28/E28</f>
        <v>0.5540201005025126</v>
      </c>
      <c r="H28" s="89">
        <f>SUM('branches '!S8:S12)</f>
        <v>107</v>
      </c>
      <c r="I28" s="89">
        <f>SUM('branches '!T8:T12)</f>
        <v>30</v>
      </c>
      <c r="J28" s="90">
        <f>I28/H28</f>
        <v>0.28037383177570091</v>
      </c>
      <c r="K28" s="89">
        <f>SUM('branches '!AK8:AK12)</f>
        <v>115.30816781801347</v>
      </c>
      <c r="L28" s="89">
        <f>SUM('branches '!AL8:AL12)</f>
        <v>0</v>
      </c>
      <c r="M28" s="90">
        <f>L28/K28</f>
        <v>0</v>
      </c>
      <c r="T28" s="200" t="s">
        <v>493</v>
      </c>
      <c r="U28" s="197" t="s">
        <v>535</v>
      </c>
      <c r="V28" s="198"/>
      <c r="W28" s="198"/>
      <c r="X28" s="199"/>
    </row>
    <row r="29" spans="1:24" x14ac:dyDescent="0.25">
      <c r="A29" s="88" t="s">
        <v>112</v>
      </c>
      <c r="B29" s="89">
        <f>SUM('branches '!M13:M22)</f>
        <v>74034</v>
      </c>
      <c r="C29" s="89">
        <f>SUM('branches '!N13:N22)</f>
        <v>18148</v>
      </c>
      <c r="D29" s="90">
        <f t="shared" ref="D29:D34" si="6">C29/B29</f>
        <v>0.24513061566307373</v>
      </c>
      <c r="E29" s="89">
        <f>SUM('branches '!P13:P22)</f>
        <v>1081</v>
      </c>
      <c r="F29" s="89">
        <f>SUM('branches '!Q13:Q22)</f>
        <v>490</v>
      </c>
      <c r="G29" s="90">
        <f t="shared" ref="G29:G34" si="7">F29/E29</f>
        <v>0.45328399629972249</v>
      </c>
      <c r="H29" s="89">
        <f>SUM('branches '!S13:S22)</f>
        <v>157</v>
      </c>
      <c r="I29" s="89">
        <f>SUM('branches '!T13:T22)</f>
        <v>70</v>
      </c>
      <c r="J29" s="90">
        <f t="shared" ref="J29:J34" si="8">I29/H29</f>
        <v>0.44585987261146498</v>
      </c>
      <c r="K29" s="89">
        <f>SUM('branches '!AK13:AK22)</f>
        <v>136.66152060842427</v>
      </c>
      <c r="L29" s="89">
        <f>SUM('branches '!AL13:AL22)</f>
        <v>6</v>
      </c>
      <c r="M29" s="90">
        <f t="shared" ref="M29:M34" si="9">L29/K29</f>
        <v>4.3904092192796368E-2</v>
      </c>
      <c r="T29" s="200"/>
      <c r="U29" s="87" t="s">
        <v>503</v>
      </c>
      <c r="V29" s="87" t="s">
        <v>504</v>
      </c>
      <c r="W29" s="87" t="s">
        <v>505</v>
      </c>
      <c r="X29" s="87" t="s">
        <v>506</v>
      </c>
    </row>
    <row r="30" spans="1:24" x14ac:dyDescent="0.25">
      <c r="A30" s="88" t="s">
        <v>221</v>
      </c>
      <c r="B30" s="89">
        <f>SUM('branches '!M23:M31)</f>
        <v>75394</v>
      </c>
      <c r="C30" s="89">
        <f>SUM('branches '!N23:N31)</f>
        <v>12867</v>
      </c>
      <c r="D30" s="90">
        <f t="shared" si="6"/>
        <v>0.17066344801973632</v>
      </c>
      <c r="E30" s="89">
        <f>SUM('branches '!P23:P31)</f>
        <v>1206</v>
      </c>
      <c r="F30" s="89">
        <f>SUM('branches '!Q23:Q31)</f>
        <v>589</v>
      </c>
      <c r="G30" s="90">
        <f t="shared" si="7"/>
        <v>0.48839137645107794</v>
      </c>
      <c r="H30" s="89">
        <f>SUM('branches '!S23:S31)</f>
        <v>169</v>
      </c>
      <c r="I30" s="89">
        <f>SUM('branches '!T23:T31)</f>
        <v>84</v>
      </c>
      <c r="J30" s="90">
        <f t="shared" si="8"/>
        <v>0.49704142011834318</v>
      </c>
      <c r="K30" s="89">
        <f>SUM('branches '!AK23:AK31)</f>
        <v>179.36827140696718</v>
      </c>
      <c r="L30" s="89">
        <f>SUM('branches '!AL23:AL31)</f>
        <v>6</v>
      </c>
      <c r="M30" s="90">
        <f t="shared" si="9"/>
        <v>3.3450732133035108E-2</v>
      </c>
      <c r="T30" s="88" t="s">
        <v>313</v>
      </c>
      <c r="U30" s="89"/>
      <c r="V30" s="95"/>
      <c r="W30" s="95"/>
      <c r="X30" s="89">
        <f t="shared" ref="U30:AA37" si="10">V30+W30</f>
        <v>0</v>
      </c>
    </row>
    <row r="31" spans="1:24" x14ac:dyDescent="0.25">
      <c r="A31" s="88" t="s">
        <v>30</v>
      </c>
      <c r="B31" s="89">
        <f>SUM('branches '!M32:M38)</f>
        <v>65947</v>
      </c>
      <c r="C31" s="89">
        <f>SUM('branches '!N32:N38)</f>
        <v>9878</v>
      </c>
      <c r="D31" s="90">
        <f t="shared" si="6"/>
        <v>0.14978695012661683</v>
      </c>
      <c r="E31" s="89">
        <f>SUM('branches '!P32:P38)</f>
        <v>902</v>
      </c>
      <c r="F31" s="89">
        <f>SUM('branches '!Q32:Q38)</f>
        <v>355</v>
      </c>
      <c r="G31" s="90">
        <f t="shared" si="7"/>
        <v>0.39356984478935697</v>
      </c>
      <c r="H31" s="89">
        <f>SUM('branches '!S32:S38)</f>
        <v>131</v>
      </c>
      <c r="I31" s="89">
        <f>SUM('branches '!T32:T38)</f>
        <v>47</v>
      </c>
      <c r="J31" s="90">
        <f t="shared" si="8"/>
        <v>0.35877862595419846</v>
      </c>
      <c r="K31" s="89">
        <f>SUM('branches '!AK32:AK38)</f>
        <v>170.82691539390765</v>
      </c>
      <c r="L31" s="89">
        <f>SUM('branches '!AL32:AL38)</f>
        <v>0</v>
      </c>
      <c r="M31" s="90">
        <f t="shared" si="9"/>
        <v>0</v>
      </c>
      <c r="T31" s="88" t="s">
        <v>112</v>
      </c>
      <c r="U31" s="89"/>
      <c r="V31" s="95"/>
      <c r="W31" s="95"/>
      <c r="X31" s="89">
        <f t="shared" si="10"/>
        <v>0</v>
      </c>
    </row>
    <row r="32" spans="1:24" x14ac:dyDescent="0.25">
      <c r="A32" s="88" t="s">
        <v>887</v>
      </c>
      <c r="B32" s="89">
        <f>SUM('branches '!M39:M42)</f>
        <v>19445.138606261939</v>
      </c>
      <c r="C32" s="89">
        <f>SUM('branches '!N39:N42)</f>
        <v>1386</v>
      </c>
      <c r="D32" s="90">
        <f t="shared" si="6"/>
        <v>7.1277455412617374E-2</v>
      </c>
      <c r="E32" s="89">
        <f>SUM('branches '!P39:P42)</f>
        <v>431.98545847112825</v>
      </c>
      <c r="F32" s="89">
        <f>SUM('branches '!Q39:Q42)</f>
        <v>94</v>
      </c>
      <c r="G32" s="90">
        <f t="shared" si="7"/>
        <v>0.21759991721175606</v>
      </c>
      <c r="H32" s="89">
        <f>SUM('branches '!S39:S42)</f>
        <v>63.763830548738973</v>
      </c>
      <c r="I32" s="89">
        <f>SUM('branches '!T39:T42)</f>
        <v>13</v>
      </c>
      <c r="J32" s="90">
        <f t="shared" si="8"/>
        <v>0.20387733748309284</v>
      </c>
      <c r="K32" s="89">
        <f>SUM('branches '!AK39:AK42)</f>
        <v>73.247575086695988</v>
      </c>
      <c r="L32" s="89">
        <f>SUM('branches '!AL39:AL42)</f>
        <v>2</v>
      </c>
      <c r="M32" s="90">
        <f t="shared" si="9"/>
        <v>2.7304658176503394E-2</v>
      </c>
      <c r="T32" s="88" t="s">
        <v>221</v>
      </c>
      <c r="U32" s="89"/>
      <c r="V32" s="95"/>
      <c r="W32" s="95"/>
      <c r="X32" s="89">
        <f t="shared" si="10"/>
        <v>0</v>
      </c>
    </row>
    <row r="33" spans="1:27" x14ac:dyDescent="0.25">
      <c r="A33" s="88" t="s">
        <v>1086</v>
      </c>
      <c r="B33" s="89">
        <f>SUM('branches '!M43:M45)</f>
        <v>20110.113558420944</v>
      </c>
      <c r="C33" s="89">
        <f>SUM('branches '!N43:N45)</f>
        <v>558</v>
      </c>
      <c r="D33" s="90">
        <f t="shared" si="6"/>
        <v>2.7747232673698261E-2</v>
      </c>
      <c r="E33" s="89">
        <f>SUM('branches '!P43:P45)</f>
        <v>312</v>
      </c>
      <c r="F33" s="89">
        <f>SUM('branches '!Q43:Q45)</f>
        <v>92</v>
      </c>
      <c r="G33" s="90">
        <f t="shared" si="7"/>
        <v>0.29487179487179488</v>
      </c>
      <c r="H33" s="89">
        <f>SUM('branches '!S43:S45)</f>
        <v>48.202247484966485</v>
      </c>
      <c r="I33" s="89">
        <f>SUM('branches '!T43:T45)</f>
        <v>15</v>
      </c>
      <c r="J33" s="90">
        <f t="shared" si="8"/>
        <v>0.31118880929106596</v>
      </c>
      <c r="K33" s="89">
        <f>SUM('branches '!AK43:AK45)</f>
        <v>58.551159055733507</v>
      </c>
      <c r="L33" s="89">
        <f>SUM('branches '!AL43:AL45)</f>
        <v>0</v>
      </c>
      <c r="M33" s="90">
        <f t="shared" si="9"/>
        <v>0</v>
      </c>
      <c r="T33" s="88" t="s">
        <v>30</v>
      </c>
      <c r="U33" s="89"/>
      <c r="V33" s="95"/>
      <c r="W33" s="95"/>
      <c r="X33" s="89">
        <f t="shared" si="10"/>
        <v>0</v>
      </c>
    </row>
    <row r="34" spans="1:27" x14ac:dyDescent="0.25">
      <c r="A34" s="88" t="s">
        <v>970</v>
      </c>
      <c r="B34" s="89">
        <f>SUM('branches '!M46:M52)</f>
        <v>40469.392691575049</v>
      </c>
      <c r="C34" s="89">
        <f>SUM('branches '!N46:N52)</f>
        <v>660</v>
      </c>
      <c r="D34" s="90">
        <f t="shared" si="6"/>
        <v>1.6308621308700769E-2</v>
      </c>
      <c r="E34" s="89">
        <f>SUM('branches '!P46:P52)</f>
        <v>709.79327039309499</v>
      </c>
      <c r="F34" s="89">
        <f>SUM('branches '!Q46:Q52)</f>
        <v>188</v>
      </c>
      <c r="G34" s="90">
        <f t="shared" si="7"/>
        <v>0.26486585297699788</v>
      </c>
      <c r="H34" s="89">
        <f>SUM('branches '!S46:S52)</f>
        <v>120.73636118487586</v>
      </c>
      <c r="I34" s="89">
        <f>SUM('branches '!T46:T52)</f>
        <v>49</v>
      </c>
      <c r="J34" s="90">
        <f t="shared" si="8"/>
        <v>0.40584294175446811</v>
      </c>
      <c r="K34" s="89">
        <f>SUM('branches '!AK46:AK52)</f>
        <v>120.1709508003775</v>
      </c>
      <c r="L34" s="89">
        <f>SUM('branches '!AL46:AL52)</f>
        <v>1</v>
      </c>
      <c r="M34" s="90">
        <f t="shared" si="9"/>
        <v>8.3214786380541705E-3</v>
      </c>
      <c r="T34" s="88" t="s">
        <v>887</v>
      </c>
      <c r="U34" s="89"/>
      <c r="V34" s="95"/>
      <c r="W34" s="95"/>
      <c r="X34" s="89">
        <f t="shared" si="10"/>
        <v>0</v>
      </c>
    </row>
    <row r="35" spans="1:27" x14ac:dyDescent="0.25">
      <c r="A35" s="91" t="s">
        <v>27</v>
      </c>
      <c r="B35" s="87">
        <f>SUM(B28:B34)</f>
        <v>343854.73264625797</v>
      </c>
      <c r="C35" s="87">
        <f>SUM(C28:C34)</f>
        <v>51742</v>
      </c>
      <c r="D35" s="205">
        <f>C35/B35</f>
        <v>0.1504763351715441</v>
      </c>
      <c r="E35" s="94">
        <f>SUM(E28:E34)</f>
        <v>5438.778728864223</v>
      </c>
      <c r="F35" s="94">
        <f>SUM(F28:F34)</f>
        <v>2249</v>
      </c>
      <c r="G35" s="93">
        <f>F35/E35</f>
        <v>0.41351195040612682</v>
      </c>
      <c r="H35" s="87">
        <f>SUM(H28:H34)</f>
        <v>796.70243921858128</v>
      </c>
      <c r="I35" s="87">
        <f>SUM(I28:I34)</f>
        <v>308</v>
      </c>
      <c r="J35" s="93">
        <f>I35/H35</f>
        <v>0.38659351953546345</v>
      </c>
      <c r="K35" s="94">
        <f>SUM(K28:K34)</f>
        <v>854.13456017011958</v>
      </c>
      <c r="L35" s="94">
        <f>SUM(L28:L34)</f>
        <v>15</v>
      </c>
      <c r="M35" s="93">
        <f>L35/K35</f>
        <v>1.756163571816181E-2</v>
      </c>
      <c r="T35" s="88" t="s">
        <v>1086</v>
      </c>
      <c r="U35" s="89"/>
      <c r="V35" s="95"/>
      <c r="W35" s="95"/>
      <c r="X35" s="89">
        <f t="shared" si="10"/>
        <v>0</v>
      </c>
    </row>
    <row r="36" spans="1:27" x14ac:dyDescent="0.25">
      <c r="W36" s="88" t="s">
        <v>970</v>
      </c>
      <c r="X36" s="89"/>
      <c r="Y36" s="95"/>
      <c r="Z36" s="95"/>
      <c r="AA36" s="89">
        <f t="shared" si="10"/>
        <v>0</v>
      </c>
    </row>
    <row r="37" spans="1:27" x14ac:dyDescent="0.25">
      <c r="A37" s="265" t="s">
        <v>493</v>
      </c>
      <c r="B37" s="270" t="s">
        <v>500</v>
      </c>
      <c r="C37" s="271"/>
      <c r="D37" s="272"/>
      <c r="E37" s="267" t="s">
        <v>501</v>
      </c>
      <c r="F37" s="268"/>
      <c r="G37" s="269"/>
      <c r="H37" s="270" t="s">
        <v>502</v>
      </c>
      <c r="I37" s="271"/>
      <c r="J37" s="272"/>
      <c r="Q37" s="91" t="s">
        <v>27</v>
      </c>
      <c r="R37" s="87">
        <f>SUM(X30:X36)</f>
        <v>0</v>
      </c>
      <c r="S37" s="87">
        <f>SUM(Y30:Y36)</f>
        <v>0</v>
      </c>
      <c r="T37" s="87">
        <f>SUM(Z30:Z36)</f>
        <v>0</v>
      </c>
      <c r="U37" s="87">
        <f t="shared" si="10"/>
        <v>0</v>
      </c>
    </row>
    <row r="38" spans="1:27" x14ac:dyDescent="0.25">
      <c r="A38" s="266"/>
      <c r="B38" s="87" t="s">
        <v>24</v>
      </c>
      <c r="C38" s="87" t="s">
        <v>25</v>
      </c>
      <c r="D38" s="87" t="s">
        <v>28</v>
      </c>
      <c r="E38" s="86" t="s">
        <v>24</v>
      </c>
      <c r="F38" s="86" t="s">
        <v>25</v>
      </c>
      <c r="G38" s="86" t="s">
        <v>28</v>
      </c>
      <c r="H38" s="87" t="s">
        <v>24</v>
      </c>
      <c r="I38" s="87" t="s">
        <v>25</v>
      </c>
      <c r="J38" s="87" t="s">
        <v>28</v>
      </c>
    </row>
    <row r="39" spans="1:27" x14ac:dyDescent="0.25">
      <c r="A39" s="88" t="s">
        <v>313</v>
      </c>
      <c r="B39" s="89">
        <f>SUM('branches '!V8:V12)</f>
        <v>3457.5099844031556</v>
      </c>
      <c r="C39" s="89">
        <f>SUM('branches '!W8:W12)</f>
        <v>1857</v>
      </c>
      <c r="D39" s="90">
        <f>C39/B39</f>
        <v>0.53709172450027221</v>
      </c>
      <c r="E39" s="89">
        <f>SUM('branches '!Y8:Y12)</f>
        <v>157.41868155192159</v>
      </c>
      <c r="F39" s="89">
        <f>SUM('branches '!Z8:Z12)</f>
        <v>82</v>
      </c>
      <c r="G39" s="90">
        <f>F39/E39</f>
        <v>0.52090386726402504</v>
      </c>
      <c r="H39" s="89">
        <f>SUM('branches '!AB8:AB12)</f>
        <v>178.05577532329448</v>
      </c>
      <c r="I39" s="89">
        <f>SUM('branches '!AC8:AC12)</f>
        <v>105</v>
      </c>
      <c r="J39" s="90">
        <f>I39/H39</f>
        <v>0.58970286029392938</v>
      </c>
      <c r="Q39" s="97"/>
    </row>
    <row r="40" spans="1:27" x14ac:dyDescent="0.25">
      <c r="A40" s="88" t="s">
        <v>112</v>
      </c>
      <c r="B40" s="89">
        <f>SUM('branches '!V13:V22)</f>
        <v>5981.295353118092</v>
      </c>
      <c r="C40" s="89">
        <f>SUM('branches '!W13:W22)</f>
        <v>3035</v>
      </c>
      <c r="D40" s="90">
        <f t="shared" ref="D40:D45" si="11">C40/B40</f>
        <v>0.50741517026371763</v>
      </c>
      <c r="E40" s="89">
        <f>SUM('branches '!Y13:Y22)</f>
        <v>241.98123580540806</v>
      </c>
      <c r="F40" s="89">
        <f>SUM('branches '!Z13:Z22)</f>
        <v>115</v>
      </c>
      <c r="G40" s="90">
        <f t="shared" ref="G40:G45" si="12">F40/E40</f>
        <v>0.4752434609949614</v>
      </c>
      <c r="H40" s="89">
        <f>SUM('branches '!AB13:AB22)</f>
        <v>232.24395147733037</v>
      </c>
      <c r="I40" s="89">
        <f>SUM('branches '!AC13:AC22)</f>
        <v>156</v>
      </c>
      <c r="J40" s="90">
        <f t="shared" ref="J40:J45" si="13">I40/H40</f>
        <v>0.67170748261759294</v>
      </c>
    </row>
    <row r="41" spans="1:27" x14ac:dyDescent="0.25">
      <c r="A41" s="88" t="s">
        <v>221</v>
      </c>
      <c r="B41" s="89">
        <f>SUM('branches '!V23:V31)</f>
        <v>5447.9274214954639</v>
      </c>
      <c r="C41" s="89">
        <f>SUM('branches '!W23:W31)</f>
        <v>3338</v>
      </c>
      <c r="D41" s="90">
        <f t="shared" si="11"/>
        <v>0.61271007150893986</v>
      </c>
      <c r="E41" s="89">
        <f>SUM('branches '!Y23:Y31)</f>
        <v>224.46943584580617</v>
      </c>
      <c r="F41" s="89">
        <f>SUM('branches '!Z23:Z31)</f>
        <v>94</v>
      </c>
      <c r="G41" s="90">
        <f t="shared" si="12"/>
        <v>0.41876525258686448</v>
      </c>
      <c r="H41" s="89">
        <f>SUM('branches '!AB23:AB31)</f>
        <v>507.04191890858152</v>
      </c>
      <c r="I41" s="89">
        <f>SUM('branches '!AC23:AC31)</f>
        <v>273</v>
      </c>
      <c r="J41" s="90">
        <f t="shared" si="13"/>
        <v>0.53841702198437225</v>
      </c>
    </row>
    <row r="42" spans="1:27" x14ac:dyDescent="0.25">
      <c r="A42" s="88" t="s">
        <v>30</v>
      </c>
      <c r="B42" s="89">
        <f>SUM('branches '!V32:V38)</f>
        <v>4925.584807012865</v>
      </c>
      <c r="C42" s="89">
        <f>SUM('branches '!W32:W38)</f>
        <v>2663</v>
      </c>
      <c r="D42" s="90">
        <f t="shared" si="11"/>
        <v>0.5406464621639484</v>
      </c>
      <c r="E42" s="89">
        <f>SUM('branches '!Y32:Y38)</f>
        <v>175.11799959601899</v>
      </c>
      <c r="F42" s="89">
        <f>SUM('branches '!Z32:Z38)</f>
        <v>67</v>
      </c>
      <c r="G42" s="90">
        <f t="shared" si="12"/>
        <v>0.38259916259072624</v>
      </c>
      <c r="H42" s="89">
        <f>SUM('branches '!AB32:AB38)</f>
        <v>201.95126215420032</v>
      </c>
      <c r="I42" s="89">
        <f>SUM('branches '!AC32:AC38)</f>
        <v>103</v>
      </c>
      <c r="J42" s="90">
        <f t="shared" si="13"/>
        <v>0.51002404689778136</v>
      </c>
    </row>
    <row r="43" spans="1:27" x14ac:dyDescent="0.25">
      <c r="A43" s="88" t="s">
        <v>887</v>
      </c>
      <c r="B43" s="89">
        <f>SUM('branches '!V39:V42)</f>
        <v>2353.7023540390114</v>
      </c>
      <c r="C43" s="89">
        <f>SUM('branches '!W39:W42)</f>
        <v>1181</v>
      </c>
      <c r="D43" s="90">
        <f t="shared" si="11"/>
        <v>0.50176267953905673</v>
      </c>
      <c r="E43" s="89">
        <f>SUM('branches '!Y39:Y42)</f>
        <v>80.336712615991459</v>
      </c>
      <c r="F43" s="89">
        <f>SUM('branches '!Z39:Z42)</f>
        <v>14</v>
      </c>
      <c r="G43" s="90">
        <f t="shared" si="12"/>
        <v>0.17426652826734193</v>
      </c>
      <c r="H43" s="89">
        <f>SUM('branches '!AB39:AB42)</f>
        <v>96.400466488101358</v>
      </c>
      <c r="I43" s="89">
        <f>SUM('branches '!AC39:AC42)</f>
        <v>21</v>
      </c>
      <c r="J43" s="90">
        <f t="shared" si="13"/>
        <v>0.21784126949833812</v>
      </c>
    </row>
    <row r="44" spans="1:27" x14ac:dyDescent="0.25">
      <c r="A44" s="88" t="s">
        <v>1086</v>
      </c>
      <c r="B44" s="89">
        <f>SUM('branches '!V43:V45)</f>
        <v>1597.0752614213766</v>
      </c>
      <c r="C44" s="89">
        <f>SUM('branches '!W43:W45)</f>
        <v>898</v>
      </c>
      <c r="D44" s="90">
        <f t="shared" si="11"/>
        <v>0.56227782227419354</v>
      </c>
      <c r="E44" s="89">
        <f>SUM('branches '!Y43:Y45)</f>
        <v>60.260784194224506</v>
      </c>
      <c r="F44" s="89">
        <f>SUM('branches '!Z43:Z45)</f>
        <v>23</v>
      </c>
      <c r="G44" s="90">
        <f t="shared" si="12"/>
        <v>0.38167442238835581</v>
      </c>
      <c r="H44" s="89">
        <f>SUM('branches '!AB43:AB45)</f>
        <v>81.599065984246977</v>
      </c>
      <c r="I44" s="89">
        <f>SUM('branches '!AC43:AC45)</f>
        <v>34</v>
      </c>
      <c r="J44" s="90">
        <f t="shared" si="13"/>
        <v>0.41667143600104239</v>
      </c>
    </row>
    <row r="45" spans="1:27" x14ac:dyDescent="0.25">
      <c r="A45" s="88" t="s">
        <v>970</v>
      </c>
      <c r="B45" s="89">
        <f>SUM('branches '!V46:V52)</f>
        <v>3795.0611764322393</v>
      </c>
      <c r="C45" s="89">
        <f>SUM('branches '!W46:W52)</f>
        <v>1592</v>
      </c>
      <c r="D45" s="90">
        <f t="shared" si="11"/>
        <v>0.41949257890399783</v>
      </c>
      <c r="E45" s="89">
        <f>SUM('branches '!Y46:Y52)</f>
        <v>147.52174165429005</v>
      </c>
      <c r="F45" s="89">
        <f>SUM('branches '!Z46:Z52)</f>
        <v>43</v>
      </c>
      <c r="G45" s="90">
        <f t="shared" si="12"/>
        <v>0.29148245890946967</v>
      </c>
      <c r="H45" s="89">
        <f>SUM('branches '!AB46:AB52)</f>
        <v>192.01228365691566</v>
      </c>
      <c r="I45" s="89">
        <f>SUM('branches '!AC46:AC52)</f>
        <v>158</v>
      </c>
      <c r="J45" s="90">
        <f t="shared" si="13"/>
        <v>0.82286402198263398</v>
      </c>
    </row>
    <row r="46" spans="1:27" x14ac:dyDescent="0.25">
      <c r="A46" s="91" t="s">
        <v>27</v>
      </c>
      <c r="B46" s="87">
        <f>SUM(B39:B45)</f>
        <v>27558.156357922202</v>
      </c>
      <c r="C46" s="87">
        <f>SUM(C39:C45)</f>
        <v>14564</v>
      </c>
      <c r="D46" s="205">
        <f>C46/B46</f>
        <v>0.52848237780657104</v>
      </c>
      <c r="E46" s="94">
        <f>SUM(E39:E45)</f>
        <v>1087.1065912636609</v>
      </c>
      <c r="F46" s="94">
        <f>SUM(F39:F45)</f>
        <v>438</v>
      </c>
      <c r="G46" s="93">
        <f>F46/E46</f>
        <v>0.40290437342566887</v>
      </c>
      <c r="H46" s="87">
        <f>SUM(H39:H45)</f>
        <v>1489.3047239926709</v>
      </c>
      <c r="I46" s="87">
        <f>SUM(I39:I45)</f>
        <v>850</v>
      </c>
      <c r="J46" s="205">
        <f>I46/H46</f>
        <v>0.57073612022208486</v>
      </c>
    </row>
    <row r="49" spans="1:18" ht="32.25" customHeight="1" x14ac:dyDescent="0.25">
      <c r="A49" s="264" t="s">
        <v>1134</v>
      </c>
      <c r="B49" s="264"/>
      <c r="C49" s="264"/>
      <c r="D49" s="264"/>
      <c r="E49" s="264"/>
      <c r="F49" s="264"/>
      <c r="G49" s="264"/>
      <c r="H49" s="264"/>
      <c r="I49" s="264"/>
      <c r="J49" s="264"/>
      <c r="K49" s="264"/>
      <c r="L49" s="264"/>
      <c r="M49" s="264"/>
      <c r="N49" s="201"/>
      <c r="O49" s="201"/>
      <c r="P49" s="201"/>
      <c r="Q49" s="201"/>
      <c r="R49" s="201"/>
    </row>
  </sheetData>
  <mergeCells count="19">
    <mergeCell ref="A1:M2"/>
    <mergeCell ref="A26:A27"/>
    <mergeCell ref="B26:D26"/>
    <mergeCell ref="E26:G26"/>
    <mergeCell ref="H26:J26"/>
    <mergeCell ref="K26:M26"/>
    <mergeCell ref="A49:M49"/>
    <mergeCell ref="A4:A5"/>
    <mergeCell ref="A15:A16"/>
    <mergeCell ref="B15:D15"/>
    <mergeCell ref="E15:G15"/>
    <mergeCell ref="H15:J15"/>
    <mergeCell ref="A37:A38"/>
    <mergeCell ref="B37:D37"/>
    <mergeCell ref="E37:G37"/>
    <mergeCell ref="H37:J37"/>
    <mergeCell ref="B4:D4"/>
    <mergeCell ref="E4:G4"/>
    <mergeCell ref="H4:J4"/>
  </mergeCells>
  <pageMargins left="0.7" right="0.7" top="0.75" bottom="0.75" header="0.3" footer="0.3"/>
  <ignoredErrors>
    <ignoredError sqref="D13 D35 G35 J35 G13 G24 D24 G46 D46" formula="1"/>
    <ignoredError sqref="B6 B17 B28 K28 H39 B33:B34 B22:B23 B11:B12 H44:H45 B7:B10 E6:E12 H6:H12 B18 B19:B21 K33:K34 E17:E23 B29:B32 E28:E34 H28:H34 K29:K32 H17:H23 H40:H43 B39:B45 E39:E4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3351C-F469-45B2-B2E0-F8BF89553956}">
  <sheetPr>
    <tabColor rgb="FF00B050"/>
  </sheetPr>
  <dimension ref="A1:AP56"/>
  <sheetViews>
    <sheetView zoomScale="96" zoomScaleNormal="96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E4" sqref="E1:E1048576"/>
    </sheetView>
  </sheetViews>
  <sheetFormatPr defaultColWidth="6.85546875" defaultRowHeight="15" x14ac:dyDescent="0.25"/>
  <cols>
    <col min="1" max="1" width="12.5703125" bestFit="1" customWidth="1"/>
    <col min="2" max="2" width="10" bestFit="1" customWidth="1"/>
    <col min="3" max="3" width="31.7109375" bestFit="1" customWidth="1"/>
    <col min="4" max="4" width="13.7109375" bestFit="1" customWidth="1"/>
    <col min="5" max="5" width="13.42578125" bestFit="1" customWidth="1"/>
    <col min="6" max="6" width="10.140625" style="35" bestFit="1" customWidth="1"/>
    <col min="7" max="7" width="11.28515625" bestFit="1" customWidth="1"/>
    <col min="8" max="8" width="13.42578125" bestFit="1" customWidth="1"/>
    <col min="9" max="9" width="7.5703125" style="35" bestFit="1" customWidth="1"/>
    <col min="10" max="10" width="12.7109375" bestFit="1" customWidth="1"/>
    <col min="11" max="11" width="13.42578125" bestFit="1" customWidth="1"/>
    <col min="12" max="12" width="6.7109375" style="35" bestFit="1" customWidth="1"/>
    <col min="13" max="13" width="11.140625" bestFit="1" customWidth="1"/>
    <col min="14" max="14" width="11" bestFit="1" customWidth="1"/>
    <col min="15" max="15" width="8.42578125" style="35" bestFit="1" customWidth="1"/>
    <col min="16" max="16" width="9.140625" bestFit="1" customWidth="1"/>
    <col min="17" max="17" width="10.42578125" bestFit="1" customWidth="1"/>
    <col min="18" max="18" width="6.7109375" style="35" bestFit="1" customWidth="1"/>
    <col min="19" max="19" width="7.5703125" bestFit="1" customWidth="1"/>
    <col min="20" max="20" width="9.42578125" bestFit="1" customWidth="1"/>
    <col min="21" max="21" width="6.5703125" style="35" bestFit="1" customWidth="1"/>
    <col min="22" max="22" width="10.140625" bestFit="1" customWidth="1"/>
    <col min="23" max="23" width="13.42578125" bestFit="1" customWidth="1"/>
    <col min="24" max="24" width="6.5703125" style="35" bestFit="1" customWidth="1"/>
    <col min="25" max="25" width="9.140625" bestFit="1" customWidth="1"/>
    <col min="26" max="26" width="13.42578125" bestFit="1" customWidth="1"/>
    <col min="27" max="27" width="6.5703125" style="35" bestFit="1" customWidth="1"/>
    <col min="28" max="28" width="9.140625" bestFit="1" customWidth="1"/>
    <col min="29" max="29" width="13.42578125" bestFit="1" customWidth="1"/>
    <col min="30" max="30" width="6.5703125" style="35" bestFit="1" customWidth="1"/>
    <col min="31" max="31" width="9.140625" bestFit="1" customWidth="1"/>
    <col min="32" max="32" width="13.42578125" bestFit="1" customWidth="1"/>
    <col min="33" max="33" width="6.5703125" style="35" bestFit="1" customWidth="1"/>
    <col min="34" max="34" width="9.140625" bestFit="1" customWidth="1"/>
    <col min="35" max="35" width="17.85546875" bestFit="1" customWidth="1"/>
    <col min="36" max="36" width="8.42578125" style="35" bestFit="1" customWidth="1"/>
    <col min="37" max="37" width="7.5703125" bestFit="1" customWidth="1"/>
    <col min="38" max="38" width="15.28515625" style="35" bestFit="1" customWidth="1"/>
    <col min="39" max="39" width="7.28515625" bestFit="1" customWidth="1"/>
    <col min="40" max="40" width="9.140625" bestFit="1" customWidth="1"/>
    <col min="41" max="41" width="22.42578125" bestFit="1" customWidth="1"/>
    <col min="42" max="42" width="7.28515625" style="2" bestFit="1" customWidth="1"/>
  </cols>
  <sheetData>
    <row r="1" spans="1:42" x14ac:dyDescent="0.25">
      <c r="A1" s="278"/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  <c r="Y1" s="278"/>
      <c r="Z1" s="278"/>
      <c r="AA1" s="278"/>
      <c r="AB1" s="278"/>
      <c r="AC1" s="278"/>
      <c r="AD1" s="278"/>
      <c r="AE1" s="278"/>
      <c r="AF1" s="278"/>
      <c r="AG1" s="278"/>
      <c r="AH1" s="278"/>
      <c r="AI1" s="278"/>
      <c r="AJ1" s="278"/>
      <c r="AK1" s="278"/>
      <c r="AL1" s="278"/>
      <c r="AM1" s="278"/>
      <c r="AN1" s="278"/>
      <c r="AO1" s="278"/>
      <c r="AP1" s="278"/>
    </row>
    <row r="2" spans="1:42" x14ac:dyDescent="0.25">
      <c r="A2" s="278"/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  <c r="AA2" s="278"/>
      <c r="AB2" s="278"/>
      <c r="AC2" s="278"/>
      <c r="AD2" s="278"/>
      <c r="AE2" s="278"/>
      <c r="AF2" s="278"/>
      <c r="AG2" s="278"/>
      <c r="AH2" s="278"/>
      <c r="AI2" s="278"/>
      <c r="AJ2" s="278"/>
      <c r="AK2" s="278"/>
      <c r="AL2" s="278"/>
      <c r="AM2" s="278"/>
      <c r="AN2" s="278"/>
      <c r="AO2" s="278"/>
      <c r="AP2" s="278"/>
    </row>
    <row r="3" spans="1:42" x14ac:dyDescent="0.25">
      <c r="A3" s="278"/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S3" s="278"/>
      <c r="T3" s="278"/>
      <c r="U3" s="278"/>
      <c r="V3" s="278"/>
      <c r="W3" s="278"/>
      <c r="X3" s="278"/>
      <c r="Y3" s="278"/>
      <c r="Z3" s="278"/>
      <c r="AA3" s="278"/>
      <c r="AB3" s="278"/>
      <c r="AC3" s="278"/>
      <c r="AD3" s="278"/>
      <c r="AE3" s="278"/>
      <c r="AF3" s="278"/>
      <c r="AG3" s="278"/>
      <c r="AH3" s="278"/>
      <c r="AI3" s="278"/>
      <c r="AJ3" s="278"/>
      <c r="AK3" s="278"/>
      <c r="AL3" s="278"/>
      <c r="AM3" s="278"/>
      <c r="AN3" s="278"/>
      <c r="AO3" s="278"/>
      <c r="AP3" s="278"/>
    </row>
    <row r="4" spans="1:42" x14ac:dyDescent="0.25">
      <c r="A4" s="41"/>
      <c r="B4" s="41"/>
      <c r="C4" s="41"/>
      <c r="D4" s="42"/>
      <c r="E4" s="42"/>
      <c r="F4" s="39"/>
      <c r="G4" s="42"/>
      <c r="H4" s="42"/>
      <c r="I4" s="39"/>
      <c r="J4" s="42"/>
      <c r="K4" s="42"/>
      <c r="L4" s="39"/>
      <c r="M4" s="42"/>
      <c r="N4" s="42"/>
      <c r="O4" s="39"/>
      <c r="P4" s="42"/>
      <c r="Q4" s="42"/>
      <c r="R4" s="39"/>
      <c r="S4" s="42"/>
      <c r="T4" s="42"/>
      <c r="U4" s="39"/>
      <c r="V4" s="42"/>
      <c r="W4" s="42"/>
      <c r="X4" s="39"/>
      <c r="Y4" s="42"/>
      <c r="Z4" s="42"/>
      <c r="AA4" s="39"/>
      <c r="AB4" s="42"/>
      <c r="AC4" s="42"/>
      <c r="AD4" s="39"/>
      <c r="AE4" s="42"/>
      <c r="AF4" s="42"/>
      <c r="AG4" s="39"/>
      <c r="AH4" s="42"/>
      <c r="AI4" s="42"/>
      <c r="AJ4" s="39"/>
      <c r="AK4" s="42"/>
      <c r="AL4" s="42"/>
      <c r="AM4" s="39"/>
      <c r="AP4"/>
    </row>
    <row r="5" spans="1:42" x14ac:dyDescent="0.25">
      <c r="A5" s="66"/>
      <c r="B5" s="66"/>
      <c r="C5" s="66"/>
      <c r="D5" s="43"/>
      <c r="E5" s="43"/>
      <c r="F5" s="45"/>
      <c r="G5" s="43"/>
      <c r="H5" s="43"/>
      <c r="I5" s="45"/>
      <c r="J5" s="44"/>
      <c r="K5" s="44"/>
      <c r="L5" s="45"/>
      <c r="M5" s="43"/>
      <c r="N5" s="43"/>
      <c r="O5" s="45"/>
      <c r="P5" s="44"/>
      <c r="Q5" s="44"/>
      <c r="R5" s="45"/>
      <c r="S5" s="44"/>
      <c r="T5" s="44"/>
      <c r="U5" s="45"/>
      <c r="V5" s="43"/>
      <c r="W5" s="43"/>
      <c r="X5" s="45"/>
      <c r="Y5" s="43"/>
      <c r="Z5" s="43"/>
      <c r="AA5" s="45"/>
      <c r="AB5" s="43"/>
      <c r="AC5" s="43"/>
      <c r="AD5" s="45"/>
      <c r="AE5" s="43"/>
      <c r="AF5" s="43"/>
      <c r="AG5" s="45"/>
      <c r="AH5" s="43"/>
      <c r="AI5" s="43"/>
      <c r="AJ5" s="45"/>
      <c r="AK5" s="44"/>
      <c r="AL5" s="44"/>
      <c r="AM5" s="45"/>
      <c r="AN5" s="45"/>
      <c r="AO5" s="110"/>
      <c r="AP5" s="45"/>
    </row>
    <row r="6" spans="1:42" x14ac:dyDescent="0.25">
      <c r="A6" s="67"/>
      <c r="B6" s="67"/>
      <c r="C6" s="67"/>
      <c r="D6" s="64"/>
      <c r="E6" s="64" t="s">
        <v>1156</v>
      </c>
      <c r="F6" s="56"/>
      <c r="G6" s="46"/>
      <c r="H6" s="46" t="s">
        <v>1155</v>
      </c>
      <c r="I6" s="49"/>
      <c r="J6" s="47"/>
      <c r="K6" s="47" t="s">
        <v>1215</v>
      </c>
      <c r="L6" s="57"/>
      <c r="M6" s="46"/>
      <c r="N6" s="46" t="s">
        <v>496</v>
      </c>
      <c r="O6" s="49"/>
      <c r="P6" s="47"/>
      <c r="Q6" s="47" t="s">
        <v>1154</v>
      </c>
      <c r="R6" s="57"/>
      <c r="S6" s="48"/>
      <c r="T6" s="48" t="s">
        <v>466</v>
      </c>
      <c r="U6" s="49"/>
      <c r="V6" s="47"/>
      <c r="W6" s="47" t="s">
        <v>1153</v>
      </c>
      <c r="X6" s="57"/>
      <c r="Y6" s="48"/>
      <c r="Z6" s="72" t="s">
        <v>501</v>
      </c>
      <c r="AA6" s="49"/>
      <c r="AB6" s="47"/>
      <c r="AC6" s="71" t="s">
        <v>1152</v>
      </c>
      <c r="AD6" s="57"/>
      <c r="AE6" s="48"/>
      <c r="AF6" s="48" t="s">
        <v>1151</v>
      </c>
      <c r="AG6" s="49"/>
      <c r="AH6" s="47"/>
      <c r="AI6" s="47" t="s">
        <v>1150</v>
      </c>
      <c r="AJ6" s="57"/>
      <c r="AK6" s="46"/>
      <c r="AL6" s="46" t="s">
        <v>507</v>
      </c>
      <c r="AM6" s="49"/>
      <c r="AN6" s="47"/>
      <c r="AO6" s="47" t="s">
        <v>1174</v>
      </c>
      <c r="AP6" s="57"/>
    </row>
    <row r="7" spans="1:42" x14ac:dyDescent="0.25">
      <c r="A7" s="67" t="s">
        <v>508</v>
      </c>
      <c r="B7" s="67" t="s">
        <v>18</v>
      </c>
      <c r="C7" s="67" t="s">
        <v>19</v>
      </c>
      <c r="D7" s="50" t="s">
        <v>24</v>
      </c>
      <c r="E7" s="50" t="s">
        <v>25</v>
      </c>
      <c r="F7" s="51" t="s">
        <v>28</v>
      </c>
      <c r="G7" s="52" t="s">
        <v>24</v>
      </c>
      <c r="H7" s="52" t="s">
        <v>25</v>
      </c>
      <c r="I7" s="53" t="s">
        <v>28</v>
      </c>
      <c r="J7" s="50" t="s">
        <v>24</v>
      </c>
      <c r="K7" s="50" t="s">
        <v>25</v>
      </c>
      <c r="L7" s="51" t="s">
        <v>28</v>
      </c>
      <c r="M7" s="52" t="s">
        <v>24</v>
      </c>
      <c r="N7" s="52" t="s">
        <v>29</v>
      </c>
      <c r="O7" s="53" t="s">
        <v>28</v>
      </c>
      <c r="P7" s="50" t="s">
        <v>24</v>
      </c>
      <c r="Q7" s="50" t="s">
        <v>29</v>
      </c>
      <c r="R7" s="51" t="s">
        <v>28</v>
      </c>
      <c r="S7" s="52" t="s">
        <v>24</v>
      </c>
      <c r="T7" s="52" t="s">
        <v>29</v>
      </c>
      <c r="U7" s="53" t="s">
        <v>28</v>
      </c>
      <c r="V7" s="50" t="s">
        <v>24</v>
      </c>
      <c r="W7" s="50" t="s">
        <v>25</v>
      </c>
      <c r="X7" s="51" t="s">
        <v>28</v>
      </c>
      <c r="Y7" s="52" t="s">
        <v>24</v>
      </c>
      <c r="Z7" s="52" t="s">
        <v>25</v>
      </c>
      <c r="AA7" s="53" t="s">
        <v>28</v>
      </c>
      <c r="AB7" s="50" t="s">
        <v>24</v>
      </c>
      <c r="AC7" s="50" t="s">
        <v>25</v>
      </c>
      <c r="AD7" s="51" t="s">
        <v>28</v>
      </c>
      <c r="AE7" s="52" t="s">
        <v>24</v>
      </c>
      <c r="AF7" s="52" t="s">
        <v>25</v>
      </c>
      <c r="AG7" s="53" t="s">
        <v>28</v>
      </c>
      <c r="AH7" s="50" t="s">
        <v>24</v>
      </c>
      <c r="AI7" s="50" t="s">
        <v>29</v>
      </c>
      <c r="AJ7" s="51" t="s">
        <v>28</v>
      </c>
      <c r="AK7" s="52" t="s">
        <v>24</v>
      </c>
      <c r="AL7" s="52" t="s">
        <v>29</v>
      </c>
      <c r="AM7" s="53" t="s">
        <v>28</v>
      </c>
      <c r="AN7" s="50" t="s">
        <v>24</v>
      </c>
      <c r="AO7" s="50" t="s">
        <v>29</v>
      </c>
      <c r="AP7" s="51" t="s">
        <v>28</v>
      </c>
    </row>
    <row r="8" spans="1:42" x14ac:dyDescent="0.25">
      <c r="A8" s="54">
        <v>73008</v>
      </c>
      <c r="B8" s="54" t="s">
        <v>313</v>
      </c>
      <c r="C8" s="54" t="s">
        <v>314</v>
      </c>
      <c r="D8" s="58">
        <v>1063374.7208499999</v>
      </c>
      <c r="E8" s="58">
        <f>VLOOKUP(A:A,'داتا اليومي'!A:L,2,)</f>
        <v>834349.8600000001</v>
      </c>
      <c r="F8" s="55">
        <f t="shared" ref="F8:F52" si="0">E8/D8</f>
        <v>0.78462450126054284</v>
      </c>
      <c r="G8" s="58">
        <v>157091.23546</v>
      </c>
      <c r="H8" s="58">
        <f>VLOOKUP(A:A,'داتا اليومي'!A:C,3,)</f>
        <v>134534.40999999997</v>
      </c>
      <c r="I8" s="55">
        <f t="shared" ref="I8:I52" si="1">H8/G8</f>
        <v>0.85640939550861417</v>
      </c>
      <c r="J8" s="58">
        <v>320081.3538432261</v>
      </c>
      <c r="K8" s="58">
        <f>VLOOKUP(A:A,'داتا اليومي'!A:L,4,)</f>
        <v>137816.96000000002</v>
      </c>
      <c r="L8" s="55">
        <f t="shared" ref="L8:L52" si="2">K8/J8</f>
        <v>0.43056853623376617</v>
      </c>
      <c r="M8" s="58">
        <v>16404.52634</v>
      </c>
      <c r="N8" s="58">
        <f>VLOOKUP(A:A,'داتا اليومي'!A:L,5,)</f>
        <v>4912</v>
      </c>
      <c r="O8" s="55">
        <f t="shared" ref="O8:O52" si="3">N8/M8</f>
        <v>0.29942955366061486</v>
      </c>
      <c r="P8" s="58">
        <v>217</v>
      </c>
      <c r="Q8" s="58">
        <f>VLOOKUP(A:A,'داتا اليومي'!A:L,6,)</f>
        <v>127</v>
      </c>
      <c r="R8" s="55">
        <f t="shared" ref="R8:R52" si="4">Q8/P8</f>
        <v>0.58525345622119818</v>
      </c>
      <c r="S8" s="58">
        <v>26</v>
      </c>
      <c r="T8" s="58">
        <f>VLOOKUP(A:A,'داتا اليومي'!A:L,7,)</f>
        <v>10</v>
      </c>
      <c r="U8" s="55">
        <f t="shared" ref="U8:U52" si="5">T8/S8</f>
        <v>0.38461538461538464</v>
      </c>
      <c r="V8" s="58">
        <v>935.04585035153104</v>
      </c>
      <c r="W8" s="58">
        <f>VLOOKUP(A:A,'داتا اليومي'!A:L,8,)</f>
        <v>503</v>
      </c>
      <c r="X8" s="55">
        <f t="shared" ref="X8:X52" si="6">W8/V8</f>
        <v>0.53794153496419117</v>
      </c>
      <c r="Y8" s="58">
        <v>37.411572640967691</v>
      </c>
      <c r="Z8" s="58">
        <f>VLOOKUP(A:A,'داتا اليومي'!A:L,9,)</f>
        <v>24</v>
      </c>
      <c r="AA8" s="55">
        <f t="shared" ref="AA8:AA52" si="7">Z8/Y8</f>
        <v>0.64151272736711162</v>
      </c>
      <c r="AB8" s="58">
        <v>42.554015953920782</v>
      </c>
      <c r="AC8" s="58">
        <f>VLOOKUP(A:A,'داتا اليومي'!A:L,10,)</f>
        <v>23</v>
      </c>
      <c r="AD8" s="55">
        <f t="shared" ref="AD8:AD52" si="8">AC8/AB8</f>
        <v>0.54048952806017969</v>
      </c>
      <c r="AE8" s="58">
        <v>112.01323378399438</v>
      </c>
      <c r="AF8" s="58">
        <f>VLOOKUP(A:A,'داتا اليومي'!A:L,11,)</f>
        <v>49</v>
      </c>
      <c r="AG8" s="55">
        <f t="shared" ref="AG8:AG52" si="9">AF8/AE8</f>
        <v>0.43744831163870596</v>
      </c>
      <c r="AH8" s="58">
        <v>62</v>
      </c>
      <c r="AI8" s="58">
        <f>VLOOKUP(A:A,'داتا اليومي'!A:L,12,)</f>
        <v>41</v>
      </c>
      <c r="AJ8" s="55">
        <f t="shared" ref="AJ8:AJ52" si="10">AI8/AH8</f>
        <v>0.66129032258064513</v>
      </c>
      <c r="AK8" s="58">
        <v>31.121527064255439</v>
      </c>
      <c r="AL8" s="58">
        <f>VLOOKUP(A:A,'داتا اليومي'!A:M,13,)</f>
        <v>0</v>
      </c>
      <c r="AM8" s="55">
        <f t="shared" ref="AM8:AM52" si="11">AL8/AK8</f>
        <v>0</v>
      </c>
      <c r="AN8" s="58">
        <v>104</v>
      </c>
      <c r="AO8" s="111">
        <f>VLOOKUP(A:A,'داتا اليومي'!A:O,14,)</f>
        <v>14</v>
      </c>
      <c r="AP8" s="55">
        <f t="shared" ref="AP8:AP52" si="12">AO8/AN8</f>
        <v>0.13461538461538461</v>
      </c>
    </row>
    <row r="9" spans="1:42" x14ac:dyDescent="0.25">
      <c r="A9" s="54">
        <v>73009</v>
      </c>
      <c r="B9" s="54" t="s">
        <v>313</v>
      </c>
      <c r="C9" s="54" t="s">
        <v>325</v>
      </c>
      <c r="D9" s="58">
        <v>1260768.8872</v>
      </c>
      <c r="E9" s="58">
        <f>VLOOKUP(A:A,'داتا اليومي'!A:L,2,)</f>
        <v>994551.79000000015</v>
      </c>
      <c r="F9" s="55">
        <f t="shared" si="0"/>
        <v>0.78884544193406247</v>
      </c>
      <c r="G9" s="58">
        <v>180364.01109000001</v>
      </c>
      <c r="H9" s="58">
        <f>VLOOKUP(A:A,'داتا اليومي'!A:C,3,)</f>
        <v>144511.32999999999</v>
      </c>
      <c r="I9" s="55">
        <f t="shared" si="1"/>
        <v>0.80122042710555008</v>
      </c>
      <c r="J9" s="58">
        <v>367500.81364082126</v>
      </c>
      <c r="K9" s="58">
        <f>VLOOKUP(A:A,'داتا اليومي'!A:L,4,)</f>
        <v>199887.58999999997</v>
      </c>
      <c r="L9" s="55">
        <f t="shared" si="2"/>
        <v>0.54391060531191393</v>
      </c>
      <c r="M9" s="58">
        <v>15435.424580000001</v>
      </c>
      <c r="N9" s="58">
        <f>VLOOKUP(A:A,'داتا اليومي'!A:L,5,)</f>
        <v>2561</v>
      </c>
      <c r="O9" s="55">
        <f t="shared" si="3"/>
        <v>0.16591704275620256</v>
      </c>
      <c r="P9" s="58">
        <v>246</v>
      </c>
      <c r="Q9" s="58">
        <f>VLOOKUP(A:A,'داتا اليومي'!A:L,6,)</f>
        <v>135</v>
      </c>
      <c r="R9" s="55">
        <f t="shared" si="4"/>
        <v>0.54878048780487809</v>
      </c>
      <c r="S9" s="58">
        <v>38</v>
      </c>
      <c r="T9" s="58">
        <f>VLOOKUP(A:A,'داتا اليومي'!A:L,7,)</f>
        <v>13</v>
      </c>
      <c r="U9" s="55">
        <f t="shared" si="5"/>
        <v>0.34210526315789475</v>
      </c>
      <c r="V9" s="58">
        <v>1076.3763706693055</v>
      </c>
      <c r="W9" s="58">
        <f>VLOOKUP(A:A,'داتا اليومي'!A:L,8,)</f>
        <v>713</v>
      </c>
      <c r="X9" s="55">
        <f t="shared" si="6"/>
        <v>0.66240770368885638</v>
      </c>
      <c r="Y9" s="58">
        <v>52.535399878805691</v>
      </c>
      <c r="Z9" s="58">
        <f>VLOOKUP(A:A,'داتا اليومي'!A:L,9,)</f>
        <v>31</v>
      </c>
      <c r="AA9" s="55">
        <f t="shared" si="7"/>
        <v>0.59007831046330916</v>
      </c>
      <c r="AB9" s="58">
        <v>55.536597092405088</v>
      </c>
      <c r="AC9" s="58">
        <f>VLOOKUP(A:A,'داتا اليومي'!A:L,10,)</f>
        <v>40</v>
      </c>
      <c r="AD9" s="55">
        <f t="shared" si="8"/>
        <v>0.72024578555732577</v>
      </c>
      <c r="AE9" s="58">
        <v>125.4548218380737</v>
      </c>
      <c r="AF9" s="58">
        <f>VLOOKUP(A:A,'داتا اليومي'!A:L,11,)</f>
        <v>63</v>
      </c>
      <c r="AG9" s="55">
        <f t="shared" si="9"/>
        <v>0.50217280672810638</v>
      </c>
      <c r="AH9" s="58">
        <v>78</v>
      </c>
      <c r="AI9" s="58">
        <f>VLOOKUP(A:A,'داتا اليومي'!A:L,12,)</f>
        <v>43</v>
      </c>
      <c r="AJ9" s="55">
        <f t="shared" si="10"/>
        <v>0.55128205128205132</v>
      </c>
      <c r="AK9" s="58">
        <v>36.898613701670655</v>
      </c>
      <c r="AL9" s="58">
        <f>VLOOKUP(A:A,'داتا اليومي'!A:M,13,)</f>
        <v>0</v>
      </c>
      <c r="AM9" s="55">
        <f t="shared" si="11"/>
        <v>0</v>
      </c>
      <c r="AN9" s="58">
        <v>115</v>
      </c>
      <c r="AO9" s="111">
        <f>VLOOKUP(A:A,'داتا اليومي'!A:O,14,)</f>
        <v>31</v>
      </c>
      <c r="AP9" s="55">
        <f t="shared" si="12"/>
        <v>0.26956521739130435</v>
      </c>
    </row>
    <row r="10" spans="1:42" x14ac:dyDescent="0.25">
      <c r="A10" s="54">
        <v>73010</v>
      </c>
      <c r="B10" s="54" t="s">
        <v>313</v>
      </c>
      <c r="C10" s="54" t="s">
        <v>526</v>
      </c>
      <c r="D10" s="58">
        <v>290192.2218</v>
      </c>
      <c r="E10" s="58">
        <f>VLOOKUP(A:A,'داتا اليومي'!A:L,2,)</f>
        <v>202363.53000000003</v>
      </c>
      <c r="F10" s="55">
        <f t="shared" si="0"/>
        <v>0.69734305332094204</v>
      </c>
      <c r="G10" s="58">
        <v>46545.551250000004</v>
      </c>
      <c r="H10" s="58">
        <f>VLOOKUP(A:A,'داتا اليومي'!A:C,3,)</f>
        <v>9997.39</v>
      </c>
      <c r="I10" s="55">
        <f t="shared" si="1"/>
        <v>0.21478722953141519</v>
      </c>
      <c r="J10" s="58">
        <v>94838.919635190279</v>
      </c>
      <c r="K10" s="58">
        <f>VLOOKUP(A:A,'داتا اليومي'!A:L,4,)</f>
        <v>68650.040000000008</v>
      </c>
      <c r="L10" s="55">
        <f t="shared" si="2"/>
        <v>0.72385936347726165</v>
      </c>
      <c r="M10" s="58">
        <v>2000.4070200000001</v>
      </c>
      <c r="N10" s="58">
        <f>VLOOKUP(A:A,'داتا اليومي'!A:L,5,)</f>
        <v>0</v>
      </c>
      <c r="O10" s="55">
        <f t="shared" si="3"/>
        <v>0</v>
      </c>
      <c r="P10" s="58">
        <v>65</v>
      </c>
      <c r="Q10" s="58">
        <f>VLOOKUP(A:A,'داتا اليومي'!A:L,6,)</f>
        <v>47</v>
      </c>
      <c r="R10" s="55">
        <f t="shared" si="4"/>
        <v>0.72307692307692306</v>
      </c>
      <c r="S10" s="58">
        <v>9</v>
      </c>
      <c r="T10" s="58">
        <f>VLOOKUP(A:A,'داتا اليومي'!A:L,7,)</f>
        <v>1</v>
      </c>
      <c r="U10" s="55">
        <f t="shared" si="5"/>
        <v>0.1111111111111111</v>
      </c>
      <c r="V10" s="58">
        <v>270.76146258788276</v>
      </c>
      <c r="W10" s="58">
        <f>VLOOKUP(A:A,'داتا اليومي'!A:L,8,)</f>
        <v>109</v>
      </c>
      <c r="X10" s="55">
        <f t="shared" si="6"/>
        <v>0.4025683675889481</v>
      </c>
      <c r="Y10" s="58">
        <v>12.735854516074108</v>
      </c>
      <c r="Z10" s="58">
        <f>VLOOKUP(A:A,'داتا اليومي'!A:L,9,)</f>
        <v>7</v>
      </c>
      <c r="AA10" s="55">
        <f t="shared" si="7"/>
        <v>0.54962939402025968</v>
      </c>
      <c r="AB10" s="58">
        <v>11.540072123097161</v>
      </c>
      <c r="AC10" s="58">
        <f>VLOOKUP(A:A,'داتا اليومي'!A:L,10,)</f>
        <v>7</v>
      </c>
      <c r="AD10" s="55">
        <f t="shared" si="8"/>
        <v>0.60658199752406039</v>
      </c>
      <c r="AE10" s="58">
        <v>37.636446551422111</v>
      </c>
      <c r="AF10" s="58">
        <f>VLOOKUP(A:A,'داتا اليومي'!A:L,11,)</f>
        <v>15</v>
      </c>
      <c r="AG10" s="55">
        <f t="shared" si="9"/>
        <v>0.39854984660960818</v>
      </c>
      <c r="AH10" s="58">
        <v>10</v>
      </c>
      <c r="AI10" s="58">
        <f>VLOOKUP(A:A,'داتا اليومي'!A:L,12,)</f>
        <v>4</v>
      </c>
      <c r="AJ10" s="55">
        <f t="shared" si="10"/>
        <v>0.4</v>
      </c>
      <c r="AK10" s="58">
        <v>8.4929845589766142</v>
      </c>
      <c r="AL10" s="58">
        <f>VLOOKUP(A:A,'داتا اليومي'!A:M,13,)</f>
        <v>0</v>
      </c>
      <c r="AM10" s="55">
        <f t="shared" si="11"/>
        <v>0</v>
      </c>
      <c r="AN10" s="58">
        <v>23</v>
      </c>
      <c r="AO10" s="111">
        <f>VLOOKUP(A:A,'داتا اليومي'!A:O,14,)</f>
        <v>16</v>
      </c>
      <c r="AP10" s="55">
        <f t="shared" si="12"/>
        <v>0.69565217391304346</v>
      </c>
    </row>
    <row r="11" spans="1:42" x14ac:dyDescent="0.25">
      <c r="A11" s="54">
        <v>73015</v>
      </c>
      <c r="B11" s="54" t="s">
        <v>313</v>
      </c>
      <c r="C11" s="54" t="s">
        <v>342</v>
      </c>
      <c r="D11" s="58">
        <v>945975.69313000003</v>
      </c>
      <c r="E11" s="58">
        <f>VLOOKUP(A:A,'داتا اليومي'!A:L,2,)</f>
        <v>645835.88000000012</v>
      </c>
      <c r="F11" s="55">
        <f t="shared" si="0"/>
        <v>0.68271931793838025</v>
      </c>
      <c r="G11" s="58">
        <v>145454.84766</v>
      </c>
      <c r="H11" s="58">
        <f>VLOOKUP(A:A,'داتا اليومي'!A:C,3,)</f>
        <v>66811.959999999992</v>
      </c>
      <c r="I11" s="55">
        <f t="shared" si="1"/>
        <v>0.4593312706646438</v>
      </c>
      <c r="J11" s="58">
        <v>296371.75472000003</v>
      </c>
      <c r="K11" s="58">
        <f>VLOOKUP(A:A,'داتا اليومي'!A:L,4,)</f>
        <v>147688.51</v>
      </c>
      <c r="L11" s="55">
        <f t="shared" si="2"/>
        <v>0.49832181254765695</v>
      </c>
      <c r="M11" s="58">
        <v>12113.77195</v>
      </c>
      <c r="N11" s="58">
        <f>VLOOKUP(A:A,'داتا اليومي'!A:L,5,)</f>
        <v>534</v>
      </c>
      <c r="O11" s="55">
        <f t="shared" si="3"/>
        <v>4.4082058189976077E-2</v>
      </c>
      <c r="P11" s="58">
        <v>198</v>
      </c>
      <c r="Q11" s="58">
        <f>VLOOKUP(A:A,'داتا اليومي'!A:L,6,)</f>
        <v>97</v>
      </c>
      <c r="R11" s="55">
        <f t="shared" si="4"/>
        <v>0.48989898989898989</v>
      </c>
      <c r="S11" s="58">
        <v>24</v>
      </c>
      <c r="T11" s="58">
        <f>VLOOKUP(A:A,'داتا اليومي'!A:L,7,)</f>
        <v>4</v>
      </c>
      <c r="U11" s="55">
        <f t="shared" si="5"/>
        <v>0.16666666666666666</v>
      </c>
      <c r="V11" s="58">
        <v>861</v>
      </c>
      <c r="W11" s="58">
        <f>VLOOKUP(A:A,'داتا اليومي'!A:L,8,)</f>
        <v>338</v>
      </c>
      <c r="X11" s="55">
        <f t="shared" si="6"/>
        <v>0.39256678281068524</v>
      </c>
      <c r="Y11" s="58">
        <v>42</v>
      </c>
      <c r="Z11" s="58">
        <f>VLOOKUP(A:A,'داتا اليومي'!A:L,9,)</f>
        <v>18</v>
      </c>
      <c r="AA11" s="55">
        <f t="shared" si="7"/>
        <v>0.42857142857142855</v>
      </c>
      <c r="AB11" s="58">
        <v>54</v>
      </c>
      <c r="AC11" s="58">
        <f>VLOOKUP(A:A,'داتا اليومي'!A:L,10,)</f>
        <v>25</v>
      </c>
      <c r="AD11" s="55">
        <f t="shared" si="8"/>
        <v>0.46296296296296297</v>
      </c>
      <c r="AE11" s="58">
        <v>117</v>
      </c>
      <c r="AF11" s="58">
        <f>VLOOKUP(A:A,'داتا اليومي'!A:L,11,)</f>
        <v>57</v>
      </c>
      <c r="AG11" s="55">
        <f t="shared" si="9"/>
        <v>0.48717948717948717</v>
      </c>
      <c r="AH11" s="58">
        <v>58</v>
      </c>
      <c r="AI11" s="58">
        <f>VLOOKUP(A:A,'داتا اليومي'!A:L,12,)</f>
        <v>52</v>
      </c>
      <c r="AJ11" s="55">
        <f t="shared" si="10"/>
        <v>0.89655172413793105</v>
      </c>
      <c r="AK11" s="58">
        <v>27.685638522928496</v>
      </c>
      <c r="AL11" s="58">
        <f>VLOOKUP(A:A,'داتا اليومي'!A:M,13,)</f>
        <v>0</v>
      </c>
      <c r="AM11" s="55">
        <f t="shared" si="11"/>
        <v>0</v>
      </c>
      <c r="AN11" s="58">
        <v>87</v>
      </c>
      <c r="AO11" s="111">
        <f>VLOOKUP(A:A,'داتا اليومي'!A:O,14,)</f>
        <v>14</v>
      </c>
      <c r="AP11" s="55">
        <f t="shared" si="12"/>
        <v>0.16091954022988506</v>
      </c>
    </row>
    <row r="12" spans="1:42" x14ac:dyDescent="0.25">
      <c r="A12" s="54">
        <v>73031</v>
      </c>
      <c r="B12" s="54" t="s">
        <v>313</v>
      </c>
      <c r="C12" s="54" t="s">
        <v>352</v>
      </c>
      <c r="D12" s="58">
        <v>379591.24952999997</v>
      </c>
      <c r="E12" s="58">
        <f>VLOOKUP(A:A,'داتا اليومي'!A:L,2,)</f>
        <v>242347.03000000003</v>
      </c>
      <c r="F12" s="55">
        <f t="shared" si="0"/>
        <v>0.6384420881673849</v>
      </c>
      <c r="G12" s="58">
        <v>52363.745150000002</v>
      </c>
      <c r="H12" s="58">
        <f>VLOOKUP(A:A,'داتا اليومي'!A:C,3,)</f>
        <v>8466.08</v>
      </c>
      <c r="I12" s="55">
        <f t="shared" si="1"/>
        <v>0.1616782752216874</v>
      </c>
      <c r="J12" s="58">
        <v>106693.78461664262</v>
      </c>
      <c r="K12" s="58">
        <f>VLOOKUP(A:A,'داتا اليومي'!A:L,4,)</f>
        <v>36620.030000000006</v>
      </c>
      <c r="L12" s="55">
        <f t="shared" si="2"/>
        <v>0.34322552275728191</v>
      </c>
      <c r="M12" s="58">
        <v>2500.9578999999999</v>
      </c>
      <c r="N12" s="58">
        <f>VLOOKUP(A:A,'داتا اليومي'!A:L,5,)</f>
        <v>238</v>
      </c>
      <c r="O12" s="55">
        <f t="shared" si="3"/>
        <v>9.5163537139109786E-2</v>
      </c>
      <c r="P12" s="58">
        <v>70</v>
      </c>
      <c r="Q12" s="58">
        <f>VLOOKUP(A:A,'داتا اليومي'!A:L,6,)</f>
        <v>35</v>
      </c>
      <c r="R12" s="55">
        <f t="shared" si="4"/>
        <v>0.5</v>
      </c>
      <c r="S12" s="58">
        <v>10</v>
      </c>
      <c r="T12" s="58">
        <f>VLOOKUP(A:A,'داتا اليومي'!A:L,7,)</f>
        <v>2</v>
      </c>
      <c r="U12" s="55">
        <f t="shared" si="5"/>
        <v>0.2</v>
      </c>
      <c r="V12" s="58">
        <v>314.32630079443618</v>
      </c>
      <c r="W12" s="58">
        <f>VLOOKUP(A:A,'داتا اليومي'!A:L,8,)</f>
        <v>194</v>
      </c>
      <c r="X12" s="55">
        <f t="shared" si="6"/>
        <v>0.61719302364988082</v>
      </c>
      <c r="Y12" s="58">
        <v>12.735854516074108</v>
      </c>
      <c r="Z12" s="58">
        <f>VLOOKUP(A:A,'داتا اليومي'!A:L,9,)</f>
        <v>2</v>
      </c>
      <c r="AA12" s="55">
        <f t="shared" si="7"/>
        <v>0.15703696972007422</v>
      </c>
      <c r="AB12" s="58">
        <v>14.425090153871452</v>
      </c>
      <c r="AC12" s="58">
        <f>VLOOKUP(A:A,'داتا اليومي'!A:L,10,)</f>
        <v>10</v>
      </c>
      <c r="AD12" s="55">
        <f t="shared" si="8"/>
        <v>0.69323656859892613</v>
      </c>
      <c r="AE12" s="58">
        <v>44.805293513597746</v>
      </c>
      <c r="AF12" s="58">
        <f>VLOOKUP(A:A,'داتا اليومي'!A:L,11,)</f>
        <v>20</v>
      </c>
      <c r="AG12" s="55">
        <f t="shared" si="9"/>
        <v>0.44637582820276123</v>
      </c>
      <c r="AH12" s="58">
        <v>12</v>
      </c>
      <c r="AI12" s="58">
        <f>VLOOKUP(A:A,'داتا اليومي'!A:L,12,)</f>
        <v>3</v>
      </c>
      <c r="AJ12" s="55">
        <f t="shared" si="10"/>
        <v>0.25</v>
      </c>
      <c r="AK12" s="58">
        <v>11.109403970182253</v>
      </c>
      <c r="AL12" s="58">
        <f>VLOOKUP(A:A,'داتا اليومي'!A:M,13,)</f>
        <v>0</v>
      </c>
      <c r="AM12" s="55">
        <f t="shared" si="11"/>
        <v>0</v>
      </c>
      <c r="AN12" s="58">
        <v>34</v>
      </c>
      <c r="AO12" s="111">
        <f>VLOOKUP(A:A,'داتا اليومي'!A:O,14,)</f>
        <v>4</v>
      </c>
      <c r="AP12" s="55">
        <f t="shared" si="12"/>
        <v>0.11764705882352941</v>
      </c>
    </row>
    <row r="13" spans="1:42" x14ac:dyDescent="0.25">
      <c r="A13" s="69">
        <v>3000</v>
      </c>
      <c r="B13" s="69" t="s">
        <v>112</v>
      </c>
      <c r="C13" s="69" t="s">
        <v>509</v>
      </c>
      <c r="D13" s="58">
        <v>747126</v>
      </c>
      <c r="E13" s="68">
        <f>VLOOKUP(A:A,'داتا اليومي'!A:L,2,)</f>
        <v>540595.84</v>
      </c>
      <c r="F13" s="55">
        <f t="shared" si="0"/>
        <v>0.72356716270080279</v>
      </c>
      <c r="G13" s="58">
        <v>99512</v>
      </c>
      <c r="H13" s="58">
        <f>VLOOKUP(A:A,'داتا اليومي'!A:C,3,)</f>
        <v>20589.28</v>
      </c>
      <c r="I13" s="55">
        <f t="shared" si="1"/>
        <v>0.20690248412251788</v>
      </c>
      <c r="J13" s="58">
        <v>201221.25121188423</v>
      </c>
      <c r="K13" s="58">
        <f>VLOOKUP(A:A,'داتا اليومي'!A:L,4,)</f>
        <v>139388.47</v>
      </c>
      <c r="L13" s="55">
        <f t="shared" si="2"/>
        <v>0.69271247028091065</v>
      </c>
      <c r="M13" s="58">
        <v>11108</v>
      </c>
      <c r="N13" s="58">
        <f>VLOOKUP(A:A,'داتا اليومي'!A:L,5,)</f>
        <v>1371</v>
      </c>
      <c r="O13" s="55">
        <f t="shared" si="3"/>
        <v>0.12342455887648542</v>
      </c>
      <c r="P13" s="58">
        <v>172</v>
      </c>
      <c r="Q13" s="58">
        <f>VLOOKUP(A:A,'داتا اليومي'!A:L,6,)</f>
        <v>82</v>
      </c>
      <c r="R13" s="55">
        <f t="shared" si="4"/>
        <v>0.47674418604651164</v>
      </c>
      <c r="S13" s="58">
        <v>27</v>
      </c>
      <c r="T13" s="58">
        <f>VLOOKUP(A:A,'داتا اليومي'!A:L,7,)</f>
        <v>10</v>
      </c>
      <c r="U13" s="55">
        <f t="shared" si="5"/>
        <v>0.37037037037037035</v>
      </c>
      <c r="V13" s="58">
        <v>951.30098365440631</v>
      </c>
      <c r="W13" s="58">
        <f>VLOOKUP(A:A,'داتا اليومي'!A:L,8,)</f>
        <v>478</v>
      </c>
      <c r="X13" s="55">
        <f t="shared" si="6"/>
        <v>0.50246978423565936</v>
      </c>
      <c r="Y13" s="58">
        <v>35.81959082645843</v>
      </c>
      <c r="Z13" s="58">
        <f>VLOOKUP(A:A,'داتا اليومي'!A:L,9,)</f>
        <v>16</v>
      </c>
      <c r="AA13" s="55">
        <f t="shared" si="7"/>
        <v>0.44668293609265547</v>
      </c>
      <c r="AB13" s="58">
        <v>38.226488907759347</v>
      </c>
      <c r="AC13" s="58">
        <f>VLOOKUP(A:A,'داتا اليومي'!A:L,10,)</f>
        <v>38</v>
      </c>
      <c r="AD13" s="55">
        <f t="shared" si="8"/>
        <v>0.9940750795003469</v>
      </c>
      <c r="AE13" s="58">
        <v>66.311834400124667</v>
      </c>
      <c r="AF13" s="58">
        <f>VLOOKUP(A:A,'داتا اليومي'!A:L,11,)</f>
        <v>37</v>
      </c>
      <c r="AG13" s="55">
        <f t="shared" si="9"/>
        <v>0.55796978525345153</v>
      </c>
      <c r="AH13" s="58">
        <v>51</v>
      </c>
      <c r="AI13" s="58">
        <f>VLOOKUP(A:A,'داتا اليومي'!A:L,12,)</f>
        <v>31</v>
      </c>
      <c r="AJ13" s="55">
        <f t="shared" si="10"/>
        <v>0.60784313725490191</v>
      </c>
      <c r="AK13" s="58">
        <v>21.865953340345396</v>
      </c>
      <c r="AL13" s="58">
        <f>VLOOKUP(A:A,'داتا اليومي'!A:M,13,)</f>
        <v>0</v>
      </c>
      <c r="AM13" s="55">
        <f t="shared" si="11"/>
        <v>0</v>
      </c>
      <c r="AN13" s="58">
        <v>70</v>
      </c>
      <c r="AO13" s="111">
        <f>VLOOKUP(A:A,'داتا اليومي'!A:O,14,)</f>
        <v>23</v>
      </c>
      <c r="AP13" s="55">
        <f t="shared" si="12"/>
        <v>0.32857142857142857</v>
      </c>
    </row>
    <row r="14" spans="1:42" x14ac:dyDescent="0.25">
      <c r="A14" s="69">
        <v>13006</v>
      </c>
      <c r="B14" s="69" t="s">
        <v>112</v>
      </c>
      <c r="C14" s="69" t="s">
        <v>135</v>
      </c>
      <c r="D14" s="58">
        <v>700427</v>
      </c>
      <c r="E14" s="68">
        <f>VLOOKUP(A:A,'داتا اليومي'!A:L,2,)</f>
        <v>43888.71</v>
      </c>
      <c r="F14" s="55">
        <f t="shared" si="0"/>
        <v>6.2659934582761659E-2</v>
      </c>
      <c r="G14" s="58">
        <v>93292</v>
      </c>
      <c r="H14" s="58">
        <f>VLOOKUP(A:A,'داتا اليومي'!A:C,3,)</f>
        <v>3563.4799999999996</v>
      </c>
      <c r="I14" s="55">
        <f t="shared" si="1"/>
        <v>3.8197058697423139E-2</v>
      </c>
      <c r="J14" s="58">
        <v>188617.29254814665</v>
      </c>
      <c r="K14" s="58">
        <f>VLOOKUP(A:A,'داتا اليومي'!A:L,4,)</f>
        <v>20202.659999999996</v>
      </c>
      <c r="L14" s="55">
        <f t="shared" si="2"/>
        <v>0.10710926727380017</v>
      </c>
      <c r="M14" s="58">
        <v>10365</v>
      </c>
      <c r="N14" s="58">
        <f>VLOOKUP(A:A,'داتا اليومي'!A:L,5,)</f>
        <v>1330</v>
      </c>
      <c r="O14" s="55">
        <f t="shared" si="3"/>
        <v>0.12831644958996624</v>
      </c>
      <c r="P14" s="58">
        <v>165</v>
      </c>
      <c r="Q14" s="58">
        <f>VLOOKUP(A:A,'داتا اليومي'!A:L,6,)</f>
        <v>45</v>
      </c>
      <c r="R14" s="55">
        <f t="shared" si="4"/>
        <v>0.27272727272727271</v>
      </c>
      <c r="S14" s="58">
        <v>25</v>
      </c>
      <c r="T14" s="58">
        <f>VLOOKUP(A:A,'داتا اليومي'!A:L,7,)</f>
        <v>8</v>
      </c>
      <c r="U14" s="55">
        <f t="shared" si="5"/>
        <v>0.32</v>
      </c>
      <c r="V14" s="58">
        <v>894.7696194319642</v>
      </c>
      <c r="W14" s="58">
        <f>VLOOKUP(A:A,'داتا اليومي'!A:L,8,)</f>
        <v>70</v>
      </c>
      <c r="X14" s="55">
        <f t="shared" si="6"/>
        <v>7.8232428191335801E-2</v>
      </c>
      <c r="Y14" s="58">
        <v>38.207563548222325</v>
      </c>
      <c r="Z14" s="58">
        <f>VLOOKUP(A:A,'داتا اليومي'!A:L,9,)</f>
        <v>0</v>
      </c>
      <c r="AA14" s="55">
        <f t="shared" si="7"/>
        <v>0</v>
      </c>
      <c r="AB14" s="58">
        <v>35.341470876985056</v>
      </c>
      <c r="AC14" s="58">
        <f>VLOOKUP(A:A,'داتا اليومي'!A:L,10,)</f>
        <v>4</v>
      </c>
      <c r="AD14" s="55">
        <f t="shared" si="8"/>
        <v>0.11318148058757978</v>
      </c>
      <c r="AE14" s="58">
        <v>64.519622659580762</v>
      </c>
      <c r="AF14" s="58">
        <f>VLOOKUP(A:A,'داتا اليومي'!A:L,11,)</f>
        <v>6</v>
      </c>
      <c r="AG14" s="55">
        <f t="shared" si="9"/>
        <v>9.2994964208908584E-2</v>
      </c>
      <c r="AH14" s="58">
        <v>47</v>
      </c>
      <c r="AI14" s="58">
        <f>VLOOKUP(A:A,'داتا اليومي'!A:L,12,)</f>
        <v>5</v>
      </c>
      <c r="AJ14" s="55">
        <f t="shared" si="10"/>
        <v>0.10638297872340426</v>
      </c>
      <c r="AK14" s="58">
        <v>20.499225164588175</v>
      </c>
      <c r="AL14" s="58">
        <f>VLOOKUP(A:A,'داتا اليومي'!A:M,13,)</f>
        <v>0</v>
      </c>
      <c r="AM14" s="55">
        <f t="shared" si="11"/>
        <v>0</v>
      </c>
      <c r="AN14" s="58">
        <v>65</v>
      </c>
      <c r="AO14" s="111">
        <f>VLOOKUP(A:A,'داتا اليومي'!A:O,14,)</f>
        <v>2</v>
      </c>
      <c r="AP14" s="55">
        <f t="shared" si="12"/>
        <v>3.0769230769230771E-2</v>
      </c>
    </row>
    <row r="15" spans="1:42" x14ac:dyDescent="0.25">
      <c r="A15" s="69">
        <v>13013</v>
      </c>
      <c r="B15" s="69" t="s">
        <v>112</v>
      </c>
      <c r="C15" s="69" t="s">
        <v>482</v>
      </c>
      <c r="D15" s="58">
        <v>256822</v>
      </c>
      <c r="E15" s="68">
        <f>VLOOKUP(A:A,'داتا اليومي'!A:L,2,)</f>
        <v>291920.09000000003</v>
      </c>
      <c r="F15" s="55">
        <f t="shared" si="0"/>
        <v>1.1366630973981982</v>
      </c>
      <c r="G15" s="58">
        <v>34208</v>
      </c>
      <c r="H15" s="58">
        <f>VLOOKUP(A:A,'داتا اليومي'!A:C,3,)</f>
        <v>7064.35</v>
      </c>
      <c r="I15" s="55">
        <f t="shared" si="1"/>
        <v>0.2065116347053321</v>
      </c>
      <c r="J15" s="58">
        <v>69164.483035343364</v>
      </c>
      <c r="K15" s="58">
        <f>VLOOKUP(A:A,'داتا اليومي'!A:L,4,)</f>
        <v>65779.55</v>
      </c>
      <c r="L15" s="55">
        <f t="shared" si="2"/>
        <v>0.95105966405310016</v>
      </c>
      <c r="M15" s="58">
        <v>2961</v>
      </c>
      <c r="N15" s="58">
        <f>VLOOKUP(A:A,'داتا اليومي'!A:L,5,)</f>
        <v>130</v>
      </c>
      <c r="O15" s="55">
        <f t="shared" si="3"/>
        <v>4.3904086457277947E-2</v>
      </c>
      <c r="P15" s="58">
        <v>61</v>
      </c>
      <c r="Q15" s="58">
        <f>VLOOKUP(A:A,'داتا اليومي'!A:L,6,)</f>
        <v>32</v>
      </c>
      <c r="R15" s="55">
        <f t="shared" si="4"/>
        <v>0.52459016393442626</v>
      </c>
      <c r="S15" s="58">
        <v>9</v>
      </c>
      <c r="T15" s="58">
        <f>VLOOKUP(A:A,'داتا اليومي'!A:L,7,)</f>
        <v>5</v>
      </c>
      <c r="U15" s="55">
        <f t="shared" si="5"/>
        <v>0.55555555555555558</v>
      </c>
      <c r="V15" s="58">
        <v>327.35555525520914</v>
      </c>
      <c r="W15" s="58">
        <f>VLOOKUP(A:A,'داتا اليومي'!A:L,8,)</f>
        <v>181</v>
      </c>
      <c r="X15" s="55">
        <f t="shared" si="6"/>
        <v>0.55291562062812982</v>
      </c>
      <c r="Y15" s="58">
        <v>13.53184542332874</v>
      </c>
      <c r="Z15" s="58">
        <f>VLOOKUP(A:A,'داتا اليومي'!A:L,9,)</f>
        <v>12</v>
      </c>
      <c r="AA15" s="55">
        <f t="shared" si="7"/>
        <v>0.88679700547806606</v>
      </c>
      <c r="AB15" s="58">
        <v>12.261326630790734</v>
      </c>
      <c r="AC15" s="58">
        <f>VLOOKUP(A:A,'داتا اليومي'!A:L,10,)</f>
        <v>5</v>
      </c>
      <c r="AD15" s="55">
        <f t="shared" si="8"/>
        <v>0.40778621682289773</v>
      </c>
      <c r="AE15" s="58">
        <v>25.987070237886694</v>
      </c>
      <c r="AF15" s="58">
        <f>VLOOKUP(A:A,'داتا اليومي'!A:L,11,)</f>
        <v>15</v>
      </c>
      <c r="AG15" s="55">
        <f t="shared" si="9"/>
        <v>0.57721012267598437</v>
      </c>
      <c r="AH15" s="58">
        <v>20</v>
      </c>
      <c r="AI15" s="58">
        <f>VLOOKUP(A:A,'داتا اليومي'!A:L,12,)</f>
        <v>25</v>
      </c>
      <c r="AJ15" s="55">
        <f t="shared" si="10"/>
        <v>1.25</v>
      </c>
      <c r="AK15" s="58">
        <v>7.5163464646849203</v>
      </c>
      <c r="AL15" s="58">
        <f>VLOOKUP(A:A,'داتا اليومي'!A:M,13,)</f>
        <v>0</v>
      </c>
      <c r="AM15" s="55">
        <f t="shared" si="11"/>
        <v>0</v>
      </c>
      <c r="AN15" s="58">
        <v>24</v>
      </c>
      <c r="AO15" s="111">
        <f>VLOOKUP(A:A,'داتا اليومي'!A:O,14,)</f>
        <v>12</v>
      </c>
      <c r="AP15" s="55">
        <f t="shared" si="12"/>
        <v>0.5</v>
      </c>
    </row>
    <row r="16" spans="1:42" x14ac:dyDescent="0.25">
      <c r="A16" s="69">
        <v>13015</v>
      </c>
      <c r="B16" s="69" t="s">
        <v>112</v>
      </c>
      <c r="C16" s="69" t="s">
        <v>531</v>
      </c>
      <c r="D16" s="58">
        <v>513647</v>
      </c>
      <c r="E16" s="68">
        <f>VLOOKUP(A:A,'داتا اليومي'!A:L,2,)</f>
        <v>398761.88999999996</v>
      </c>
      <c r="F16" s="55">
        <f t="shared" si="0"/>
        <v>0.77633450599341558</v>
      </c>
      <c r="G16" s="58">
        <v>68419</v>
      </c>
      <c r="H16" s="58">
        <f>VLOOKUP(A:A,'داتا اليومي'!A:C,3,)</f>
        <v>2260.87</v>
      </c>
      <c r="I16" s="55">
        <f t="shared" si="1"/>
        <v>3.3044475949663102E-2</v>
      </c>
      <c r="J16" s="58">
        <v>138310.4744851829</v>
      </c>
      <c r="K16" s="58">
        <f>VLOOKUP(A:A,'داتا اليومي'!A:L,4,)</f>
        <v>69351.820000000007</v>
      </c>
      <c r="L16" s="55">
        <f t="shared" si="2"/>
        <v>0.50142131503879428</v>
      </c>
      <c r="M16" s="58">
        <v>10365</v>
      </c>
      <c r="N16" s="58">
        <f>VLOOKUP(A:A,'داتا اليومي'!A:L,5,)</f>
        <v>9876</v>
      </c>
      <c r="O16" s="55">
        <f t="shared" si="3"/>
        <v>0.95282199710564397</v>
      </c>
      <c r="P16" s="58">
        <v>118</v>
      </c>
      <c r="Q16" s="58">
        <f>VLOOKUP(A:A,'داتا اليومي'!A:L,6,)</f>
        <v>51</v>
      </c>
      <c r="R16" s="55">
        <f t="shared" si="4"/>
        <v>0.43220338983050849</v>
      </c>
      <c r="S16" s="58">
        <v>16</v>
      </c>
      <c r="T16" s="58">
        <f>VLOOKUP(A:A,'داتا اليومي'!A:L,7,)</f>
        <v>15</v>
      </c>
      <c r="U16" s="55">
        <f t="shared" si="5"/>
        <v>0.9375</v>
      </c>
      <c r="V16" s="58">
        <v>657.61068855808446</v>
      </c>
      <c r="W16" s="58">
        <f>VLOOKUP(A:A,'داتا اليومي'!A:L,8,)</f>
        <v>390</v>
      </c>
      <c r="X16" s="55">
        <f t="shared" si="6"/>
        <v>0.5930560539627735</v>
      </c>
      <c r="Y16" s="58">
        <v>25.471709032148215</v>
      </c>
      <c r="Z16" s="58">
        <f>VLOOKUP(A:A,'داتا اليومي'!A:L,9,)</f>
        <v>14</v>
      </c>
      <c r="AA16" s="55">
        <f t="shared" si="7"/>
        <v>0.54962939402025968</v>
      </c>
      <c r="AB16" s="58">
        <v>27.407671292355758</v>
      </c>
      <c r="AC16" s="58">
        <f>VLOOKUP(A:A,'داتا اليومي'!A:L,10,)</f>
        <v>19</v>
      </c>
      <c r="AD16" s="55">
        <f t="shared" si="8"/>
        <v>0.69323656859892613</v>
      </c>
      <c r="AE16" s="58">
        <v>47.493611124413611</v>
      </c>
      <c r="AF16" s="58">
        <f>VLOOKUP(A:A,'داتا اليومي'!A:L,11,)</f>
        <v>14</v>
      </c>
      <c r="AG16" s="55">
        <f t="shared" si="9"/>
        <v>0.29477649032257819</v>
      </c>
      <c r="AH16" s="58">
        <v>37</v>
      </c>
      <c r="AI16" s="58">
        <f>VLOOKUP(A:A,'داتا اليومي'!A:L,12,)</f>
        <v>32</v>
      </c>
      <c r="AJ16" s="55">
        <f t="shared" si="10"/>
        <v>0.86486486486486491</v>
      </c>
      <c r="AK16" s="58">
        <v>15.032780729633814</v>
      </c>
      <c r="AL16" s="58">
        <f>VLOOKUP(A:A,'داتا اليومي'!A:M,13,)</f>
        <v>3</v>
      </c>
      <c r="AM16" s="55">
        <f t="shared" si="11"/>
        <v>0.19956387670087952</v>
      </c>
      <c r="AN16" s="58">
        <v>40</v>
      </c>
      <c r="AO16" s="111">
        <f>VLOOKUP(A:A,'داتا اليومي'!A:O,14,)</f>
        <v>13</v>
      </c>
      <c r="AP16" s="55">
        <f t="shared" si="12"/>
        <v>0.32500000000000001</v>
      </c>
    </row>
    <row r="17" spans="1:42" x14ac:dyDescent="0.25">
      <c r="A17" s="69">
        <v>33026</v>
      </c>
      <c r="B17" s="69" t="s">
        <v>112</v>
      </c>
      <c r="C17" s="69" t="s">
        <v>152</v>
      </c>
      <c r="D17" s="58">
        <v>486702</v>
      </c>
      <c r="E17" s="68">
        <f>VLOOKUP(A:A,'داتا اليومي'!A:L,2,)</f>
        <v>310175.82</v>
      </c>
      <c r="F17" s="55">
        <f t="shared" si="0"/>
        <v>0.63730130552165387</v>
      </c>
      <c r="G17" s="58">
        <v>64780</v>
      </c>
      <c r="H17" s="58">
        <f>VLOOKUP(A:A,'داتا اليومي'!A:C,3,)</f>
        <v>9650.43</v>
      </c>
      <c r="I17" s="55">
        <f t="shared" si="1"/>
        <v>0.14897236801481939</v>
      </c>
      <c r="J17" s="58">
        <v>130965.82312642397</v>
      </c>
      <c r="K17" s="58">
        <f>VLOOKUP(A:A,'داتا اليومي'!A:L,4,)</f>
        <v>41909.949999999997</v>
      </c>
      <c r="L17" s="55">
        <f t="shared" si="2"/>
        <v>0.32000676970161496</v>
      </c>
      <c r="M17" s="58">
        <v>7712</v>
      </c>
      <c r="N17" s="58">
        <f>VLOOKUP(A:A,'داتا اليومي'!A:L,5,)</f>
        <v>0</v>
      </c>
      <c r="O17" s="55">
        <f t="shared" si="3"/>
        <v>0</v>
      </c>
      <c r="P17" s="58">
        <v>112</v>
      </c>
      <c r="Q17" s="58">
        <f>VLOOKUP(A:A,'داتا اليومي'!A:L,6,)</f>
        <v>27</v>
      </c>
      <c r="R17" s="55">
        <f t="shared" si="4"/>
        <v>0.24107142857142858</v>
      </c>
      <c r="S17" s="58">
        <v>16</v>
      </c>
      <c r="T17" s="58">
        <f>VLOOKUP(A:A,'داتا اليومي'!A:L,7,)</f>
        <v>2</v>
      </c>
      <c r="U17" s="55">
        <f t="shared" si="5"/>
        <v>0.125</v>
      </c>
      <c r="V17" s="58">
        <v>624.91195441508592</v>
      </c>
      <c r="W17" s="58">
        <f>VLOOKUP(A:A,'داتا اليومي'!A:L,8,)</f>
        <v>339</v>
      </c>
      <c r="X17" s="55">
        <f t="shared" si="6"/>
        <v>0.54247642024595621</v>
      </c>
      <c r="Y17" s="58">
        <v>27.063690846657479</v>
      </c>
      <c r="Z17" s="58">
        <f>VLOOKUP(A:A,'داتا اليومي'!A:L,9,)</f>
        <v>20</v>
      </c>
      <c r="AA17" s="55">
        <f t="shared" si="7"/>
        <v>0.73899750456505509</v>
      </c>
      <c r="AB17" s="58">
        <v>24.522653261581468</v>
      </c>
      <c r="AC17" s="58">
        <f>VLOOKUP(A:A,'داتا اليومي'!A:L,10,)</f>
        <v>30</v>
      </c>
      <c r="AD17" s="55">
        <f t="shared" si="8"/>
        <v>1.2233586504686931</v>
      </c>
      <c r="AE17" s="58">
        <v>44.805293513597746</v>
      </c>
      <c r="AF17" s="58">
        <f>VLOOKUP(A:A,'داتا اليومي'!A:L,11,)</f>
        <v>13</v>
      </c>
      <c r="AG17" s="55">
        <f t="shared" si="9"/>
        <v>0.29014428833179479</v>
      </c>
      <c r="AH17" s="58">
        <v>35</v>
      </c>
      <c r="AI17" s="58">
        <f>VLOOKUP(A:A,'داتا اليومي'!A:L,12,)</f>
        <v>14</v>
      </c>
      <c r="AJ17" s="55">
        <f t="shared" si="10"/>
        <v>0.4</v>
      </c>
      <c r="AK17" s="58">
        <v>14.24418802538365</v>
      </c>
      <c r="AL17" s="58">
        <f>VLOOKUP(A:A,'داتا اليومي'!A:M,13,)</f>
        <v>0</v>
      </c>
      <c r="AM17" s="55">
        <f t="shared" si="11"/>
        <v>0</v>
      </c>
      <c r="AN17" s="58">
        <v>44</v>
      </c>
      <c r="AO17" s="111">
        <f>VLOOKUP(A:A,'داتا اليومي'!A:O,14,)</f>
        <v>13</v>
      </c>
      <c r="AP17" s="55">
        <f t="shared" si="12"/>
        <v>0.29545454545454547</v>
      </c>
    </row>
    <row r="18" spans="1:42" x14ac:dyDescent="0.25">
      <c r="A18" s="69">
        <v>43004</v>
      </c>
      <c r="B18" s="69" t="s">
        <v>112</v>
      </c>
      <c r="C18" s="69" t="s">
        <v>510</v>
      </c>
      <c r="D18" s="58">
        <v>280171</v>
      </c>
      <c r="E18" s="68">
        <f>VLOOKUP(A:A,'داتا اليومي'!A:L,2,)</f>
        <v>369202.77</v>
      </c>
      <c r="F18" s="55">
        <f t="shared" si="0"/>
        <v>1.3177765364723688</v>
      </c>
      <c r="G18" s="58">
        <v>37322</v>
      </c>
      <c r="H18" s="58">
        <f>VLOOKUP(A:A,'داتا اليومي'!A:C,3,)</f>
        <v>7672.1399999999994</v>
      </c>
      <c r="I18" s="55">
        <f t="shared" si="1"/>
        <v>0.20556615401103906</v>
      </c>
      <c r="J18" s="58">
        <v>75462.21131446751</v>
      </c>
      <c r="K18" s="58">
        <f>VLOOKUP(A:A,'داتا اليومي'!A:L,4,)</f>
        <v>54918.579999999994</v>
      </c>
      <c r="L18" s="55">
        <f t="shared" si="2"/>
        <v>0.72776266482759544</v>
      </c>
      <c r="M18" s="58">
        <v>2960</v>
      </c>
      <c r="N18" s="58">
        <f>VLOOKUP(A:A,'داتا اليومي'!A:L,5,)</f>
        <v>0</v>
      </c>
      <c r="O18" s="55">
        <f t="shared" si="3"/>
        <v>0</v>
      </c>
      <c r="P18" s="58">
        <v>64</v>
      </c>
      <c r="Q18" s="58">
        <f>VLOOKUP(A:A,'داتا اليومي'!A:L,6,)</f>
        <v>47</v>
      </c>
      <c r="R18" s="55">
        <f t="shared" si="4"/>
        <v>0.734375</v>
      </c>
      <c r="S18" s="58">
        <v>7</v>
      </c>
      <c r="T18" s="58">
        <f>VLOOKUP(A:A,'داتا اليومي'!A:L,7,)</f>
        <v>6</v>
      </c>
      <c r="U18" s="55">
        <f t="shared" si="5"/>
        <v>0.8571428571428571</v>
      </c>
      <c r="V18" s="58">
        <v>363.02081541409638</v>
      </c>
      <c r="W18" s="58">
        <f>VLOOKUP(A:A,'داتا اليومي'!A:L,8,)</f>
        <v>452</v>
      </c>
      <c r="X18" s="55">
        <f t="shared" si="6"/>
        <v>1.2451076654775441</v>
      </c>
      <c r="Y18" s="58">
        <v>15.919818145092634</v>
      </c>
      <c r="Z18" s="58">
        <f>VLOOKUP(A:A,'داتا اليومي'!A:L,9,)</f>
        <v>6</v>
      </c>
      <c r="AA18" s="55">
        <f t="shared" si="7"/>
        <v>0.37688872732817813</v>
      </c>
      <c r="AB18" s="58">
        <v>14.425090153871452</v>
      </c>
      <c r="AC18" s="58">
        <f>VLOOKUP(A:A,'داتا اليومي'!A:L,10,)</f>
        <v>17</v>
      </c>
      <c r="AD18" s="55">
        <f t="shared" si="8"/>
        <v>1.1785021666181743</v>
      </c>
      <c r="AE18" s="58">
        <v>23.298752627070829</v>
      </c>
      <c r="AF18" s="58">
        <f>VLOOKUP(A:A,'داتا اليومي'!A:L,11,)</f>
        <v>12</v>
      </c>
      <c r="AG18" s="55">
        <f t="shared" si="9"/>
        <v>0.51504903254164758</v>
      </c>
      <c r="AH18" s="58">
        <v>20</v>
      </c>
      <c r="AI18" s="58">
        <f>VLOOKUP(A:A,'داتا اليومي'!A:L,12,)</f>
        <v>4</v>
      </c>
      <c r="AJ18" s="55">
        <f t="shared" si="10"/>
        <v>0.2</v>
      </c>
      <c r="AK18" s="58">
        <v>8.1996959191862011</v>
      </c>
      <c r="AL18" s="58">
        <f>VLOOKUP(A:A,'داتا اليومي'!A:M,13,)</f>
        <v>2</v>
      </c>
      <c r="AM18" s="55">
        <f t="shared" si="11"/>
        <v>0.24391148400031093</v>
      </c>
      <c r="AN18" s="58">
        <v>26</v>
      </c>
      <c r="AO18" s="111">
        <f>VLOOKUP(A:A,'داتا اليومي'!A:O,14,)</f>
        <v>16</v>
      </c>
      <c r="AP18" s="55">
        <f t="shared" si="12"/>
        <v>0.61538461538461542</v>
      </c>
    </row>
    <row r="19" spans="1:42" x14ac:dyDescent="0.25">
      <c r="A19" s="69">
        <v>73002</v>
      </c>
      <c r="B19" s="69" t="s">
        <v>112</v>
      </c>
      <c r="C19" s="69" t="s">
        <v>521</v>
      </c>
      <c r="D19" s="58">
        <v>255746</v>
      </c>
      <c r="E19" s="68">
        <f>VLOOKUP(A:A,'داتا اليومي'!A:L,2,)</f>
        <v>335310.56</v>
      </c>
      <c r="F19" s="55">
        <f t="shared" si="0"/>
        <v>1.311107739710494</v>
      </c>
      <c r="G19" s="58">
        <v>34112</v>
      </c>
      <c r="H19" s="58">
        <f>VLOOKUP(A:A,'داتا اليومي'!A:C,3,)</f>
        <v>41728.68</v>
      </c>
      <c r="I19" s="55">
        <f t="shared" si="1"/>
        <v>1.2232844746716698</v>
      </c>
      <c r="J19" s="58">
        <v>68870.325724495342</v>
      </c>
      <c r="K19" s="58">
        <f>VLOOKUP(A:A,'داتا اليومي'!A:L,4,)</f>
        <v>68806.580000000016</v>
      </c>
      <c r="L19" s="55">
        <f t="shared" si="2"/>
        <v>0.99907440942343828</v>
      </c>
      <c r="M19" s="58">
        <v>2205</v>
      </c>
      <c r="N19" s="58">
        <f>VLOOKUP(A:A,'داتا اليومي'!A:L,5,)</f>
        <v>0</v>
      </c>
      <c r="O19" s="55">
        <f t="shared" si="3"/>
        <v>0</v>
      </c>
      <c r="P19" s="58">
        <v>61</v>
      </c>
      <c r="Q19" s="58">
        <f>VLOOKUP(A:A,'داتا اليومي'!A:L,6,)</f>
        <v>31</v>
      </c>
      <c r="R19" s="55">
        <f t="shared" si="4"/>
        <v>0.50819672131147542</v>
      </c>
      <c r="S19" s="58">
        <v>12</v>
      </c>
      <c r="T19" s="58">
        <f>VLOOKUP(A:A,'داتا اليومي'!A:L,7,)</f>
        <v>2</v>
      </c>
      <c r="U19" s="55">
        <f t="shared" si="5"/>
        <v>0.16666666666666666</v>
      </c>
      <c r="V19" s="58">
        <v>334.12123736643019</v>
      </c>
      <c r="W19" s="58">
        <f>VLOOKUP(A:A,'داتا اليومي'!A:L,8,)</f>
        <v>190</v>
      </c>
      <c r="X19" s="55">
        <f t="shared" si="6"/>
        <v>0.56865586126040624</v>
      </c>
      <c r="Y19" s="58">
        <v>8.7558999798009491</v>
      </c>
      <c r="Z19" s="58">
        <f>VLOOKUP(A:A,'داتا اليومي'!A:L,9,)</f>
        <v>8</v>
      </c>
      <c r="AA19" s="55">
        <f t="shared" si="7"/>
        <v>0.91366964200770451</v>
      </c>
      <c r="AB19" s="58">
        <v>9.3763086000164435</v>
      </c>
      <c r="AC19" s="58">
        <f>VLOOKUP(A:A,'داتا اليومي'!A:L,10,)</f>
        <v>10</v>
      </c>
      <c r="AD19" s="55">
        <f t="shared" si="8"/>
        <v>1.0665177978445017</v>
      </c>
      <c r="AE19" s="58">
        <v>20.610435016254964</v>
      </c>
      <c r="AF19" s="58">
        <f>VLOOKUP(A:A,'داتا اليومي'!A:L,11,)</f>
        <v>6</v>
      </c>
      <c r="AG19" s="55">
        <f t="shared" si="9"/>
        <v>0.29111467056701817</v>
      </c>
      <c r="AH19" s="58">
        <v>12</v>
      </c>
      <c r="AI19" s="58">
        <f>VLOOKUP(A:A,'داتا اليومي'!A:L,12,)</f>
        <v>8</v>
      </c>
      <c r="AJ19" s="55">
        <f t="shared" si="10"/>
        <v>0.66666666666666663</v>
      </c>
      <c r="AK19" s="58">
        <v>7.4848554366732971</v>
      </c>
      <c r="AL19" s="58">
        <f>VLOOKUP(A:A,'داتا اليومي'!A:M,13,)</f>
        <v>1</v>
      </c>
      <c r="AM19" s="55">
        <f t="shared" si="11"/>
        <v>0.13360311477765266</v>
      </c>
      <c r="AN19" s="58">
        <v>17</v>
      </c>
      <c r="AO19" s="111">
        <f>VLOOKUP(A:A,'داتا اليومي'!A:O,14,)</f>
        <v>12</v>
      </c>
      <c r="AP19" s="55">
        <f t="shared" si="12"/>
        <v>0.70588235294117652</v>
      </c>
    </row>
    <row r="20" spans="1:42" x14ac:dyDescent="0.25">
      <c r="A20" s="69">
        <v>73006</v>
      </c>
      <c r="B20" s="69" t="s">
        <v>112</v>
      </c>
      <c r="C20" s="69" t="s">
        <v>511</v>
      </c>
      <c r="D20" s="58">
        <v>121407</v>
      </c>
      <c r="E20" s="68">
        <f>VLOOKUP(A:A,'داتا اليومي'!A:L,2,)</f>
        <v>65038.299999999996</v>
      </c>
      <c r="F20" s="55">
        <f t="shared" si="0"/>
        <v>0.53570469577536717</v>
      </c>
      <c r="G20" s="58">
        <v>16172</v>
      </c>
      <c r="H20" s="58">
        <f>VLOOKUP(A:A,'داتا اليومي'!A:C,3,)</f>
        <v>3216.52</v>
      </c>
      <c r="I20" s="55">
        <f t="shared" si="1"/>
        <v>0.19889438535740786</v>
      </c>
      <c r="J20" s="58">
        <v>32693.255688554862</v>
      </c>
      <c r="K20" s="58">
        <f>VLOOKUP(A:A,'داتا اليومي'!A:L,4,)</f>
        <v>11493.46</v>
      </c>
      <c r="L20" s="55">
        <f t="shared" si="2"/>
        <v>0.35155446461159845</v>
      </c>
      <c r="M20" s="58">
        <v>1925</v>
      </c>
      <c r="N20" s="58">
        <f>VLOOKUP(A:A,'داتا اليومي'!A:L,5,)</f>
        <v>0</v>
      </c>
      <c r="O20" s="55">
        <f t="shared" si="3"/>
        <v>0</v>
      </c>
      <c r="P20" s="58">
        <v>27</v>
      </c>
      <c r="Q20" s="58">
        <f>VLOOKUP(A:A,'داتا اليومي'!A:L,6,)</f>
        <v>26</v>
      </c>
      <c r="R20" s="55">
        <f t="shared" si="4"/>
        <v>0.96296296296296291</v>
      </c>
      <c r="S20" s="58">
        <v>3</v>
      </c>
      <c r="T20" s="58">
        <f>VLOOKUP(A:A,'داتا اليومي'!A:L,7,)</f>
        <v>1</v>
      </c>
      <c r="U20" s="55">
        <f t="shared" si="5"/>
        <v>0.33333333333333331</v>
      </c>
      <c r="V20" s="58">
        <v>156.72798860377148</v>
      </c>
      <c r="W20" s="58">
        <f>VLOOKUP(A:A,'داتا اليومي'!A:L,8,)</f>
        <v>47</v>
      </c>
      <c r="X20" s="55">
        <f t="shared" si="6"/>
        <v>0.29988262095816243</v>
      </c>
      <c r="Y20" s="58">
        <v>6.3679272580370538</v>
      </c>
      <c r="Z20" s="58">
        <f>VLOOKUP(A:A,'داتا اليومي'!A:L,9,)</f>
        <v>2</v>
      </c>
      <c r="AA20" s="55">
        <f t="shared" si="7"/>
        <v>0.31407393944014844</v>
      </c>
      <c r="AB20" s="58">
        <v>6.4912905692421532</v>
      </c>
      <c r="AC20" s="58">
        <f>VLOOKUP(A:A,'داتا اليومي'!A:L,10,)</f>
        <v>1</v>
      </c>
      <c r="AD20" s="55">
        <f t="shared" si="8"/>
        <v>0.15405257079976137</v>
      </c>
      <c r="AE20" s="58">
        <v>10.75327044326346</v>
      </c>
      <c r="AF20" s="58">
        <f>VLOOKUP(A:A,'داتا اليومي'!A:L,11,)</f>
        <v>7</v>
      </c>
      <c r="AG20" s="55">
        <f t="shared" si="9"/>
        <v>0.65096474946236005</v>
      </c>
      <c r="AH20" s="58">
        <v>27</v>
      </c>
      <c r="AI20" s="58">
        <f>VLOOKUP(A:A,'داتا اليومي'!A:L,12,)</f>
        <v>32</v>
      </c>
      <c r="AJ20" s="55">
        <f t="shared" si="10"/>
        <v>1.1851851851851851</v>
      </c>
      <c r="AK20" s="58">
        <v>3.553188882720336</v>
      </c>
      <c r="AL20" s="58">
        <f>VLOOKUP(A:A,'داتا اليومي'!A:M,13,)</f>
        <v>0</v>
      </c>
      <c r="AM20" s="55">
        <f t="shared" si="11"/>
        <v>0</v>
      </c>
      <c r="AN20" s="58">
        <v>11</v>
      </c>
      <c r="AO20" s="111">
        <f>VLOOKUP(A:A,'داتا اليومي'!A:O,14,)</f>
        <v>1</v>
      </c>
      <c r="AP20" s="55">
        <f t="shared" si="12"/>
        <v>9.0909090909090912E-2</v>
      </c>
    </row>
    <row r="21" spans="1:42" x14ac:dyDescent="0.25">
      <c r="A21" s="69">
        <v>73037</v>
      </c>
      <c r="B21" s="69" t="s">
        <v>112</v>
      </c>
      <c r="C21" s="69" t="s">
        <v>164</v>
      </c>
      <c r="D21" s="58">
        <v>653734</v>
      </c>
      <c r="E21" s="68">
        <f>VLOOKUP(A:A,'داتا اليومي'!A:L,2,)</f>
        <v>572501.91</v>
      </c>
      <c r="F21" s="55">
        <f t="shared" si="0"/>
        <v>0.87574137187296364</v>
      </c>
      <c r="G21" s="58">
        <v>87079</v>
      </c>
      <c r="H21" s="58">
        <f>VLOOKUP(A:A,'داتا اليومي'!A:C,3,)</f>
        <v>18691.02</v>
      </c>
      <c r="I21" s="55">
        <f t="shared" si="1"/>
        <v>0.21464440335787044</v>
      </c>
      <c r="J21" s="58">
        <v>176067.7665609789</v>
      </c>
      <c r="K21" s="58">
        <f>VLOOKUP(A:A,'داتا اليومي'!A:L,4,)</f>
        <v>103543.37</v>
      </c>
      <c r="L21" s="55">
        <f t="shared" si="2"/>
        <v>0.58808816640574035</v>
      </c>
      <c r="M21" s="58">
        <v>11107</v>
      </c>
      <c r="N21" s="58">
        <f>VLOOKUP(A:A,'داتا اليومي'!A:L,5,)</f>
        <v>1053</v>
      </c>
      <c r="O21" s="55">
        <f t="shared" si="3"/>
        <v>9.4805077878815161E-2</v>
      </c>
      <c r="P21" s="58">
        <v>152</v>
      </c>
      <c r="Q21" s="58">
        <f>VLOOKUP(A:A,'داتا اليومي'!A:L,6,)</f>
        <v>69</v>
      </c>
      <c r="R21" s="55">
        <f t="shared" si="4"/>
        <v>0.45394736842105265</v>
      </c>
      <c r="S21" s="58">
        <v>18</v>
      </c>
      <c r="T21" s="58">
        <f>VLOOKUP(A:A,'داتا اليومي'!A:L,7,)</f>
        <v>11</v>
      </c>
      <c r="U21" s="55">
        <f t="shared" si="5"/>
        <v>0.61111111111111116</v>
      </c>
      <c r="V21" s="58">
        <v>834.17130724129959</v>
      </c>
      <c r="W21" s="58">
        <f>VLOOKUP(A:A,'داتا اليومي'!A:L,8,)</f>
        <v>505</v>
      </c>
      <c r="X21" s="55">
        <f t="shared" si="6"/>
        <v>0.60539123752660962</v>
      </c>
      <c r="Y21" s="58">
        <v>35.81959082645843</v>
      </c>
      <c r="Z21" s="58">
        <f>VLOOKUP(A:A,'داتا اليومي'!A:L,9,)</f>
        <v>24</v>
      </c>
      <c r="AA21" s="55">
        <f t="shared" si="7"/>
        <v>0.67002440413898323</v>
      </c>
      <c r="AB21" s="58">
        <v>32.456452846210766</v>
      </c>
      <c r="AC21" s="58">
        <f>VLOOKUP(A:A,'داتا اليومي'!A:L,10,)</f>
        <v>11</v>
      </c>
      <c r="AD21" s="55">
        <f t="shared" si="8"/>
        <v>0.33891565575947497</v>
      </c>
      <c r="AE21" s="58">
        <v>62.727410919036849</v>
      </c>
      <c r="AF21" s="58">
        <f>VLOOKUP(A:A,'داتا اليومي'!A:L,11,)</f>
        <v>20</v>
      </c>
      <c r="AG21" s="55">
        <f t="shared" si="9"/>
        <v>0.31883987728768659</v>
      </c>
      <c r="AH21" s="58">
        <v>45</v>
      </c>
      <c r="AI21" s="58">
        <f>VLOOKUP(A:A,'داتا اليومي'!A:L,12,)</f>
        <v>23</v>
      </c>
      <c r="AJ21" s="55">
        <f t="shared" si="10"/>
        <v>0.51111111111111107</v>
      </c>
      <c r="AK21" s="58">
        <v>19.132672589358901</v>
      </c>
      <c r="AL21" s="58">
        <f>VLOOKUP(A:A,'داتا اليومي'!A:M,13,)</f>
        <v>0</v>
      </c>
      <c r="AM21" s="55">
        <f t="shared" si="11"/>
        <v>0</v>
      </c>
      <c r="AN21" s="58">
        <v>62</v>
      </c>
      <c r="AO21" s="111">
        <f>VLOOKUP(A:A,'داتا اليومي'!A:O,14,)</f>
        <v>11</v>
      </c>
      <c r="AP21" s="55">
        <f t="shared" si="12"/>
        <v>0.17741935483870969</v>
      </c>
    </row>
    <row r="22" spans="1:42" x14ac:dyDescent="0.25">
      <c r="A22" s="69">
        <v>73038</v>
      </c>
      <c r="B22" s="69" t="s">
        <v>112</v>
      </c>
      <c r="C22" s="69" t="s">
        <v>512</v>
      </c>
      <c r="D22" s="58">
        <v>653732</v>
      </c>
      <c r="E22" s="68">
        <f>VLOOKUP(A:A,'داتا اليومي'!A:L,2,)</f>
        <v>603188.92000000004</v>
      </c>
      <c r="F22" s="55">
        <f t="shared" si="0"/>
        <v>0.92268532059008901</v>
      </c>
      <c r="G22" s="58">
        <v>87078</v>
      </c>
      <c r="H22" s="58">
        <f>VLOOKUP(A:A,'داتا اليومي'!A:C,3,)</f>
        <v>21315.65</v>
      </c>
      <c r="I22" s="55">
        <f t="shared" si="1"/>
        <v>0.24478800615540092</v>
      </c>
      <c r="J22" s="58">
        <v>176048.96618877442</v>
      </c>
      <c r="K22" s="58">
        <f>VLOOKUP(A:A,'داتا اليومي'!A:L,4,)</f>
        <v>85268.23</v>
      </c>
      <c r="L22" s="55">
        <f t="shared" si="2"/>
        <v>0.48434382686785149</v>
      </c>
      <c r="M22" s="58">
        <v>13326</v>
      </c>
      <c r="N22" s="58">
        <f>VLOOKUP(A:A,'داتا اليومي'!A:L,5,)</f>
        <v>4388</v>
      </c>
      <c r="O22" s="55">
        <f t="shared" si="3"/>
        <v>0.32928110460753413</v>
      </c>
      <c r="P22" s="58">
        <v>149</v>
      </c>
      <c r="Q22" s="58">
        <f>VLOOKUP(A:A,'داتا اليومي'!A:L,6,)</f>
        <v>80</v>
      </c>
      <c r="R22" s="55">
        <f t="shared" si="4"/>
        <v>0.53691275167785235</v>
      </c>
      <c r="S22" s="58">
        <v>24</v>
      </c>
      <c r="T22" s="58">
        <f>VLOOKUP(A:A,'داتا اليومي'!A:L,7,)</f>
        <v>10</v>
      </c>
      <c r="U22" s="55">
        <f t="shared" si="5"/>
        <v>0.41666666666666669</v>
      </c>
      <c r="V22" s="58">
        <v>837.30520317774472</v>
      </c>
      <c r="W22" s="58">
        <f>VLOOKUP(A:A,'داتا اليومي'!A:L,8,)</f>
        <v>383</v>
      </c>
      <c r="X22" s="55">
        <f t="shared" si="6"/>
        <v>0.4574198255862218</v>
      </c>
      <c r="Y22" s="58">
        <v>35.023599919203797</v>
      </c>
      <c r="Z22" s="58">
        <f>VLOOKUP(A:A,'داتا اليومي'!A:L,9,)</f>
        <v>13</v>
      </c>
      <c r="AA22" s="55">
        <f t="shared" si="7"/>
        <v>0.37117829206562997</v>
      </c>
      <c r="AB22" s="58">
        <v>31.735198338517193</v>
      </c>
      <c r="AC22" s="58">
        <f>VLOOKUP(A:A,'داتا اليومي'!A:L,10,)</f>
        <v>21</v>
      </c>
      <c r="AD22" s="55">
        <f t="shared" si="8"/>
        <v>0.66172581548079312</v>
      </c>
      <c r="AE22" s="58">
        <v>60.935199178492937</v>
      </c>
      <c r="AF22" s="58">
        <f>VLOOKUP(A:A,'داتا اليومي'!A:L,11,)</f>
        <v>13</v>
      </c>
      <c r="AG22" s="55">
        <f t="shared" si="9"/>
        <v>0.21334138847926087</v>
      </c>
      <c r="AH22" s="58">
        <v>44</v>
      </c>
      <c r="AI22" s="58">
        <f>VLOOKUP(A:A,'داتا اليومي'!A:L,12,)</f>
        <v>23</v>
      </c>
      <c r="AJ22" s="55">
        <f t="shared" si="10"/>
        <v>0.52272727272727271</v>
      </c>
      <c r="AK22" s="58">
        <v>19.132614055849587</v>
      </c>
      <c r="AL22" s="58">
        <f>VLOOKUP(A:A,'داتا اليومي'!A:M,13,)</f>
        <v>0</v>
      </c>
      <c r="AM22" s="55">
        <f t="shared" si="11"/>
        <v>0</v>
      </c>
      <c r="AN22" s="58">
        <v>61</v>
      </c>
      <c r="AO22" s="111">
        <f>VLOOKUP(A:A,'داتا اليومي'!A:O,14,)</f>
        <v>17</v>
      </c>
      <c r="AP22" s="55">
        <f t="shared" si="12"/>
        <v>0.27868852459016391</v>
      </c>
    </row>
    <row r="23" spans="1:42" x14ac:dyDescent="0.25">
      <c r="A23" s="54">
        <v>13012</v>
      </c>
      <c r="B23" s="54" t="s">
        <v>221</v>
      </c>
      <c r="C23" s="54" t="s">
        <v>307</v>
      </c>
      <c r="D23" s="58">
        <v>380702</v>
      </c>
      <c r="E23" s="58">
        <f>VLOOKUP(A:A,'داتا اليومي'!A:L,2,)</f>
        <v>359393.22000000003</v>
      </c>
      <c r="F23" s="55">
        <f t="shared" si="0"/>
        <v>0.94402766468261268</v>
      </c>
      <c r="G23" s="58">
        <v>50923</v>
      </c>
      <c r="H23" s="58">
        <f>VLOOKUP(A:A,'داتا اليومي'!A:C,3,)</f>
        <v>17443.18</v>
      </c>
      <c r="I23" s="55">
        <f t="shared" si="1"/>
        <v>0.34254030595212381</v>
      </c>
      <c r="J23" s="58">
        <v>78572.059027478463</v>
      </c>
      <c r="K23" s="58">
        <f>VLOOKUP(A:A,'داتا اليومي'!A:L,4,)</f>
        <v>88271.52</v>
      </c>
      <c r="L23" s="55">
        <f t="shared" si="2"/>
        <v>1.1234466945702597</v>
      </c>
      <c r="M23" s="58">
        <v>5277</v>
      </c>
      <c r="N23" s="58">
        <f>VLOOKUP(A:A,'داتا اليومي'!A:L,5,)</f>
        <v>120</v>
      </c>
      <c r="O23" s="55">
        <f t="shared" si="3"/>
        <v>2.2740193291642979E-2</v>
      </c>
      <c r="P23" s="58">
        <v>55</v>
      </c>
      <c r="Q23" s="58">
        <f>VLOOKUP(A:A,'داتا اليومي'!A:L,6,)</f>
        <v>31</v>
      </c>
      <c r="R23" s="55">
        <f t="shared" si="4"/>
        <v>0.5636363636363636</v>
      </c>
      <c r="S23" s="58">
        <v>6</v>
      </c>
      <c r="T23" s="58">
        <f>VLOOKUP(A:A,'داتا اليومي'!A:L,7,)</f>
        <v>7</v>
      </c>
      <c r="U23" s="55">
        <f t="shared" si="5"/>
        <v>1.1666666666666667</v>
      </c>
      <c r="V23" s="58">
        <v>250.45597720754296</v>
      </c>
      <c r="W23" s="58">
        <f>VLOOKUP(A:A,'داتا اليومي'!A:L,8,)</f>
        <v>325</v>
      </c>
      <c r="X23" s="55">
        <f t="shared" si="6"/>
        <v>1.2976332352838413</v>
      </c>
      <c r="Y23" s="58">
        <v>9.5518908870555812</v>
      </c>
      <c r="Z23" s="58">
        <f>VLOOKUP(A:A,'داتا اليومي'!A:L,9,)</f>
        <v>4</v>
      </c>
      <c r="AA23" s="55">
        <f t="shared" si="7"/>
        <v>0.41876525258686453</v>
      </c>
      <c r="AB23" s="58">
        <v>10.097563107710016</v>
      </c>
      <c r="AC23" s="58">
        <f>VLOOKUP(A:A,'داتا اليومي'!A:L,10,)</f>
        <v>9</v>
      </c>
      <c r="AD23" s="55">
        <f t="shared" si="8"/>
        <v>0.89130415962719067</v>
      </c>
      <c r="AE23" s="58">
        <v>32.259811329790381</v>
      </c>
      <c r="AF23" s="58">
        <f>VLOOKUP(A:A,'داتا اليومي'!A:L,11,)</f>
        <v>7</v>
      </c>
      <c r="AG23" s="55">
        <f t="shared" si="9"/>
        <v>0.21698824982078668</v>
      </c>
      <c r="AH23" s="58">
        <v>22</v>
      </c>
      <c r="AI23" s="58">
        <f>VLOOKUP(A:A,'داتا اليومي'!A:L,12,)</f>
        <v>11</v>
      </c>
      <c r="AJ23" s="55">
        <f t="shared" si="10"/>
        <v>0.5</v>
      </c>
      <c r="AK23" s="58">
        <v>11.141912031673604</v>
      </c>
      <c r="AL23" s="58">
        <f>VLOOKUP(A:A,'داتا اليومي'!A:M,13,)</f>
        <v>0</v>
      </c>
      <c r="AM23" s="55">
        <f t="shared" si="11"/>
        <v>0</v>
      </c>
      <c r="AN23" s="58">
        <v>34</v>
      </c>
      <c r="AO23" s="111">
        <f>VLOOKUP(A:A,'داتا اليومي'!A:O,14,)</f>
        <v>17</v>
      </c>
      <c r="AP23" s="55">
        <f t="shared" si="12"/>
        <v>0.5</v>
      </c>
    </row>
    <row r="24" spans="1:42" x14ac:dyDescent="0.25">
      <c r="A24" s="54">
        <v>13014</v>
      </c>
      <c r="B24" s="54" t="s">
        <v>221</v>
      </c>
      <c r="C24" s="54" t="s">
        <v>533</v>
      </c>
      <c r="D24" s="58">
        <v>638857</v>
      </c>
      <c r="E24" s="58">
        <f>VLOOKUP(A:A,'داتا اليومي'!A:L,2,)</f>
        <v>437966.35</v>
      </c>
      <c r="F24" s="55">
        <f t="shared" si="0"/>
        <v>0.68554676555160232</v>
      </c>
      <c r="G24" s="58">
        <v>83897</v>
      </c>
      <c r="H24" s="58">
        <f>VLOOKUP(A:A,'داتا اليومي'!A:C,3,)</f>
        <v>22528.29</v>
      </c>
      <c r="I24" s="55">
        <f t="shared" si="1"/>
        <v>0.26852318914859891</v>
      </c>
      <c r="J24" s="58">
        <v>204871.64035922397</v>
      </c>
      <c r="K24" s="58">
        <f>VLOOKUP(A:A,'داتا اليومي'!A:L,4,)</f>
        <v>86043.82</v>
      </c>
      <c r="L24" s="55">
        <f t="shared" si="2"/>
        <v>0.41998892501241225</v>
      </c>
      <c r="M24" s="58">
        <v>10830</v>
      </c>
      <c r="N24" s="58">
        <f>VLOOKUP(A:A,'داتا اليومي'!A:L,5,)</f>
        <v>1777</v>
      </c>
      <c r="O24" s="55">
        <f t="shared" si="3"/>
        <v>0.16408125577100646</v>
      </c>
      <c r="P24" s="58">
        <v>114</v>
      </c>
      <c r="Q24" s="58">
        <f>VLOOKUP(A:A,'داتا اليومي'!A:L,6,)</f>
        <v>66</v>
      </c>
      <c r="R24" s="55">
        <f t="shared" si="4"/>
        <v>0.57894736842105265</v>
      </c>
      <c r="S24" s="58">
        <v>18</v>
      </c>
      <c r="T24" s="58">
        <f>VLOOKUP(A:A,'داتا اليومي'!A:L,7,)</f>
        <v>11</v>
      </c>
      <c r="U24" s="55">
        <f t="shared" si="5"/>
        <v>0.61111111111111116</v>
      </c>
      <c r="V24" s="58">
        <v>551.74880401786788</v>
      </c>
      <c r="W24" s="58">
        <f>VLOOKUP(A:A,'داتا اليومي'!A:L,8,)</f>
        <v>326</v>
      </c>
      <c r="X24" s="55">
        <f t="shared" si="6"/>
        <v>0.59084858476547375</v>
      </c>
      <c r="Y24" s="58">
        <v>23.083736310384321</v>
      </c>
      <c r="Z24" s="58">
        <f>VLOOKUP(A:A,'داتا اليومي'!A:L,9,)</f>
        <v>12</v>
      </c>
      <c r="AA24" s="55">
        <f t="shared" si="7"/>
        <v>0.51984652045265944</v>
      </c>
      <c r="AB24" s="58">
        <v>15.867599169258597</v>
      </c>
      <c r="AC24" s="58">
        <f>VLOOKUP(A:A,'داتا اليومي'!A:L,10,)</f>
        <v>10</v>
      </c>
      <c r="AD24" s="55">
        <f t="shared" si="8"/>
        <v>0.63021506236266012</v>
      </c>
      <c r="AE24" s="58">
        <v>52.870246346045342</v>
      </c>
      <c r="AF24" s="58">
        <f>VLOOKUP(A:A,'داتا اليومي'!A:L,11,)</f>
        <v>19</v>
      </c>
      <c r="AG24" s="55">
        <f t="shared" si="9"/>
        <v>0.35937037016323997</v>
      </c>
      <c r="AH24" s="58">
        <v>37</v>
      </c>
      <c r="AI24" s="58">
        <f>VLOOKUP(A:A,'داتا اليومي'!A:L,12,)</f>
        <v>21</v>
      </c>
      <c r="AJ24" s="55">
        <f t="shared" si="10"/>
        <v>0.56756756756756754</v>
      </c>
      <c r="AK24" s="58">
        <v>18.697271080317162</v>
      </c>
      <c r="AL24" s="58">
        <f>VLOOKUP(A:A,'داتا اليومي'!A:M,13,)</f>
        <v>1</v>
      </c>
      <c r="AM24" s="55">
        <f t="shared" si="11"/>
        <v>5.3483740793206544E-2</v>
      </c>
      <c r="AN24" s="58">
        <v>53</v>
      </c>
      <c r="AO24" s="111">
        <f>VLOOKUP(A:A,'داتا اليومي'!A:O,14,)</f>
        <v>14</v>
      </c>
      <c r="AP24" s="55">
        <f t="shared" si="12"/>
        <v>0.26415094339622641</v>
      </c>
    </row>
    <row r="25" spans="1:42" x14ac:dyDescent="0.25">
      <c r="A25" s="54">
        <v>13016</v>
      </c>
      <c r="B25" s="54" t="s">
        <v>221</v>
      </c>
      <c r="C25" s="54" t="s">
        <v>528</v>
      </c>
      <c r="D25" s="58">
        <v>789541</v>
      </c>
      <c r="E25" s="58">
        <f>VLOOKUP(A:A,'داتا اليومي'!A:L,2,)</f>
        <v>754797</v>
      </c>
      <c r="F25" s="55">
        <f t="shared" si="0"/>
        <v>0.9559946855198147</v>
      </c>
      <c r="G25" s="58">
        <v>102355</v>
      </c>
      <c r="H25" s="58">
        <f>VLOOKUP(A:A,'داتا اليومي'!A:C,3,)</f>
        <v>27587.93</v>
      </c>
      <c r="I25" s="55">
        <f t="shared" si="1"/>
        <v>0.26953182550925703</v>
      </c>
      <c r="J25" s="58">
        <v>230797.15161155062</v>
      </c>
      <c r="K25" s="58">
        <f>VLOOKUP(A:A,'داتا اليومي'!A:L,4,)</f>
        <v>107635.11999999997</v>
      </c>
      <c r="L25" s="55">
        <f t="shared" si="2"/>
        <v>0.46636242799546401</v>
      </c>
      <c r="M25" s="58">
        <v>10276</v>
      </c>
      <c r="N25" s="58">
        <f>VLOOKUP(A:A,'داتا اليومي'!A:L,5,)</f>
        <v>350</v>
      </c>
      <c r="O25" s="55">
        <f t="shared" si="3"/>
        <v>3.4059945504087197E-2</v>
      </c>
      <c r="P25" s="58">
        <v>149</v>
      </c>
      <c r="Q25" s="58">
        <f>VLOOKUP(A:A,'داتا اليومي'!A:L,6,)</f>
        <v>81</v>
      </c>
      <c r="R25" s="55">
        <f t="shared" si="4"/>
        <v>0.5436241610738255</v>
      </c>
      <c r="S25" s="58">
        <v>21</v>
      </c>
      <c r="T25" s="58">
        <f>VLOOKUP(A:A,'داتا اليومي'!A:L,7,)</f>
        <v>15</v>
      </c>
      <c r="U25" s="55">
        <f t="shared" si="5"/>
        <v>0.7142857142857143</v>
      </c>
      <c r="V25" s="58">
        <v>658.01237636741985</v>
      </c>
      <c r="W25" s="58">
        <f>VLOOKUP(A:A,'داتا اليومي'!A:L,8,)</f>
        <v>269</v>
      </c>
      <c r="X25" s="55">
        <f t="shared" si="6"/>
        <v>0.4088069003884453</v>
      </c>
      <c r="Y25" s="58">
        <v>22.287745403129687</v>
      </c>
      <c r="Z25" s="58">
        <f>VLOOKUP(A:A,'داتا اليومي'!A:L,9,)</f>
        <v>8</v>
      </c>
      <c r="AA25" s="55">
        <f t="shared" si="7"/>
        <v>0.35894164507445536</v>
      </c>
      <c r="AB25" s="58">
        <v>18.752617200032887</v>
      </c>
      <c r="AC25" s="58">
        <f>VLOOKUP(A:A,'داتا اليومي'!A:L,10,)</f>
        <v>3</v>
      </c>
      <c r="AD25" s="55">
        <f t="shared" si="8"/>
        <v>0.15997766967667526</v>
      </c>
      <c r="AE25" s="58">
        <v>58.246881567677072</v>
      </c>
      <c r="AF25" s="58">
        <f>VLOOKUP(A:A,'داتا اليومي'!A:L,11,)</f>
        <v>25</v>
      </c>
      <c r="AG25" s="55">
        <f t="shared" si="9"/>
        <v>0.42920752711803967</v>
      </c>
      <c r="AH25" s="58">
        <v>56</v>
      </c>
      <c r="AI25" s="58">
        <f>VLOOKUP(A:A,'داتا اليومي'!A:L,12,)</f>
        <v>35</v>
      </c>
      <c r="AJ25" s="55">
        <f t="shared" si="10"/>
        <v>0.625</v>
      </c>
      <c r="AK25" s="58">
        <v>23.107302739149279</v>
      </c>
      <c r="AL25" s="58">
        <f>VLOOKUP(A:A,'داتا اليومي'!A:M,13,)</f>
        <v>0</v>
      </c>
      <c r="AM25" s="55">
        <f t="shared" si="11"/>
        <v>0</v>
      </c>
      <c r="AN25" s="58">
        <v>60</v>
      </c>
      <c r="AO25" s="111">
        <f>VLOOKUP(A:A,'داتا اليومي'!A:O,14,)</f>
        <v>39</v>
      </c>
      <c r="AP25" s="55">
        <f t="shared" si="12"/>
        <v>0.65</v>
      </c>
    </row>
    <row r="26" spans="1:42" x14ac:dyDescent="0.25">
      <c r="A26" s="54">
        <v>23012</v>
      </c>
      <c r="B26" s="54" t="s">
        <v>221</v>
      </c>
      <c r="C26" s="54" t="s">
        <v>513</v>
      </c>
      <c r="D26" s="58">
        <v>1371818</v>
      </c>
      <c r="E26" s="58">
        <f>VLOOKUP(A:A,'داتا اليومي'!A:L,2,)</f>
        <v>1515052.3</v>
      </c>
      <c r="F26" s="55">
        <f t="shared" si="0"/>
        <v>1.1044120284177639</v>
      </c>
      <c r="G26" s="58">
        <v>163335</v>
      </c>
      <c r="H26" s="58">
        <f>VLOOKUP(A:A,'داتا اليومي'!A:C,3,)</f>
        <v>53361.77</v>
      </c>
      <c r="I26" s="55">
        <f t="shared" si="1"/>
        <v>0.32670138059815712</v>
      </c>
      <c r="J26" s="58">
        <v>387166.96541816817</v>
      </c>
      <c r="K26" s="58">
        <f>VLOOKUP(A:A,'داتا اليومي'!A:L,4,)</f>
        <v>226318.93999999997</v>
      </c>
      <c r="L26" s="55">
        <f t="shared" si="2"/>
        <v>0.58455126654609912</v>
      </c>
      <c r="M26" s="58">
        <v>16751</v>
      </c>
      <c r="N26" s="58">
        <f>VLOOKUP(A:A,'داتا اليومي'!A:L,5,)</f>
        <v>2603</v>
      </c>
      <c r="O26" s="55">
        <f t="shared" si="3"/>
        <v>0.155393707838338</v>
      </c>
      <c r="P26" s="58">
        <v>247</v>
      </c>
      <c r="Q26" s="58">
        <f>VLOOKUP(A:A,'داتا اليومي'!A:L,6,)</f>
        <v>120</v>
      </c>
      <c r="R26" s="55">
        <f t="shared" si="4"/>
        <v>0.48582995951417002</v>
      </c>
      <c r="S26" s="58">
        <v>35</v>
      </c>
      <c r="T26" s="58">
        <f>VLOOKUP(A:A,'داتا اليومي'!A:L,7,)</f>
        <v>20</v>
      </c>
      <c r="U26" s="55">
        <f t="shared" si="5"/>
        <v>0.5714285714285714</v>
      </c>
      <c r="V26" s="58">
        <v>1090.1713072412995</v>
      </c>
      <c r="W26" s="58">
        <f>VLOOKUP(A:A,'داتا اليومي'!A:L,8,)</f>
        <v>814</v>
      </c>
      <c r="X26" s="55">
        <f t="shared" si="6"/>
        <v>0.74667164196409042</v>
      </c>
      <c r="Y26" s="58">
        <v>47.759454435277902</v>
      </c>
      <c r="Z26" s="58">
        <f>VLOOKUP(A:A,'داتا اليومي'!A:L,9,)</f>
        <v>21</v>
      </c>
      <c r="AA26" s="55">
        <f t="shared" si="7"/>
        <v>0.43970351521620782</v>
      </c>
      <c r="AB26" s="58">
        <v>45.439033984695072</v>
      </c>
      <c r="AC26" s="58">
        <f>VLOOKUP(A:A,'داتا اليومي'!A:L,10,)</f>
        <v>17</v>
      </c>
      <c r="AD26" s="55">
        <f t="shared" si="8"/>
        <v>0.37412767194227758</v>
      </c>
      <c r="AE26" s="58">
        <v>106.63659856236265</v>
      </c>
      <c r="AF26" s="58">
        <f>VLOOKUP(A:A,'داتا اليومي'!A:L,11,)</f>
        <v>57</v>
      </c>
      <c r="AG26" s="55">
        <f t="shared" si="9"/>
        <v>0.53452567662935691</v>
      </c>
      <c r="AH26" s="58">
        <v>59</v>
      </c>
      <c r="AI26" s="58">
        <f>VLOOKUP(A:A,'داتا اليومي'!A:L,12,)</f>
        <v>26</v>
      </c>
      <c r="AJ26" s="55">
        <f t="shared" si="10"/>
        <v>0.44067796610169491</v>
      </c>
      <c r="AK26" s="58">
        <v>40.148660840937062</v>
      </c>
      <c r="AL26" s="58">
        <f>VLOOKUP(A:A,'داتا اليومي'!A:M,13,)</f>
        <v>3</v>
      </c>
      <c r="AM26" s="55">
        <f t="shared" si="11"/>
        <v>7.4722293027046346E-2</v>
      </c>
      <c r="AN26" s="58">
        <v>84</v>
      </c>
      <c r="AO26" s="111">
        <f>VLOOKUP(A:A,'داتا اليومي'!A:O,14,)</f>
        <v>72</v>
      </c>
      <c r="AP26" s="55">
        <f t="shared" si="12"/>
        <v>0.8571428571428571</v>
      </c>
    </row>
    <row r="27" spans="1:42" x14ac:dyDescent="0.25">
      <c r="A27" s="54">
        <v>23015</v>
      </c>
      <c r="B27" s="54" t="s">
        <v>221</v>
      </c>
      <c r="C27" s="54" t="s">
        <v>514</v>
      </c>
      <c r="D27" s="58">
        <v>356957</v>
      </c>
      <c r="E27" s="58">
        <f>VLOOKUP(A:A,'داتا اليومي'!A:L,2,)</f>
        <v>272939.19999999995</v>
      </c>
      <c r="F27" s="55">
        <f t="shared" si="0"/>
        <v>0.76462767224063388</v>
      </c>
      <c r="G27" s="58">
        <v>33684</v>
      </c>
      <c r="H27" s="58">
        <f>VLOOKUP(A:A,'داتا اليومي'!A:C,3,)</f>
        <v>12062.31</v>
      </c>
      <c r="I27" s="55">
        <f t="shared" si="1"/>
        <v>0.35810206626291413</v>
      </c>
      <c r="J27" s="58">
        <v>88800.866945195085</v>
      </c>
      <c r="K27" s="58">
        <f>VLOOKUP(A:A,'داتا اليومي'!A:L,4,)</f>
        <v>61897.569999999992</v>
      </c>
      <c r="L27" s="55">
        <f t="shared" si="2"/>
        <v>0.6970379020984232</v>
      </c>
      <c r="M27" s="58">
        <v>3135</v>
      </c>
      <c r="N27" s="58">
        <f>VLOOKUP(A:A,'داتا اليومي'!A:L,5,)</f>
        <v>2380</v>
      </c>
      <c r="O27" s="55">
        <f t="shared" si="3"/>
        <v>0.75917065390749605</v>
      </c>
      <c r="P27" s="58">
        <v>51</v>
      </c>
      <c r="Q27" s="58">
        <f>VLOOKUP(A:A,'داتا اليومي'!A:L,6,)</f>
        <v>31</v>
      </c>
      <c r="R27" s="55">
        <f t="shared" si="4"/>
        <v>0.60784313725490191</v>
      </c>
      <c r="S27" s="58">
        <v>6</v>
      </c>
      <c r="T27" s="58">
        <f>VLOOKUP(A:A,'داتا اليومي'!A:L,7,)</f>
        <v>3</v>
      </c>
      <c r="U27" s="55">
        <f t="shared" si="5"/>
        <v>0.5</v>
      </c>
      <c r="V27" s="58">
        <v>250.19240485799105</v>
      </c>
      <c r="W27" s="58">
        <f>VLOOKUP(A:A,'داتا اليومي'!A:L,8,)</f>
        <v>162</v>
      </c>
      <c r="X27" s="55">
        <f t="shared" si="6"/>
        <v>0.64750167013243676</v>
      </c>
      <c r="Y27" s="58">
        <v>16.715809052347268</v>
      </c>
      <c r="Z27" s="58">
        <f>VLOOKUP(A:A,'داتا اليومي'!A:L,9,)</f>
        <v>10</v>
      </c>
      <c r="AA27" s="55">
        <f t="shared" si="7"/>
        <v>0.59823607512409216</v>
      </c>
      <c r="AB27" s="58">
        <v>18.031362692339314</v>
      </c>
      <c r="AC27" s="58">
        <f>VLOOKUP(A:A,'داتا اليومي'!A:L,10,)</f>
        <v>35</v>
      </c>
      <c r="AD27" s="55">
        <f t="shared" si="8"/>
        <v>1.9410623920769932</v>
      </c>
      <c r="AE27" s="58">
        <v>27.779281978430603</v>
      </c>
      <c r="AF27" s="58">
        <f>VLOOKUP(A:A,'داتا اليومي'!A:L,11,)</f>
        <v>16</v>
      </c>
      <c r="AG27" s="55">
        <f t="shared" si="9"/>
        <v>0.57596881058420801</v>
      </c>
      <c r="AH27" s="58">
        <v>21</v>
      </c>
      <c r="AI27" s="58">
        <f>VLOOKUP(A:A,'داتا اليومي'!A:L,12,)</f>
        <v>12</v>
      </c>
      <c r="AJ27" s="55">
        <f t="shared" si="10"/>
        <v>0.5714285714285714</v>
      </c>
      <c r="AK27" s="58">
        <v>10.446972942327896</v>
      </c>
      <c r="AL27" s="58">
        <f>VLOOKUP(A:A,'داتا اليومي'!A:M,13,)</f>
        <v>1</v>
      </c>
      <c r="AM27" s="55">
        <f t="shared" si="11"/>
        <v>9.5721507609951767E-2</v>
      </c>
      <c r="AN27" s="58">
        <v>23</v>
      </c>
      <c r="AO27" s="111">
        <f>VLOOKUP(A:A,'داتا اليومي'!A:O,14,)</f>
        <v>11</v>
      </c>
      <c r="AP27" s="55">
        <f t="shared" si="12"/>
        <v>0.47826086956521741</v>
      </c>
    </row>
    <row r="28" spans="1:42" x14ac:dyDescent="0.25">
      <c r="A28" s="54">
        <v>33027</v>
      </c>
      <c r="B28" s="54" t="s">
        <v>221</v>
      </c>
      <c r="C28" s="54" t="s">
        <v>515</v>
      </c>
      <c r="D28" s="58">
        <v>693646</v>
      </c>
      <c r="E28" s="58">
        <f>VLOOKUP(A:A,'داتا اليومي'!A:L,2,)</f>
        <v>594268.87</v>
      </c>
      <c r="F28" s="55">
        <f t="shared" si="0"/>
        <v>0.85673220922487836</v>
      </c>
      <c r="G28" s="58">
        <v>41135</v>
      </c>
      <c r="H28" s="58">
        <f>VLOOKUP(A:A,'داتا اليومي'!A:C,3,)</f>
        <v>52166.289999999994</v>
      </c>
      <c r="I28" s="55">
        <f t="shared" si="1"/>
        <v>1.2681728455086907</v>
      </c>
      <c r="J28" s="58">
        <v>238650.37003640391</v>
      </c>
      <c r="K28" s="58">
        <f>VLOOKUP(A:A,'داتا اليومي'!A:L,4,)</f>
        <v>104745.41999999998</v>
      </c>
      <c r="L28" s="55">
        <f t="shared" si="2"/>
        <v>0.43890742756452478</v>
      </c>
      <c r="M28" s="58">
        <v>8457</v>
      </c>
      <c r="N28" s="58">
        <f>VLOOKUP(A:A,'داتا اليومي'!A:L,5,)</f>
        <v>290</v>
      </c>
      <c r="O28" s="55">
        <f t="shared" si="3"/>
        <v>3.4291119782428756E-2</v>
      </c>
      <c r="P28" s="58">
        <v>207</v>
      </c>
      <c r="Q28" s="58">
        <f>VLOOKUP(A:A,'داتا اليومي'!A:L,6,)</f>
        <v>110</v>
      </c>
      <c r="R28" s="55">
        <f t="shared" si="4"/>
        <v>0.53140096618357491</v>
      </c>
      <c r="S28" s="58">
        <v>24</v>
      </c>
      <c r="T28" s="58">
        <f>VLOOKUP(A:A,'داتا اليومي'!A:L,7,)</f>
        <v>11</v>
      </c>
      <c r="U28" s="55">
        <f t="shared" si="5"/>
        <v>0.45833333333333331</v>
      </c>
      <c r="V28" s="58">
        <v>669.58143409731144</v>
      </c>
      <c r="W28" s="58">
        <f>VLOOKUP(A:A,'داتا اليومي'!A:L,8,)</f>
        <v>303</v>
      </c>
      <c r="X28" s="55">
        <f t="shared" si="6"/>
        <v>0.45252150757209386</v>
      </c>
      <c r="Y28" s="58">
        <v>35.81959082645843</v>
      </c>
      <c r="Z28" s="58">
        <f>VLOOKUP(A:A,'داتا اليومي'!A:L,9,)</f>
        <v>11</v>
      </c>
      <c r="AA28" s="55">
        <f t="shared" si="7"/>
        <v>0.30709451856370062</v>
      </c>
      <c r="AB28" s="58">
        <v>25.24390776927504</v>
      </c>
      <c r="AC28" s="58">
        <f>VLOOKUP(A:A,'داتا اليومي'!A:L,10,)</f>
        <v>21</v>
      </c>
      <c r="AD28" s="55">
        <f t="shared" si="8"/>
        <v>0.83188388231871135</v>
      </c>
      <c r="AE28" s="58">
        <v>96.779433989371142</v>
      </c>
      <c r="AF28" s="58">
        <f>VLOOKUP(A:A,'داتا اليومي'!A:L,11,)</f>
        <v>33</v>
      </c>
      <c r="AG28" s="55">
        <f t="shared" si="9"/>
        <v>0.3409815354326648</v>
      </c>
      <c r="AH28" s="58">
        <v>48</v>
      </c>
      <c r="AI28" s="58">
        <f>VLOOKUP(A:A,'داتا اليومي'!A:L,12,)</f>
        <v>53</v>
      </c>
      <c r="AJ28" s="55">
        <f t="shared" si="10"/>
        <v>1.1041666666666667</v>
      </c>
      <c r="AK28" s="58">
        <v>20.300767301254705</v>
      </c>
      <c r="AL28" s="58">
        <f>VLOOKUP(A:A,'داتا اليومي'!A:M,13,)</f>
        <v>0</v>
      </c>
      <c r="AM28" s="55">
        <f t="shared" si="11"/>
        <v>0</v>
      </c>
      <c r="AN28" s="58">
        <v>81</v>
      </c>
      <c r="AO28" s="111">
        <f>VLOOKUP(A:A,'داتا اليومي'!A:O,14,)</f>
        <v>11</v>
      </c>
      <c r="AP28" s="55">
        <f t="shared" si="12"/>
        <v>0.13580246913580246</v>
      </c>
    </row>
    <row r="29" spans="1:42" x14ac:dyDescent="0.25">
      <c r="A29" s="54">
        <v>73001</v>
      </c>
      <c r="B29" s="54" t="s">
        <v>221</v>
      </c>
      <c r="C29" s="54" t="s">
        <v>258</v>
      </c>
      <c r="D29" s="58">
        <v>1117666</v>
      </c>
      <c r="E29" s="58">
        <f>VLOOKUP(A:A,'داتا اليومي'!A:L,2,)</f>
        <v>862267.40000000014</v>
      </c>
      <c r="F29" s="55">
        <f t="shared" si="0"/>
        <v>0.77148933581230894</v>
      </c>
      <c r="G29" s="58">
        <v>223225</v>
      </c>
      <c r="H29" s="58">
        <f>VLOOKUP(A:A,'داتا اليومي'!A:C,3,)</f>
        <v>77571.010000000009</v>
      </c>
      <c r="I29" s="55">
        <f t="shared" si="1"/>
        <v>0.34750144473065298</v>
      </c>
      <c r="J29" s="58">
        <v>324037.63738871086</v>
      </c>
      <c r="K29" s="58">
        <f>VLOOKUP(A:A,'داتا اليومي'!A:L,4,)</f>
        <v>183655.36999999997</v>
      </c>
      <c r="L29" s="55">
        <f t="shared" si="2"/>
        <v>0.56677172281591981</v>
      </c>
      <c r="M29" s="58">
        <v>13714</v>
      </c>
      <c r="N29" s="58">
        <f>VLOOKUP(A:A,'داتا اليومي'!A:L,5,)</f>
        <v>2818</v>
      </c>
      <c r="O29" s="55">
        <f t="shared" si="3"/>
        <v>0.20548344757182441</v>
      </c>
      <c r="P29" s="58">
        <v>240</v>
      </c>
      <c r="Q29" s="58">
        <f>VLOOKUP(A:A,'داتا اليومي'!A:L,6,)</f>
        <v>91</v>
      </c>
      <c r="R29" s="55">
        <f t="shared" si="4"/>
        <v>0.37916666666666665</v>
      </c>
      <c r="S29" s="58">
        <v>37</v>
      </c>
      <c r="T29" s="58">
        <f>VLOOKUP(A:A,'داتا اليومي'!A:L,7,)</f>
        <v>11</v>
      </c>
      <c r="U29" s="55">
        <f t="shared" si="5"/>
        <v>0.29729729729729731</v>
      </c>
      <c r="V29" s="58">
        <v>996.87004138429802</v>
      </c>
      <c r="W29" s="58">
        <f>VLOOKUP(A:A,'داتا اليومي'!A:L,8,)</f>
        <v>587</v>
      </c>
      <c r="X29" s="55">
        <f t="shared" si="6"/>
        <v>0.58884305439138862</v>
      </c>
      <c r="Y29" s="58">
        <v>42.983508991750114</v>
      </c>
      <c r="Z29" s="58">
        <f>VLOOKUP(A:A,'داتا اليومي'!A:L,9,)</f>
        <v>12</v>
      </c>
      <c r="AA29" s="55">
        <f t="shared" si="7"/>
        <v>0.27917683505790969</v>
      </c>
      <c r="AB29" s="58">
        <v>19.47387170772646</v>
      </c>
      <c r="AC29" s="58">
        <f>VLOOKUP(A:A,'داتا اليومي'!A:L,10,)</f>
        <v>13</v>
      </c>
      <c r="AD29" s="55">
        <f t="shared" si="8"/>
        <v>0.66756114013229917</v>
      </c>
      <c r="AE29" s="58">
        <v>71.688469621756397</v>
      </c>
      <c r="AF29" s="58">
        <f>VLOOKUP(A:A,'داتا اليومي'!A:L,11,)</f>
        <v>36</v>
      </c>
      <c r="AG29" s="55">
        <f t="shared" si="9"/>
        <v>0.50217280672810638</v>
      </c>
      <c r="AH29" s="58">
        <v>63</v>
      </c>
      <c r="AI29" s="58">
        <f>VLOOKUP(A:A,'داتا اليومي'!A:L,12,)</f>
        <v>55</v>
      </c>
      <c r="AJ29" s="55">
        <f t="shared" si="10"/>
        <v>0.87301587301587302</v>
      </c>
      <c r="AK29" s="58">
        <v>32.710456611188043</v>
      </c>
      <c r="AL29" s="58">
        <f>VLOOKUP(A:A,'داتا اليومي'!A:M,13,)</f>
        <v>1</v>
      </c>
      <c r="AM29" s="55">
        <f t="shared" si="11"/>
        <v>3.0571263858724839E-2</v>
      </c>
      <c r="AN29" s="58">
        <v>76</v>
      </c>
      <c r="AO29" s="111">
        <f>VLOOKUP(A:A,'داتا اليومي'!A:O,14,)</f>
        <v>37</v>
      </c>
      <c r="AP29" s="55">
        <f t="shared" si="12"/>
        <v>0.48684210526315791</v>
      </c>
    </row>
    <row r="30" spans="1:42" x14ac:dyDescent="0.25">
      <c r="A30" s="54">
        <v>73004</v>
      </c>
      <c r="B30" s="54" t="s">
        <v>221</v>
      </c>
      <c r="C30" s="54" t="s">
        <v>270</v>
      </c>
      <c r="D30" s="58">
        <v>587542</v>
      </c>
      <c r="E30" s="58">
        <f>VLOOKUP(A:A,'داتا اليومي'!A:L,2,)</f>
        <v>139913.07999999999</v>
      </c>
      <c r="F30" s="55">
        <f t="shared" si="0"/>
        <v>0.23813289943527438</v>
      </c>
      <c r="G30" s="58">
        <v>80315</v>
      </c>
      <c r="H30" s="58">
        <f>VLOOKUP(A:A,'داتا اليومي'!A:C,3,)</f>
        <v>23392.160000000003</v>
      </c>
      <c r="I30" s="55">
        <f t="shared" si="1"/>
        <v>0.29125518271804773</v>
      </c>
      <c r="J30" s="58">
        <v>137897.0746312541</v>
      </c>
      <c r="K30" s="58">
        <f>VLOOKUP(A:A,'داتا اليومي'!A:L,4,)</f>
        <v>37494.81</v>
      </c>
      <c r="L30" s="55">
        <f t="shared" si="2"/>
        <v>0.27190431776934787</v>
      </c>
      <c r="M30" s="58">
        <v>6954</v>
      </c>
      <c r="N30" s="58">
        <f>VLOOKUP(A:A,'داتا اليومي'!A:L,5,)</f>
        <v>2529</v>
      </c>
      <c r="O30" s="55">
        <f t="shared" si="3"/>
        <v>0.36367558239861952</v>
      </c>
      <c r="P30" s="58">
        <v>73</v>
      </c>
      <c r="Q30" s="58">
        <f>VLOOKUP(A:A,'داتا اليومي'!A:L,6,)</f>
        <v>35</v>
      </c>
      <c r="R30" s="55">
        <f t="shared" si="4"/>
        <v>0.47945205479452052</v>
      </c>
      <c r="S30" s="58">
        <v>7</v>
      </c>
      <c r="T30" s="58">
        <f>VLOOKUP(A:A,'داتا اليومي'!A:L,7,)</f>
        <v>4</v>
      </c>
      <c r="U30" s="55">
        <f t="shared" si="5"/>
        <v>0.5714285714285714</v>
      </c>
      <c r="V30" s="58">
        <v>343.92461298510085</v>
      </c>
      <c r="W30" s="58">
        <f>VLOOKUP(A:A,'داتا اليومي'!A:L,8,)</f>
        <v>24</v>
      </c>
      <c r="X30" s="55">
        <f t="shared" si="6"/>
        <v>6.9782734628067181E-2</v>
      </c>
      <c r="Y30" s="58">
        <v>14.327836330583372</v>
      </c>
      <c r="Z30" s="58">
        <f>VLOOKUP(A:A,'داتا اليومي'!A:L,9,)</f>
        <v>0</v>
      </c>
      <c r="AA30" s="55">
        <f t="shared" si="7"/>
        <v>0</v>
      </c>
      <c r="AB30" s="58">
        <v>10.818817615403589</v>
      </c>
      <c r="AC30" s="58">
        <f>VLOOKUP(A:A,'داتا اليومي'!A:L,10,)</f>
        <v>0</v>
      </c>
      <c r="AD30" s="55">
        <f t="shared" si="8"/>
        <v>0</v>
      </c>
      <c r="AE30" s="58">
        <v>66.311834400124667</v>
      </c>
      <c r="AF30" s="58">
        <f>VLOOKUP(A:A,'داتا اليومي'!A:L,11,)</f>
        <v>18</v>
      </c>
      <c r="AG30" s="55">
        <f t="shared" si="9"/>
        <v>0.27144476039357102</v>
      </c>
      <c r="AH30" s="58">
        <v>26</v>
      </c>
      <c r="AI30" s="58">
        <f>VLOOKUP(A:A,'داتا اليومي'!A:L,12,)</f>
        <v>7</v>
      </c>
      <c r="AJ30" s="55">
        <f t="shared" si="10"/>
        <v>0.26923076923076922</v>
      </c>
      <c r="AK30" s="58">
        <v>17.195447565060263</v>
      </c>
      <c r="AL30" s="58">
        <f>VLOOKUP(A:A,'داتا اليومي'!A:M,13,)</f>
        <v>0</v>
      </c>
      <c r="AM30" s="55">
        <f t="shared" si="11"/>
        <v>0</v>
      </c>
      <c r="AN30" s="58">
        <v>33</v>
      </c>
      <c r="AO30" s="111">
        <f>VLOOKUP(A:A,'داتا اليومي'!A:O,14,)</f>
        <v>4</v>
      </c>
      <c r="AP30" s="55">
        <f t="shared" si="12"/>
        <v>0.12121212121212122</v>
      </c>
    </row>
    <row r="31" spans="1:42" x14ac:dyDescent="0.25">
      <c r="A31" s="54">
        <v>73030</v>
      </c>
      <c r="B31" s="54" t="s">
        <v>221</v>
      </c>
      <c r="C31" s="54" t="s">
        <v>278</v>
      </c>
      <c r="D31" s="58">
        <v>192009</v>
      </c>
      <c r="E31" s="58">
        <f>VLOOKUP(A:A,'داتا اليومي'!A:L,2,)</f>
        <v>119844.37</v>
      </c>
      <c r="F31" s="55">
        <f t="shared" si="0"/>
        <v>0.62416016957538445</v>
      </c>
      <c r="G31" s="58">
        <v>25214</v>
      </c>
      <c r="H31" s="58">
        <f>VLOOKUP(A:A,'داتا اليومي'!A:C,3,)</f>
        <v>1724.35</v>
      </c>
      <c r="I31" s="55">
        <f t="shared" si="1"/>
        <v>6.8388593638454828E-2</v>
      </c>
      <c r="J31" s="58">
        <v>55654.47596232716</v>
      </c>
      <c r="K31" s="58">
        <f>VLOOKUP(A:A,'داتا اليومي'!A:L,4,)</f>
        <v>4377.3900000000003</v>
      </c>
      <c r="L31" s="55">
        <f t="shared" si="2"/>
        <v>7.8652973086353037E-2</v>
      </c>
      <c r="M31" s="58">
        <v>0</v>
      </c>
      <c r="N31" s="58">
        <f>VLOOKUP(A:A,'داتا اليومي'!A:L,5,)</f>
        <v>0</v>
      </c>
      <c r="O31" s="55" t="e">
        <f t="shared" si="3"/>
        <v>#DIV/0!</v>
      </c>
      <c r="P31" s="58">
        <v>70</v>
      </c>
      <c r="Q31" s="58">
        <f>VLOOKUP(A:A,'داتا اليومي'!A:L,6,)</f>
        <v>24</v>
      </c>
      <c r="R31" s="55">
        <f t="shared" si="4"/>
        <v>0.34285714285714286</v>
      </c>
      <c r="S31" s="58">
        <v>15</v>
      </c>
      <c r="T31" s="58">
        <f>VLOOKUP(A:A,'داتا اليومي'!A:L,7,)</f>
        <v>2</v>
      </c>
      <c r="U31" s="55">
        <f t="shared" si="5"/>
        <v>0.13333333333333333</v>
      </c>
      <c r="V31" s="58">
        <v>636.97046333663184</v>
      </c>
      <c r="W31" s="58">
        <f>VLOOKUP(A:A,'داتا اليومي'!A:L,8,)</f>
        <v>528</v>
      </c>
      <c r="X31" s="55">
        <f t="shared" si="6"/>
        <v>0.82892383617630605</v>
      </c>
      <c r="Y31" s="58">
        <v>11.939863608819476</v>
      </c>
      <c r="Z31" s="58">
        <f>VLOOKUP(A:A,'داتا اليومي'!A:L,9,)</f>
        <v>16</v>
      </c>
      <c r="AA31" s="55">
        <f t="shared" si="7"/>
        <v>1.3400488082779667</v>
      </c>
      <c r="AB31" s="58">
        <v>343.31714566214055</v>
      </c>
      <c r="AC31" s="58">
        <f>VLOOKUP(A:A,'داتا اليومي'!A:L,10,)</f>
        <v>165</v>
      </c>
      <c r="AD31" s="55">
        <f t="shared" si="8"/>
        <v>0.48060518411270087</v>
      </c>
      <c r="AE31" s="58">
        <v>37.636446551422111</v>
      </c>
      <c r="AF31" s="58">
        <f>VLOOKUP(A:A,'داتا اليومي'!A:L,11,)</f>
        <v>2</v>
      </c>
      <c r="AG31" s="55">
        <f t="shared" si="9"/>
        <v>5.313997954794776E-2</v>
      </c>
      <c r="AH31" s="58">
        <v>133</v>
      </c>
      <c r="AI31" s="58">
        <f>VLOOKUP(A:A,'داتا اليومي'!A:L,12,)</f>
        <v>73</v>
      </c>
      <c r="AJ31" s="55">
        <f t="shared" si="10"/>
        <v>0.54887218045112784</v>
      </c>
      <c r="AK31" s="58">
        <v>5.6194802950591729</v>
      </c>
      <c r="AL31" s="58">
        <f>VLOOKUP(A:A,'داتا اليومي'!A:M,13,)</f>
        <v>0</v>
      </c>
      <c r="AM31" s="55">
        <f t="shared" si="11"/>
        <v>0</v>
      </c>
      <c r="AN31" s="58">
        <v>49</v>
      </c>
      <c r="AO31" s="111">
        <f>VLOOKUP(A:A,'داتا اليومي'!A:O,14,)</f>
        <v>0</v>
      </c>
      <c r="AP31" s="55">
        <f t="shared" si="12"/>
        <v>0</v>
      </c>
    </row>
    <row r="32" spans="1:42" x14ac:dyDescent="0.25">
      <c r="A32" s="69">
        <v>73011</v>
      </c>
      <c r="B32" s="69" t="s">
        <v>30</v>
      </c>
      <c r="C32" s="69" t="s">
        <v>516</v>
      </c>
      <c r="D32" s="58">
        <v>1342486</v>
      </c>
      <c r="E32" s="68">
        <f>VLOOKUP(A:A,'داتا اليومي'!A:L,2,)</f>
        <v>1052260.19</v>
      </c>
      <c r="F32" s="55">
        <f t="shared" si="0"/>
        <v>0.78381464685665247</v>
      </c>
      <c r="G32" s="58">
        <v>129806</v>
      </c>
      <c r="H32" s="58">
        <f>VLOOKUP(A:A,'داتا اليومي'!A:C,3,)</f>
        <v>46359.199999999997</v>
      </c>
      <c r="I32" s="55">
        <f t="shared" si="1"/>
        <v>0.3571421968167881</v>
      </c>
      <c r="J32" s="58">
        <v>266288.84997071605</v>
      </c>
      <c r="K32" s="58">
        <f>VLOOKUP(A:A,'داتا اليومي'!A:L,4,)</f>
        <v>149197.16999999998</v>
      </c>
      <c r="L32" s="55">
        <f t="shared" si="2"/>
        <v>0.56028320380822283</v>
      </c>
      <c r="M32" s="58">
        <v>23081</v>
      </c>
      <c r="N32" s="58">
        <f>VLOOKUP(A:A,'داتا اليومي'!A:L,5,)</f>
        <v>2470</v>
      </c>
      <c r="O32" s="55">
        <f t="shared" si="3"/>
        <v>0.10701442745115029</v>
      </c>
      <c r="P32" s="58">
        <v>200</v>
      </c>
      <c r="Q32" s="58">
        <f>VLOOKUP(A:A,'داتا اليومي'!A:L,6,)</f>
        <v>77</v>
      </c>
      <c r="R32" s="55">
        <f t="shared" si="4"/>
        <v>0.38500000000000001</v>
      </c>
      <c r="S32" s="58">
        <v>29</v>
      </c>
      <c r="T32" s="58">
        <f>VLOOKUP(A:A,'داتا اليومي'!A:L,7,)</f>
        <v>6</v>
      </c>
      <c r="U32" s="55">
        <f t="shared" si="5"/>
        <v>0.20689655172413793</v>
      </c>
      <c r="V32" s="58">
        <v>1082.9746828599702</v>
      </c>
      <c r="W32" s="58">
        <f>VLOOKUP(A:A,'داتا اليومي'!A:L,8,)</f>
        <v>651</v>
      </c>
      <c r="X32" s="55">
        <f t="shared" si="6"/>
        <v>0.60112208558819558</v>
      </c>
      <c r="Y32" s="58">
        <v>38.207563548222325</v>
      </c>
      <c r="Z32" s="58">
        <f>VLOOKUP(A:A,'داتا اليومي'!A:L,9,)</f>
        <v>19</v>
      </c>
      <c r="AA32" s="55">
        <f t="shared" si="7"/>
        <v>0.49728373744690163</v>
      </c>
      <c r="AB32" s="58">
        <v>28.128925800049331</v>
      </c>
      <c r="AC32" s="58">
        <f>VLOOKUP(A:A,'داتا اليومي'!A:L,10,)</f>
        <v>23</v>
      </c>
      <c r="AD32" s="55">
        <f t="shared" si="8"/>
        <v>0.81766364501411792</v>
      </c>
      <c r="AE32" s="58">
        <v>66.311834400124667</v>
      </c>
      <c r="AF32" s="58">
        <f>VLOOKUP(A:A,'داتا اليومي'!A:L,11,)</f>
        <v>17</v>
      </c>
      <c r="AG32" s="55">
        <f t="shared" si="9"/>
        <v>0.25636449592726152</v>
      </c>
      <c r="AH32" s="58">
        <v>106</v>
      </c>
      <c r="AI32" s="58">
        <f>VLOOKUP(A:A,'داتا اليومي'!A:L,12,)</f>
        <v>17</v>
      </c>
      <c r="AJ32" s="55">
        <f t="shared" si="10"/>
        <v>0.16037735849056603</v>
      </c>
      <c r="AK32" s="58">
        <v>39.290208393319105</v>
      </c>
      <c r="AL32" s="58">
        <f>VLOOKUP(A:A,'داتا اليومي'!A:M,13,)</f>
        <v>0</v>
      </c>
      <c r="AM32" s="55">
        <f t="shared" si="11"/>
        <v>0</v>
      </c>
      <c r="AN32" s="58">
        <v>97</v>
      </c>
      <c r="AO32" s="111">
        <f>VLOOKUP(A:A,'داتا اليومي'!A:O,14,)</f>
        <v>24</v>
      </c>
      <c r="AP32" s="55">
        <f t="shared" si="12"/>
        <v>0.24742268041237114</v>
      </c>
    </row>
    <row r="33" spans="1:42" x14ac:dyDescent="0.25">
      <c r="A33" s="69">
        <v>73013</v>
      </c>
      <c r="B33" s="69" t="s">
        <v>30</v>
      </c>
      <c r="C33" s="69" t="s">
        <v>42</v>
      </c>
      <c r="D33" s="58">
        <v>700427</v>
      </c>
      <c r="E33" s="68">
        <f>VLOOKUP(A:A,'داتا اليومي'!A:L,2,)</f>
        <v>460532.27</v>
      </c>
      <c r="F33" s="55">
        <f t="shared" si="0"/>
        <v>0.65750216653555615</v>
      </c>
      <c r="G33" s="58">
        <v>53103</v>
      </c>
      <c r="H33" s="58">
        <f>VLOOKUP(A:A,'داتا اليومي'!A:C,3,)</f>
        <v>10467.82</v>
      </c>
      <c r="I33" s="55">
        <f t="shared" si="1"/>
        <v>0.19712294973918609</v>
      </c>
      <c r="J33" s="58">
        <v>107699.37034686159</v>
      </c>
      <c r="K33" s="58">
        <f>VLOOKUP(A:A,'داتا اليومي'!A:L,4,)</f>
        <v>62361.279999999999</v>
      </c>
      <c r="L33" s="55">
        <f t="shared" si="2"/>
        <v>0.5790310546770735</v>
      </c>
      <c r="M33" s="58">
        <v>6935</v>
      </c>
      <c r="N33" s="58">
        <f>VLOOKUP(A:A,'داتا اليومي'!A:L,5,)</f>
        <v>0</v>
      </c>
      <c r="O33" s="55">
        <f t="shared" si="3"/>
        <v>0</v>
      </c>
      <c r="P33" s="58">
        <v>90</v>
      </c>
      <c r="Q33" s="58">
        <f>VLOOKUP(A:A,'داتا اليومي'!A:L,6,)</f>
        <v>36</v>
      </c>
      <c r="R33" s="55">
        <f t="shared" si="4"/>
        <v>0.4</v>
      </c>
      <c r="S33" s="58">
        <v>16</v>
      </c>
      <c r="T33" s="58">
        <f>VLOOKUP(A:A,'داتا اليومي'!A:L,7,)</f>
        <v>2</v>
      </c>
      <c r="U33" s="55">
        <f t="shared" si="5"/>
        <v>0.125</v>
      </c>
      <c r="V33" s="58">
        <v>443.52292517576552</v>
      </c>
      <c r="W33" s="58">
        <f>VLOOKUP(A:A,'داتا اليومي'!A:L,8,)</f>
        <v>291</v>
      </c>
      <c r="X33" s="55">
        <f t="shared" si="6"/>
        <v>0.65611039132797566</v>
      </c>
      <c r="Y33" s="58">
        <v>15.919818145092634</v>
      </c>
      <c r="Z33" s="58">
        <f>VLOOKUP(A:A,'داتا اليومي'!A:L,9,)</f>
        <v>15</v>
      </c>
      <c r="AA33" s="55">
        <f t="shared" si="7"/>
        <v>0.94222181832044527</v>
      </c>
      <c r="AB33" s="58">
        <v>20.195126215420032</v>
      </c>
      <c r="AC33" s="58">
        <f>VLOOKUP(A:A,'داتا اليومي'!A:L,10,)</f>
        <v>5</v>
      </c>
      <c r="AD33" s="55">
        <f t="shared" si="8"/>
        <v>0.24758448878533076</v>
      </c>
      <c r="AE33" s="58">
        <v>49.285822864957524</v>
      </c>
      <c r="AF33" s="58">
        <f>VLOOKUP(A:A,'داتا اليومي'!A:L,11,)</f>
        <v>27</v>
      </c>
      <c r="AG33" s="55">
        <f t="shared" si="9"/>
        <v>0.54782488006702512</v>
      </c>
      <c r="AH33" s="58">
        <v>0</v>
      </c>
      <c r="AI33" s="58">
        <f>VLOOKUP(A:A,'داتا اليومي'!A:L,12,)</f>
        <v>0</v>
      </c>
      <c r="AJ33" s="55" t="e">
        <f t="shared" si="10"/>
        <v>#DIV/0!</v>
      </c>
      <c r="AK33" s="58">
        <v>20.499225164588175</v>
      </c>
      <c r="AL33" s="58">
        <f>VLOOKUP(A:A,'داتا اليومي'!A:M,13,)</f>
        <v>0</v>
      </c>
      <c r="AM33" s="55">
        <f t="shared" si="11"/>
        <v>0</v>
      </c>
      <c r="AN33" s="58">
        <v>27</v>
      </c>
      <c r="AO33" s="111">
        <f>VLOOKUP(A:A,'داتا اليومي'!A:O,14,)</f>
        <v>33</v>
      </c>
      <c r="AP33" s="55">
        <f t="shared" si="12"/>
        <v>1.2222222222222223</v>
      </c>
    </row>
    <row r="34" spans="1:42" x14ac:dyDescent="0.25">
      <c r="A34" s="69">
        <v>73014</v>
      </c>
      <c r="B34" s="69" t="s">
        <v>30</v>
      </c>
      <c r="C34" s="69" t="s">
        <v>52</v>
      </c>
      <c r="D34" s="58">
        <v>291845</v>
      </c>
      <c r="E34" s="68">
        <f>VLOOKUP(A:A,'داتا اليومي'!A:L,2,)</f>
        <v>282540.18</v>
      </c>
      <c r="F34" s="55">
        <f t="shared" si="0"/>
        <v>0.96811725402182658</v>
      </c>
      <c r="G34" s="58">
        <v>29502</v>
      </c>
      <c r="H34" s="58">
        <f>VLOOKUP(A:A,'داتا اليومي'!A:C,3,)</f>
        <v>15536.53</v>
      </c>
      <c r="I34" s="55">
        <f t="shared" si="1"/>
        <v>0.52662633041827678</v>
      </c>
      <c r="J34" s="58">
        <v>59801.67177595642</v>
      </c>
      <c r="K34" s="58">
        <f>VLOOKUP(A:A,'داتا اليومي'!A:L,4,)</f>
        <v>63094.71</v>
      </c>
      <c r="L34" s="55">
        <f t="shared" si="2"/>
        <v>1.0550659893987706</v>
      </c>
      <c r="M34" s="58">
        <v>4957</v>
      </c>
      <c r="N34" s="58">
        <f>VLOOKUP(A:A,'داتا اليومي'!A:L,5,)</f>
        <v>0</v>
      </c>
      <c r="O34" s="55">
        <f t="shared" si="3"/>
        <v>0</v>
      </c>
      <c r="P34" s="58">
        <v>45</v>
      </c>
      <c r="Q34" s="58">
        <f>VLOOKUP(A:A,'داتا اليومي'!A:L,6,)</f>
        <v>8</v>
      </c>
      <c r="R34" s="55">
        <f t="shared" si="4"/>
        <v>0.17777777777777778</v>
      </c>
      <c r="S34" s="58">
        <v>7</v>
      </c>
      <c r="T34" s="58">
        <f>VLOOKUP(A:A,'داتا اليومي'!A:L,7,)</f>
        <v>2</v>
      </c>
      <c r="U34" s="55">
        <f t="shared" si="5"/>
        <v>0.2857142857142857</v>
      </c>
      <c r="V34" s="58">
        <v>245.66104063554894</v>
      </c>
      <c r="W34" s="58">
        <f>VLOOKUP(A:A,'داتا اليومي'!A:L,8,)</f>
        <v>171</v>
      </c>
      <c r="X34" s="55">
        <f t="shared" si="6"/>
        <v>0.69608106990675611</v>
      </c>
      <c r="Y34" s="58">
        <v>8.7558999798009491</v>
      </c>
      <c r="Z34" s="58">
        <f>VLOOKUP(A:A,'داتا اليومي'!A:L,9,)</f>
        <v>15</v>
      </c>
      <c r="AA34" s="55">
        <f t="shared" si="7"/>
        <v>1.713130578764446</v>
      </c>
      <c r="AB34" s="58">
        <v>11.540072123097161</v>
      </c>
      <c r="AC34" s="58">
        <f>VLOOKUP(A:A,'داتا اليومي'!A:L,10,)</f>
        <v>2</v>
      </c>
      <c r="AD34" s="55">
        <f t="shared" si="8"/>
        <v>0.17330914214973153</v>
      </c>
      <c r="AE34" s="58">
        <v>28.67538784870256</v>
      </c>
      <c r="AF34" s="58">
        <f>VLOOKUP(A:A,'داتا اليومي'!A:L,11,)</f>
        <v>9</v>
      </c>
      <c r="AG34" s="55">
        <f t="shared" si="9"/>
        <v>0.31385800420506649</v>
      </c>
      <c r="AH34" s="58">
        <v>0</v>
      </c>
      <c r="AI34" s="58">
        <f>VLOOKUP(A:A,'داتا اليومي'!A:L,12,)</f>
        <v>1</v>
      </c>
      <c r="AJ34" s="55" t="e">
        <f t="shared" si="10"/>
        <v>#DIV/0!</v>
      </c>
      <c r="AK34" s="58">
        <v>8.5413560130595148</v>
      </c>
      <c r="AL34" s="58">
        <f>VLOOKUP(A:A,'داتا اليومي'!A:M,13,)</f>
        <v>0</v>
      </c>
      <c r="AM34" s="55">
        <f t="shared" si="11"/>
        <v>0</v>
      </c>
      <c r="AN34" s="58">
        <v>15</v>
      </c>
      <c r="AO34" s="111">
        <f>VLOOKUP(A:A,'داتا اليومي'!A:O,14,)</f>
        <v>6</v>
      </c>
      <c r="AP34" s="55">
        <f t="shared" si="12"/>
        <v>0.4</v>
      </c>
    </row>
    <row r="35" spans="1:42" x14ac:dyDescent="0.25">
      <c r="A35" s="69">
        <v>73024</v>
      </c>
      <c r="B35" s="69" t="s">
        <v>30</v>
      </c>
      <c r="C35" s="69" t="s">
        <v>517</v>
      </c>
      <c r="D35" s="58">
        <v>817165</v>
      </c>
      <c r="E35" s="68">
        <f>VLOOKUP(A:A,'داتا اليومي'!A:L,2,)</f>
        <v>660541.8600000001</v>
      </c>
      <c r="F35" s="55">
        <f t="shared" si="0"/>
        <v>0.80833351893436467</v>
      </c>
      <c r="G35" s="58">
        <v>82604</v>
      </c>
      <c r="H35" s="58">
        <f>VLOOKUP(A:A,'داتا اليومي'!A:C,3,)</f>
        <v>10779.14</v>
      </c>
      <c r="I35" s="55">
        <f t="shared" si="1"/>
        <v>0.13049174374122319</v>
      </c>
      <c r="J35" s="58">
        <v>165521.30159005881</v>
      </c>
      <c r="K35" s="58">
        <f>VLOOKUP(A:A,'داتا اليومي'!A:L,4,)</f>
        <v>85087.829999999987</v>
      </c>
      <c r="L35" s="55">
        <f t="shared" si="2"/>
        <v>0.51405969613949887</v>
      </c>
      <c r="M35" s="58">
        <v>9233</v>
      </c>
      <c r="N35" s="58">
        <f>VLOOKUP(A:A,'داتا اليومي'!A:L,5,)</f>
        <v>2846</v>
      </c>
      <c r="O35" s="55">
        <f t="shared" si="3"/>
        <v>0.30824217480775479</v>
      </c>
      <c r="P35" s="58">
        <v>126</v>
      </c>
      <c r="Q35" s="58">
        <f>VLOOKUP(A:A,'داتا اليومي'!A:L,6,)</f>
        <v>72</v>
      </c>
      <c r="R35" s="55">
        <f t="shared" si="4"/>
        <v>0.5714285714285714</v>
      </c>
      <c r="S35" s="58">
        <v>18</v>
      </c>
      <c r="T35" s="58">
        <f>VLOOKUP(A:A,'داتا اليومي'!A:L,7,)</f>
        <v>14</v>
      </c>
      <c r="U35" s="55">
        <f t="shared" si="5"/>
        <v>0.77777777777777779</v>
      </c>
      <c r="V35" s="58">
        <v>690.15049182720315</v>
      </c>
      <c r="W35" s="58">
        <f>VLOOKUP(A:A,'داتا اليومي'!A:L,8,)</f>
        <v>321</v>
      </c>
      <c r="X35" s="55">
        <f t="shared" si="6"/>
        <v>0.46511594761040981</v>
      </c>
      <c r="Y35" s="58">
        <v>24.675718124893585</v>
      </c>
      <c r="Z35" s="58">
        <f>VLOOKUP(A:A,'داتا اليومي'!A:L,9,)</f>
        <v>3</v>
      </c>
      <c r="AA35" s="55">
        <f t="shared" si="7"/>
        <v>0.12157700881554132</v>
      </c>
      <c r="AB35" s="58">
        <v>44.7177794770015</v>
      </c>
      <c r="AC35" s="58">
        <f>VLOOKUP(A:A,'داتا اليومي'!A:L,10,)</f>
        <v>39</v>
      </c>
      <c r="AD35" s="55">
        <f t="shared" si="8"/>
        <v>0.87213632823735865</v>
      </c>
      <c r="AE35" s="58">
        <v>58.246881567677072</v>
      </c>
      <c r="AF35" s="58">
        <f>VLOOKUP(A:A,'داتا اليومي'!A:L,11,)</f>
        <v>30</v>
      </c>
      <c r="AG35" s="55">
        <f t="shared" si="9"/>
        <v>0.51504903254164758</v>
      </c>
      <c r="AH35" s="58">
        <v>71</v>
      </c>
      <c r="AI35" s="58">
        <f>VLOOKUP(A:A,'داتا اليومي'!A:L,12,)</f>
        <v>50</v>
      </c>
      <c r="AJ35" s="55">
        <f t="shared" si="10"/>
        <v>0.70422535211267601</v>
      </c>
      <c r="AK35" s="58">
        <v>23.915767569811983</v>
      </c>
      <c r="AL35" s="58">
        <f>VLOOKUP(A:A,'داتا اليومي'!A:M,13,)</f>
        <v>0</v>
      </c>
      <c r="AM35" s="55">
        <f t="shared" si="11"/>
        <v>0</v>
      </c>
      <c r="AN35" s="58">
        <v>54</v>
      </c>
      <c r="AO35" s="111">
        <f>VLOOKUP(A:A,'داتا اليومي'!A:O,14,)</f>
        <v>10</v>
      </c>
      <c r="AP35" s="55">
        <f t="shared" si="12"/>
        <v>0.18518518518518517</v>
      </c>
    </row>
    <row r="36" spans="1:42" x14ac:dyDescent="0.25">
      <c r="A36" s="69">
        <v>73025</v>
      </c>
      <c r="B36" s="69" t="s">
        <v>30</v>
      </c>
      <c r="C36" s="69" t="s">
        <v>518</v>
      </c>
      <c r="D36" s="58">
        <v>642058</v>
      </c>
      <c r="E36" s="68">
        <f>VLOOKUP(A:A,'داتا اليومي'!A:L,2,)</f>
        <v>531794.27</v>
      </c>
      <c r="F36" s="55">
        <f t="shared" si="0"/>
        <v>0.82826515673038892</v>
      </c>
      <c r="G36" s="58">
        <v>82604</v>
      </c>
      <c r="H36" s="58">
        <f>VLOOKUP(A:A,'داتا اليومي'!A:C,3,)</f>
        <v>10175.369999999999</v>
      </c>
      <c r="I36" s="55">
        <f t="shared" si="1"/>
        <v>0.12318253353348504</v>
      </c>
      <c r="J36" s="58">
        <v>168633.30159005881</v>
      </c>
      <c r="K36" s="58">
        <f>VLOOKUP(A:A,'داتا اليومي'!A:L,4,)</f>
        <v>51232.200000000004</v>
      </c>
      <c r="L36" s="55">
        <f t="shared" si="2"/>
        <v>0.30380831969087307</v>
      </c>
      <c r="M36" s="58">
        <v>7254</v>
      </c>
      <c r="N36" s="58">
        <f>VLOOKUP(A:A,'داتا اليومي'!A:L,5,)</f>
        <v>4063</v>
      </c>
      <c r="O36" s="55">
        <f t="shared" si="3"/>
        <v>0.56010476978218915</v>
      </c>
      <c r="P36" s="58">
        <v>100</v>
      </c>
      <c r="Q36" s="58">
        <f>VLOOKUP(A:A,'داتا اليومي'!A:L,6,)</f>
        <v>40</v>
      </c>
      <c r="R36" s="55">
        <f t="shared" si="4"/>
        <v>0.4</v>
      </c>
      <c r="S36" s="58">
        <v>18</v>
      </c>
      <c r="T36" s="58">
        <f>VLOOKUP(A:A,'داتا اليومي'!A:L,7,)</f>
        <v>3</v>
      </c>
      <c r="U36" s="55">
        <f t="shared" si="5"/>
        <v>0.16666666666666666</v>
      </c>
      <c r="V36" s="58">
        <v>690.15049182720315</v>
      </c>
      <c r="W36" s="58">
        <f>VLOOKUP(A:A,'داتا اليومي'!A:L,8,)</f>
        <v>183</v>
      </c>
      <c r="X36" s="55">
        <f t="shared" si="6"/>
        <v>0.26515955891808413</v>
      </c>
      <c r="Y36" s="58">
        <v>24.675718124893585</v>
      </c>
      <c r="Z36" s="58">
        <f>VLOOKUP(A:A,'داتا اليومي'!A:L,9,)</f>
        <v>3</v>
      </c>
      <c r="AA36" s="55">
        <f t="shared" si="7"/>
        <v>0.12157700881554132</v>
      </c>
      <c r="AB36" s="58">
        <v>28.128925800049331</v>
      </c>
      <c r="AC36" s="58">
        <f>VLOOKUP(A:A,'داتا اليومي'!A:L,10,)</f>
        <v>8</v>
      </c>
      <c r="AD36" s="55">
        <f t="shared" si="8"/>
        <v>0.28440474609186711</v>
      </c>
      <c r="AE36" s="58">
        <v>49.285822864957524</v>
      </c>
      <c r="AF36" s="58">
        <f>VLOOKUP(A:A,'داتا اليومي'!A:L,11,)</f>
        <v>11</v>
      </c>
      <c r="AG36" s="55">
        <f t="shared" si="9"/>
        <v>0.22318791410138061</v>
      </c>
      <c r="AH36" s="58">
        <v>66</v>
      </c>
      <c r="AI36" s="58">
        <f>VLOOKUP(A:A,'داتا اليومي'!A:L,12,)</f>
        <v>4</v>
      </c>
      <c r="AJ36" s="55">
        <f t="shared" si="10"/>
        <v>6.0606060606060608E-2</v>
      </c>
      <c r="AK36" s="58">
        <v>18.790953961976275</v>
      </c>
      <c r="AL36" s="58">
        <f>VLOOKUP(A:A,'داتا اليومي'!A:M,13,)</f>
        <v>0</v>
      </c>
      <c r="AM36" s="55">
        <f t="shared" si="11"/>
        <v>0</v>
      </c>
      <c r="AN36" s="58">
        <v>54</v>
      </c>
      <c r="AO36" s="111">
        <f>VLOOKUP(A:A,'داتا اليومي'!A:O,14,)</f>
        <v>7</v>
      </c>
      <c r="AP36" s="55">
        <f t="shared" si="12"/>
        <v>0.12962962962962962</v>
      </c>
    </row>
    <row r="37" spans="1:42" x14ac:dyDescent="0.25">
      <c r="A37" s="69">
        <v>73029</v>
      </c>
      <c r="B37" s="69" t="s">
        <v>30</v>
      </c>
      <c r="C37" s="69" t="s">
        <v>519</v>
      </c>
      <c r="D37" s="58">
        <v>525320</v>
      </c>
      <c r="E37" s="68">
        <f>VLOOKUP(A:A,'داتا اليومي'!A:L,2,)</f>
        <v>404536.61</v>
      </c>
      <c r="F37" s="55">
        <f t="shared" si="0"/>
        <v>0.77007654382090918</v>
      </c>
      <c r="G37" s="58">
        <v>70804</v>
      </c>
      <c r="H37" s="58">
        <f>VLOOKUP(A:A,'داتا اليومي'!A:C,3,)</f>
        <v>20126.080000000002</v>
      </c>
      <c r="I37" s="55">
        <f t="shared" si="1"/>
        <v>0.28425060731032148</v>
      </c>
      <c r="J37" s="58">
        <v>147070.24695156238</v>
      </c>
      <c r="K37" s="58">
        <f>VLOOKUP(A:A,'داتا اليومي'!A:L,4,)</f>
        <v>46164.72</v>
      </c>
      <c r="L37" s="55">
        <f t="shared" si="2"/>
        <v>0.31389571280997686</v>
      </c>
      <c r="M37" s="58">
        <v>4000</v>
      </c>
      <c r="N37" s="58">
        <f>VLOOKUP(A:A,'داتا اليومي'!A:L,5,)</f>
        <v>379</v>
      </c>
      <c r="O37" s="55">
        <f t="shared" si="3"/>
        <v>9.4750000000000001E-2</v>
      </c>
      <c r="P37" s="58">
        <v>99</v>
      </c>
      <c r="Q37" s="58">
        <f>VLOOKUP(A:A,'داتا اليومي'!A:L,6,)</f>
        <v>32</v>
      </c>
      <c r="R37" s="55">
        <f t="shared" si="4"/>
        <v>0.32323232323232326</v>
      </c>
      <c r="S37" s="58">
        <v>12</v>
      </c>
      <c r="T37" s="58">
        <f>VLOOKUP(A:A,'داتا اليومي'!A:L,7,)</f>
        <v>5</v>
      </c>
      <c r="U37" s="55">
        <f t="shared" si="5"/>
        <v>0.41666666666666669</v>
      </c>
      <c r="V37" s="58">
        <v>590.71954955709487</v>
      </c>
      <c r="W37" s="58">
        <f>VLOOKUP(A:A,'داتا اليومي'!A:L,8,)</f>
        <v>386</v>
      </c>
      <c r="X37" s="55">
        <f t="shared" si="6"/>
        <v>0.65344036825835894</v>
      </c>
      <c r="Y37" s="58">
        <v>20.695763588620427</v>
      </c>
      <c r="Z37" s="58">
        <f>VLOOKUP(A:A,'داتا اليومي'!A:L,9,)</f>
        <v>7</v>
      </c>
      <c r="AA37" s="55">
        <f t="shared" si="7"/>
        <v>0.33823347324323672</v>
      </c>
      <c r="AB37" s="58">
        <v>24.522653261581468</v>
      </c>
      <c r="AC37" s="58">
        <f>VLOOKUP(A:A,'داتا اليومي'!A:L,10,)</f>
        <v>3</v>
      </c>
      <c r="AD37" s="55">
        <f t="shared" si="8"/>
        <v>0.12233586504686932</v>
      </c>
      <c r="AE37" s="58">
        <v>53.766352216317301</v>
      </c>
      <c r="AF37" s="58">
        <f>VLOOKUP(A:A,'داتا اليومي'!A:L,11,)</f>
        <v>20</v>
      </c>
      <c r="AG37" s="55">
        <f t="shared" si="9"/>
        <v>0.37197985683563434</v>
      </c>
      <c r="AH37" s="58">
        <v>27</v>
      </c>
      <c r="AI37" s="58">
        <f>VLOOKUP(A:A,'داتا اليومي'!A:L,12,)</f>
        <v>2</v>
      </c>
      <c r="AJ37" s="55">
        <f t="shared" si="10"/>
        <v>7.407407407407407E-2</v>
      </c>
      <c r="AK37" s="58">
        <v>15.374411556752467</v>
      </c>
      <c r="AL37" s="58">
        <f>VLOOKUP(A:A,'داتا اليومي'!A:M,13,)</f>
        <v>0</v>
      </c>
      <c r="AM37" s="55">
        <f t="shared" si="11"/>
        <v>0</v>
      </c>
      <c r="AN37" s="58">
        <v>43</v>
      </c>
      <c r="AO37" s="111">
        <f>VLOOKUP(A:A,'داتا اليومي'!A:O,14,)</f>
        <v>4</v>
      </c>
      <c r="AP37" s="55">
        <f t="shared" si="12"/>
        <v>9.3023255813953487E-2</v>
      </c>
    </row>
    <row r="38" spans="1:42" x14ac:dyDescent="0.25">
      <c r="A38" s="69">
        <v>73036</v>
      </c>
      <c r="B38" s="69" t="s">
        <v>30</v>
      </c>
      <c r="C38" s="69" t="s">
        <v>520</v>
      </c>
      <c r="D38" s="58">
        <v>1517592</v>
      </c>
      <c r="E38" s="68">
        <f>VLOOKUP(A:A,'داتا اليومي'!A:L,2,)</f>
        <v>1513655.46</v>
      </c>
      <c r="F38" s="55">
        <f t="shared" si="0"/>
        <v>0.99740606170828516</v>
      </c>
      <c r="G38" s="58">
        <v>141608</v>
      </c>
      <c r="H38" s="58">
        <f>VLOOKUP(A:A,'داتا اليومي'!A:C,3,)</f>
        <v>62648.22</v>
      </c>
      <c r="I38" s="55">
        <f t="shared" si="1"/>
        <v>0.44240593751765439</v>
      </c>
      <c r="J38" s="58">
        <v>289511.49390312476</v>
      </c>
      <c r="K38" s="58">
        <f>VLOOKUP(A:A,'داتا اليومي'!A:L,4,)</f>
        <v>221256.8</v>
      </c>
      <c r="L38" s="55">
        <f t="shared" si="2"/>
        <v>0.76424185104732356</v>
      </c>
      <c r="M38" s="58">
        <v>10487</v>
      </c>
      <c r="N38" s="58">
        <f>VLOOKUP(A:A,'داتا اليومي'!A:L,5,)</f>
        <v>120</v>
      </c>
      <c r="O38" s="55">
        <f t="shared" si="3"/>
        <v>1.1442738628778489E-2</v>
      </c>
      <c r="P38" s="58">
        <v>242</v>
      </c>
      <c r="Q38" s="58">
        <f>VLOOKUP(A:A,'داتا اليومي'!A:L,6,)</f>
        <v>90</v>
      </c>
      <c r="R38" s="55">
        <f t="shared" si="4"/>
        <v>0.37190082644628097</v>
      </c>
      <c r="S38" s="58">
        <v>31</v>
      </c>
      <c r="T38" s="58">
        <f>VLOOKUP(A:A,'داتا اليومي'!A:L,7,)</f>
        <v>15</v>
      </c>
      <c r="U38" s="55">
        <f t="shared" si="5"/>
        <v>0.4838709677419355</v>
      </c>
      <c r="V38" s="58">
        <v>1182.4056251300785</v>
      </c>
      <c r="W38" s="58">
        <f>VLOOKUP(A:A,'داتا اليومي'!A:L,8,)</f>
        <v>660</v>
      </c>
      <c r="X38" s="55">
        <f t="shared" si="6"/>
        <v>0.55818408334059832</v>
      </c>
      <c r="Y38" s="58">
        <v>42.18751808449548</v>
      </c>
      <c r="Z38" s="58">
        <f>VLOOKUP(A:A,'داتا اليومي'!A:L,9,)</f>
        <v>5</v>
      </c>
      <c r="AA38" s="55">
        <f t="shared" si="7"/>
        <v>0.11851846771326356</v>
      </c>
      <c r="AB38" s="58">
        <v>44.7177794770015</v>
      </c>
      <c r="AC38" s="58">
        <f>VLOOKUP(A:A,'داتا اليومي'!A:L,10,)</f>
        <v>23</v>
      </c>
      <c r="AD38" s="55">
        <f t="shared" si="8"/>
        <v>0.51433680896049361</v>
      </c>
      <c r="AE38" s="58">
        <v>108.42881030290656</v>
      </c>
      <c r="AF38" s="58">
        <f>VLOOKUP(A:A,'داتا اليومي'!A:L,11,)</f>
        <v>58</v>
      </c>
      <c r="AG38" s="55">
        <f t="shared" si="9"/>
        <v>0.53491318255702791</v>
      </c>
      <c r="AH38" s="58">
        <v>85</v>
      </c>
      <c r="AI38" s="58">
        <f>VLOOKUP(A:A,'داتا اليومي'!A:L,12,)</f>
        <v>41</v>
      </c>
      <c r="AJ38" s="55">
        <f t="shared" si="10"/>
        <v>0.4823529411764706</v>
      </c>
      <c r="AK38" s="58">
        <v>44.414992734400158</v>
      </c>
      <c r="AL38" s="58">
        <f>VLOOKUP(A:A,'داتا اليومي'!A:M,13,)</f>
        <v>0</v>
      </c>
      <c r="AM38" s="55">
        <f t="shared" si="11"/>
        <v>0</v>
      </c>
      <c r="AN38" s="58">
        <v>97</v>
      </c>
      <c r="AO38" s="111">
        <f>VLOOKUP(A:A,'داتا اليومي'!A:O,14,)</f>
        <v>86</v>
      </c>
      <c r="AP38" s="55">
        <f t="shared" si="12"/>
        <v>0.88659793814432986</v>
      </c>
    </row>
    <row r="39" spans="1:42" x14ac:dyDescent="0.25">
      <c r="A39" s="54">
        <v>75001</v>
      </c>
      <c r="B39" s="54" t="s">
        <v>887</v>
      </c>
      <c r="C39" s="54" t="s">
        <v>890</v>
      </c>
      <c r="D39" s="58">
        <v>988589.0149999999</v>
      </c>
      <c r="E39" s="58">
        <f>VLOOKUP(A:A,'داتا اليومي'!A:L,2,)</f>
        <v>926835.15000000014</v>
      </c>
      <c r="F39" s="55">
        <f t="shared" si="0"/>
        <v>0.93753332875138229</v>
      </c>
      <c r="G39" s="58">
        <v>111162.79943938497</v>
      </c>
      <c r="H39" s="58">
        <f>VLOOKUP(A:A,'داتا اليومي'!A:C,3,)</f>
        <v>26795.360000000001</v>
      </c>
      <c r="I39" s="55">
        <f t="shared" si="1"/>
        <v>0.24104610656743147</v>
      </c>
      <c r="J39" s="58">
        <v>288201.13167951856</v>
      </c>
      <c r="K39" s="58">
        <f>VLOOKUP(A:A,'داتا اليومي'!A:L,4,)</f>
        <v>130525.21</v>
      </c>
      <c r="L39" s="55">
        <f t="shared" si="2"/>
        <v>0.45289624381192523</v>
      </c>
      <c r="M39" s="58">
        <v>7778.0554425047758</v>
      </c>
      <c r="N39" s="58">
        <f>VLOOKUP(A:A,'داتا اليومي'!A:L,5,)</f>
        <v>389</v>
      </c>
      <c r="O39" s="55">
        <f t="shared" si="3"/>
        <v>5.0012500280498119E-2</v>
      </c>
      <c r="P39" s="58">
        <v>183</v>
      </c>
      <c r="Q39" s="58">
        <f>VLOOKUP(A:A,'داتا اليومي'!A:L,6,)</f>
        <v>38</v>
      </c>
      <c r="R39" s="55">
        <f t="shared" si="4"/>
        <v>0.20765027322404372</v>
      </c>
      <c r="S39" s="58">
        <v>25.229237746451329</v>
      </c>
      <c r="T39" s="58">
        <f>VLOOKUP(A:A,'داتا اليومي'!A:L,7,)</f>
        <v>7</v>
      </c>
      <c r="U39" s="55">
        <f t="shared" si="5"/>
        <v>0.27745586570425018</v>
      </c>
      <c r="V39" s="58">
        <v>962.14128007440263</v>
      </c>
      <c r="W39" s="58">
        <f>VLOOKUP(A:A,'داتا اليومي'!A:L,8,)</f>
        <v>504</v>
      </c>
      <c r="X39" s="55">
        <f t="shared" si="6"/>
        <v>0.52383159358989939</v>
      </c>
      <c r="Y39" s="58">
        <v>31.786578769102331</v>
      </c>
      <c r="Z39" s="58">
        <f>VLOOKUP(A:A,'داتا اليومي'!A:L,9,)</f>
        <v>9</v>
      </c>
      <c r="AA39" s="55">
        <f t="shared" si="7"/>
        <v>0.2831383668363931</v>
      </c>
      <c r="AB39" s="58">
        <v>38.142474612438747</v>
      </c>
      <c r="AC39" s="58">
        <f>VLOOKUP(A:A,'داتا اليومي'!A:L,10,)</f>
        <v>7</v>
      </c>
      <c r="AD39" s="55">
        <f t="shared" si="8"/>
        <v>0.1835224397768154</v>
      </c>
      <c r="AE39" s="58">
        <v>107.53270443263457</v>
      </c>
      <c r="AF39" s="58">
        <f>VLOOKUP(A:A,'داتا اليومي'!A:L,11,)</f>
        <v>27</v>
      </c>
      <c r="AG39" s="55">
        <f t="shared" si="9"/>
        <v>0.25108640336405325</v>
      </c>
      <c r="AH39" s="58">
        <v>27.033225039046894</v>
      </c>
      <c r="AI39" s="58">
        <f>VLOOKUP(A:A,'داتا اليومي'!A:L,12,)</f>
        <v>3</v>
      </c>
      <c r="AJ39" s="55">
        <f t="shared" si="10"/>
        <v>0.11097455060085464</v>
      </c>
      <c r="AK39" s="58">
        <v>28.932792159244912</v>
      </c>
      <c r="AL39" s="58">
        <f>VLOOKUP(A:A,'داتا اليومي'!A:M,13,)</f>
        <v>0</v>
      </c>
      <c r="AM39" s="55">
        <f t="shared" si="11"/>
        <v>0</v>
      </c>
      <c r="AN39" s="58">
        <v>84.577043310871346</v>
      </c>
      <c r="AO39" s="111">
        <f>VLOOKUP(A:A,'داتا اليومي'!A:O,14,)</f>
        <v>18</v>
      </c>
      <c r="AP39" s="55">
        <f t="shared" si="12"/>
        <v>0.21282370836539186</v>
      </c>
    </row>
    <row r="40" spans="1:42" x14ac:dyDescent="0.25">
      <c r="A40" s="54">
        <v>75002</v>
      </c>
      <c r="B40" s="54" t="s">
        <v>887</v>
      </c>
      <c r="C40" s="54" t="s">
        <v>1135</v>
      </c>
      <c r="D40" s="58">
        <v>638203.03500000015</v>
      </c>
      <c r="E40" s="58">
        <f>VLOOKUP(A:A,'داتا اليومي'!A:L,2,)</f>
        <v>388575.78</v>
      </c>
      <c r="F40" s="55">
        <f t="shared" si="0"/>
        <v>0.60885918538447559</v>
      </c>
      <c r="G40" s="58">
        <v>57547.349421813735</v>
      </c>
      <c r="H40" s="58">
        <f>VLOOKUP(A:A,'داتا اليومي'!A:C,3,)</f>
        <v>17248.700000000004</v>
      </c>
      <c r="I40" s="55">
        <f t="shared" si="1"/>
        <v>0.29973057270752007</v>
      </c>
      <c r="J40" s="58">
        <v>157556.22443538875</v>
      </c>
      <c r="K40" s="58">
        <f>VLOOKUP(A:A,'داتا اليومي'!A:L,4,)</f>
        <v>43446.939999999995</v>
      </c>
      <c r="L40" s="55">
        <f t="shared" si="2"/>
        <v>0.27575514807932505</v>
      </c>
      <c r="M40" s="58">
        <v>4083.4791073150072</v>
      </c>
      <c r="N40" s="58">
        <f>VLOOKUP(A:A,'داتا اليومي'!A:L,5,)</f>
        <v>0</v>
      </c>
      <c r="O40" s="55">
        <f t="shared" si="3"/>
        <v>0</v>
      </c>
      <c r="P40" s="58">
        <v>87.245712487317363</v>
      </c>
      <c r="Q40" s="58">
        <f>VLOOKUP(A:A,'داتا اليومي'!A:L,6,)</f>
        <v>22</v>
      </c>
      <c r="R40" s="55">
        <f t="shared" si="4"/>
        <v>0.25216138848310821</v>
      </c>
      <c r="S40" s="58">
        <v>13.50270825086792</v>
      </c>
      <c r="T40" s="58">
        <f>VLOOKUP(A:A,'داتا اليومي'!A:L,7,)</f>
        <v>1</v>
      </c>
      <c r="U40" s="55">
        <f t="shared" si="5"/>
        <v>7.4059216967508903E-2</v>
      </c>
      <c r="V40" s="58">
        <v>494.63098070535034</v>
      </c>
      <c r="W40" s="58">
        <f>VLOOKUP(A:A,'داتا اليومي'!A:L,8,)</f>
        <v>210</v>
      </c>
      <c r="X40" s="55">
        <f t="shared" si="6"/>
        <v>0.42455893017565782</v>
      </c>
      <c r="Y40" s="58">
        <v>17.012202418711276</v>
      </c>
      <c r="Z40" s="58">
        <f>VLOOKUP(A:A,'داتا اليومي'!A:L,9,)</f>
        <v>2</v>
      </c>
      <c r="AA40" s="55">
        <f t="shared" si="7"/>
        <v>0.11756267359011978</v>
      </c>
      <c r="AB40" s="58">
        <v>20.41388296522511</v>
      </c>
      <c r="AC40" s="58">
        <f>VLOOKUP(A:A,'داتا اليومي'!A:L,10,)</f>
        <v>8</v>
      </c>
      <c r="AD40" s="55">
        <f t="shared" si="8"/>
        <v>0.39189016678639421</v>
      </c>
      <c r="AE40" s="58">
        <v>59.394793187495452</v>
      </c>
      <c r="AF40" s="58">
        <f>VLOOKUP(A:A,'داتا اليومي'!A:L,11,)</f>
        <v>17</v>
      </c>
      <c r="AG40" s="55">
        <f t="shared" si="9"/>
        <v>0.28622037535066386</v>
      </c>
      <c r="AH40" s="58">
        <v>18</v>
      </c>
      <c r="AI40" s="58">
        <f>VLOOKUP(A:A,'داتا اليومي'!A:L,12,)</f>
        <v>6</v>
      </c>
      <c r="AJ40" s="55">
        <f t="shared" si="10"/>
        <v>0.33333333333333331</v>
      </c>
      <c r="AK40" s="58">
        <v>18.678131647107481</v>
      </c>
      <c r="AL40" s="58">
        <f>VLOOKUP(A:A,'داتا اليومي'!A:M,13,)</f>
        <v>0</v>
      </c>
      <c r="AM40" s="55">
        <f t="shared" si="11"/>
        <v>0</v>
      </c>
      <c r="AN40" s="58">
        <v>45.265701327355785</v>
      </c>
      <c r="AO40" s="111">
        <f>VLOOKUP(A:A,'داتا اليومي'!A:O,14,)</f>
        <v>16</v>
      </c>
      <c r="AP40" s="55">
        <f t="shared" si="12"/>
        <v>0.35346850994950985</v>
      </c>
    </row>
    <row r="41" spans="1:42" x14ac:dyDescent="0.25">
      <c r="A41" s="54">
        <v>75013</v>
      </c>
      <c r="B41" s="54" t="s">
        <v>887</v>
      </c>
      <c r="C41" s="54" t="s">
        <v>942</v>
      </c>
      <c r="D41" s="58">
        <v>525578.97000000009</v>
      </c>
      <c r="E41" s="58">
        <f>VLOOKUP(A:A,'داتا اليومي'!A:L,2,)</f>
        <v>447094.1700000001</v>
      </c>
      <c r="F41" s="55">
        <f t="shared" si="0"/>
        <v>0.85066982417504267</v>
      </c>
      <c r="G41" s="58">
        <v>54422.628664902812</v>
      </c>
      <c r="H41" s="58">
        <f>VLOOKUP(A:A,'داتا اليومي'!A:C,3,)</f>
        <v>101333.87999999999</v>
      </c>
      <c r="I41" s="55">
        <f t="shared" si="1"/>
        <v>1.8619806225080464</v>
      </c>
      <c r="J41" s="58">
        <v>144505.87738648895</v>
      </c>
      <c r="K41" s="58">
        <f>VLOOKUP(A:A,'داتا اليومي'!A:L,4,)</f>
        <v>94122.19</v>
      </c>
      <c r="L41" s="55">
        <f t="shared" si="2"/>
        <v>0.65133814417987312</v>
      </c>
      <c r="M41" s="58">
        <v>4277.9304933776275</v>
      </c>
      <c r="N41" s="58">
        <f>VLOOKUP(A:A,'داتا اليومي'!A:L,5,)</f>
        <v>997</v>
      </c>
      <c r="O41" s="55">
        <f t="shared" si="3"/>
        <v>0.2330566150019005</v>
      </c>
      <c r="P41" s="58">
        <v>83.638262500813312</v>
      </c>
      <c r="Q41" s="58">
        <f>VLOOKUP(A:A,'داتا اليومي'!A:L,6,)</f>
        <v>8</v>
      </c>
      <c r="R41" s="55">
        <f t="shared" si="4"/>
        <v>9.5650002293175412E-2</v>
      </c>
      <c r="S41" s="58">
        <v>12.944396062123491</v>
      </c>
      <c r="T41" s="58">
        <f>VLOOKUP(A:A,'داتا اليومي'!A:L,7,)</f>
        <v>4</v>
      </c>
      <c r="U41" s="55">
        <f t="shared" si="5"/>
        <v>0.30901403053514198</v>
      </c>
      <c r="V41" s="58">
        <v>449.81364320530736</v>
      </c>
      <c r="W41" s="58">
        <f>VLOOKUP(A:A,'داتا اليومي'!A:L,8,)</f>
        <v>227</v>
      </c>
      <c r="X41" s="55">
        <f t="shared" si="6"/>
        <v>0.50465343465891932</v>
      </c>
      <c r="Y41" s="58">
        <v>16.308779091235955</v>
      </c>
      <c r="Z41" s="58">
        <f>VLOOKUP(A:A,'داتا اليومي'!A:L,9,)</f>
        <v>2</v>
      </c>
      <c r="AA41" s="55">
        <f t="shared" si="7"/>
        <v>0.12263333685565488</v>
      </c>
      <c r="AB41" s="58">
        <v>19.569806394263512</v>
      </c>
      <c r="AC41" s="58">
        <f>VLOOKUP(A:A,'داتا اليومي'!A:L,10,)</f>
        <v>3</v>
      </c>
      <c r="AD41" s="55">
        <f t="shared" si="8"/>
        <v>0.15329737758056658</v>
      </c>
      <c r="AE41" s="58">
        <v>50.181928735229477</v>
      </c>
      <c r="AF41" s="58">
        <f>VLOOKUP(A:A,'داتا اليومي'!A:L,11,)</f>
        <v>14</v>
      </c>
      <c r="AG41" s="55">
        <f t="shared" si="9"/>
        <v>0.27898489262672577</v>
      </c>
      <c r="AH41" s="58">
        <v>20.411999999999999</v>
      </c>
      <c r="AI41" s="58">
        <f>VLOOKUP(A:A,'داتا اليومي'!A:L,12,)</f>
        <v>17</v>
      </c>
      <c r="AJ41" s="55">
        <f t="shared" si="10"/>
        <v>0.83284342543601808</v>
      </c>
      <c r="AK41" s="58">
        <v>15.38199076820616</v>
      </c>
      <c r="AL41" s="58">
        <f>VLOOKUP(A:A,'داتا اليومي'!A:M,13,)</f>
        <v>2</v>
      </c>
      <c r="AM41" s="55">
        <f t="shared" si="11"/>
        <v>0.13002218179287328</v>
      </c>
      <c r="AN41" s="58">
        <v>43.394047706942011</v>
      </c>
      <c r="AO41" s="111">
        <f>VLOOKUP(A:A,'داتا اليومي'!A:O,14,)</f>
        <v>24</v>
      </c>
      <c r="AP41" s="55">
        <f t="shared" si="12"/>
        <v>0.55307124521044793</v>
      </c>
    </row>
    <row r="42" spans="1:42" x14ac:dyDescent="0.25">
      <c r="A42" s="54">
        <v>75014</v>
      </c>
      <c r="B42" s="54" t="s">
        <v>887</v>
      </c>
      <c r="C42" s="54" t="s">
        <v>956</v>
      </c>
      <c r="D42" s="58">
        <v>350385.98000000004</v>
      </c>
      <c r="E42" s="58">
        <f>VLOOKUP(A:A,'داتا اليومي'!A:L,2,)</f>
        <v>242174.91000000006</v>
      </c>
      <c r="F42" s="55">
        <f t="shared" si="0"/>
        <v>0.6911660963146985</v>
      </c>
      <c r="G42" s="58">
        <v>48980.365798412531</v>
      </c>
      <c r="H42" s="58">
        <f>VLOOKUP(A:A,'داتا اليومي'!A:C,3,)</f>
        <v>9524.31</v>
      </c>
      <c r="I42" s="55">
        <f t="shared" si="1"/>
        <v>0.19445158983089272</v>
      </c>
      <c r="J42" s="58">
        <v>134761.51222122394</v>
      </c>
      <c r="K42" s="58">
        <f>VLOOKUP(A:A,'داتا اليومي'!A:L,4,)</f>
        <v>31729.57</v>
      </c>
      <c r="L42" s="55">
        <f t="shared" si="2"/>
        <v>0.23544979183606124</v>
      </c>
      <c r="M42" s="58">
        <v>3305.6735630645298</v>
      </c>
      <c r="N42" s="58">
        <f>VLOOKUP(A:A,'داتا اليومي'!A:L,5,)</f>
        <v>0</v>
      </c>
      <c r="O42" s="55">
        <f t="shared" si="3"/>
        <v>0</v>
      </c>
      <c r="P42" s="58">
        <v>78.101483482997608</v>
      </c>
      <c r="Q42" s="58">
        <f>VLOOKUP(A:A,'داتا اليومي'!A:L,6,)</f>
        <v>26</v>
      </c>
      <c r="R42" s="55">
        <f t="shared" si="4"/>
        <v>0.33290020676316728</v>
      </c>
      <c r="S42" s="58">
        <v>12.087488489296227</v>
      </c>
      <c r="T42" s="58">
        <f>VLOOKUP(A:A,'داتا اليومي'!A:L,7,)</f>
        <v>1</v>
      </c>
      <c r="U42" s="55">
        <f t="shared" si="5"/>
        <v>8.2730171853774667E-2</v>
      </c>
      <c r="V42" s="58">
        <v>447.11645005395121</v>
      </c>
      <c r="W42" s="58">
        <f>VLOOKUP(A:A,'داتا اليومي'!A:L,8,)</f>
        <v>240</v>
      </c>
      <c r="X42" s="55">
        <f t="shared" si="6"/>
        <v>0.53677291446342545</v>
      </c>
      <c r="Y42" s="58">
        <v>15.229152336941905</v>
      </c>
      <c r="Z42" s="58">
        <f>VLOOKUP(A:A,'داتا اليومي'!A:L,9,)</f>
        <v>1</v>
      </c>
      <c r="AA42" s="55">
        <f t="shared" si="7"/>
        <v>6.5663536477618911E-2</v>
      </c>
      <c r="AB42" s="58">
        <v>18.274302516173982</v>
      </c>
      <c r="AC42" s="58">
        <f>VLOOKUP(A:A,'داتا اليومي'!A:L,10,)</f>
        <v>3</v>
      </c>
      <c r="AD42" s="55">
        <f t="shared" si="8"/>
        <v>0.16416495225165498</v>
      </c>
      <c r="AE42" s="58">
        <v>47.221194939850939</v>
      </c>
      <c r="AF42" s="58">
        <f>VLOOKUP(A:A,'داتا اليومي'!A:L,11,)</f>
        <v>16</v>
      </c>
      <c r="AG42" s="55">
        <f t="shared" si="9"/>
        <v>0.33883090041199426</v>
      </c>
      <c r="AH42" s="58">
        <v>11.48912064159493</v>
      </c>
      <c r="AI42" s="58">
        <f>VLOOKUP(A:A,'داتا اليومي'!A:L,12,)</f>
        <v>1</v>
      </c>
      <c r="AJ42" s="55">
        <f t="shared" si="10"/>
        <v>8.703886321635658E-2</v>
      </c>
      <c r="AK42" s="58">
        <v>10.254660512137439</v>
      </c>
      <c r="AL42" s="58">
        <f>VLOOKUP(A:A,'داتا اليومي'!A:M,13,)</f>
        <v>0</v>
      </c>
      <c r="AM42" s="55">
        <f t="shared" si="11"/>
        <v>0</v>
      </c>
      <c r="AN42" s="58">
        <v>40.521400121280436</v>
      </c>
      <c r="AO42" s="111">
        <f>VLOOKUP(A:A,'داتا اليومي'!A:O,14,)</f>
        <v>7</v>
      </c>
      <c r="AP42" s="55">
        <f t="shared" si="12"/>
        <v>0.17274822634580789</v>
      </c>
    </row>
    <row r="43" spans="1:42" x14ac:dyDescent="0.25">
      <c r="A43" s="69">
        <v>75003</v>
      </c>
      <c r="B43" s="69" t="s">
        <v>1086</v>
      </c>
      <c r="C43" s="69" t="s">
        <v>1087</v>
      </c>
      <c r="D43" s="58">
        <v>360108.55160806503</v>
      </c>
      <c r="E43" s="68">
        <f>VLOOKUP(A:A,'داتا اليومي'!A:L,2,)</f>
        <v>201096.80000000002</v>
      </c>
      <c r="F43" s="55">
        <f t="shared" si="0"/>
        <v>0.55843383641405375</v>
      </c>
      <c r="G43" s="58">
        <v>53142.120358948639</v>
      </c>
      <c r="H43" s="58">
        <f>VLOOKUP(A:A,'داتا اليومي'!A:C,3,)</f>
        <v>9648.6299999999992</v>
      </c>
      <c r="I43" s="55">
        <f t="shared" si="1"/>
        <v>0.18156275916031001</v>
      </c>
      <c r="J43" s="58">
        <v>160641.96190820131</v>
      </c>
      <c r="K43" s="58">
        <f>VLOOKUP(A:A,'داتا اليومي'!A:L,4,)</f>
        <v>60662.020000000004</v>
      </c>
      <c r="L43" s="55">
        <f t="shared" si="2"/>
        <v>0.37762250460228602</v>
      </c>
      <c r="M43" s="58">
        <v>4625.3261184368166</v>
      </c>
      <c r="N43" s="58">
        <f>VLOOKUP(A:A,'داتا اليومي'!A:L,5,)</f>
        <v>478</v>
      </c>
      <c r="O43" s="55">
        <f t="shared" si="3"/>
        <v>0.10334406434492574</v>
      </c>
      <c r="P43" s="58">
        <v>60</v>
      </c>
      <c r="Q43" s="58">
        <f>VLOOKUP(A:A,'داتا اليومي'!A:L,6,)</f>
        <v>21</v>
      </c>
      <c r="R43" s="55">
        <f t="shared" si="4"/>
        <v>0.35</v>
      </c>
      <c r="S43" s="58">
        <v>11.086516921542293</v>
      </c>
      <c r="T43" s="58">
        <f>VLOOKUP(A:A,'داتا اليومي'!A:L,7,)</f>
        <v>2</v>
      </c>
      <c r="U43" s="55">
        <f t="shared" si="5"/>
        <v>0.18039930973395127</v>
      </c>
      <c r="V43" s="58">
        <v>381.05731012691655</v>
      </c>
      <c r="W43" s="58">
        <f>VLOOKUP(A:A,'داتا اليومي'!A:L,8,)</f>
        <v>99</v>
      </c>
      <c r="X43" s="55">
        <f t="shared" si="6"/>
        <v>0.25980343997869149</v>
      </c>
      <c r="Y43" s="58">
        <v>13.859980364671637</v>
      </c>
      <c r="Z43" s="58">
        <f>VLOOKUP(A:A,'داتا اليومي'!A:L,9,)</f>
        <v>5</v>
      </c>
      <c r="AA43" s="55">
        <f t="shared" si="7"/>
        <v>0.36075087182264254</v>
      </c>
      <c r="AB43" s="58">
        <v>18.767785176376805</v>
      </c>
      <c r="AC43" s="58">
        <f>VLOOKUP(A:A,'داتا اليومي'!A:L,10,)</f>
        <v>8</v>
      </c>
      <c r="AD43" s="55">
        <f t="shared" si="8"/>
        <v>0.42626233861999224</v>
      </c>
      <c r="AE43" s="58">
        <v>31.363705459518425</v>
      </c>
      <c r="AF43" s="58">
        <f>VLOOKUP(A:A,'داتا اليومي'!A:L,11,)</f>
        <v>25</v>
      </c>
      <c r="AG43" s="55">
        <f t="shared" si="9"/>
        <v>0.79709969321921648</v>
      </c>
      <c r="AH43" s="58">
        <v>10</v>
      </c>
      <c r="AI43" s="58">
        <f>VLOOKUP(A:A,'داتا اليومي'!A:L,12,)</f>
        <v>0</v>
      </c>
      <c r="AJ43" s="55">
        <f t="shared" si="10"/>
        <v>0</v>
      </c>
      <c r="AK43" s="58">
        <v>10.539208630032032</v>
      </c>
      <c r="AL43" s="58">
        <f>VLOOKUP(A:A,'داتا اليومي'!A:M,13,)</f>
        <v>0</v>
      </c>
      <c r="AM43" s="55">
        <f t="shared" si="11"/>
        <v>0</v>
      </c>
      <c r="AN43" s="58">
        <v>41.316737542790747</v>
      </c>
      <c r="AO43" s="111">
        <f>VLOOKUP(A:A,'داتا اليومي'!A:O,14,)</f>
        <v>15</v>
      </c>
      <c r="AP43" s="55">
        <f t="shared" si="12"/>
        <v>0.36304899399341156</v>
      </c>
    </row>
    <row r="44" spans="1:42" x14ac:dyDescent="0.25">
      <c r="A44" s="69">
        <v>75004</v>
      </c>
      <c r="B44" s="69" t="s">
        <v>1086</v>
      </c>
      <c r="C44" s="69" t="s">
        <v>1100</v>
      </c>
      <c r="D44" s="58">
        <v>1180355.8080486574</v>
      </c>
      <c r="E44" s="68">
        <f>VLOOKUP(A:A,'داتا اليومي'!A:L,2,)</f>
        <v>1455058.15</v>
      </c>
      <c r="F44" s="55">
        <f t="shared" si="0"/>
        <v>1.2327284197512236</v>
      </c>
      <c r="G44" s="58">
        <v>125392.97915767781</v>
      </c>
      <c r="H44" s="58">
        <f>VLOOKUP(A:A,'داتا اليومي'!A:C,3,)</f>
        <v>64011.260000000009</v>
      </c>
      <c r="I44" s="55">
        <f t="shared" si="1"/>
        <v>0.51048519964987693</v>
      </c>
      <c r="J44" s="58">
        <v>358035.18497458054</v>
      </c>
      <c r="K44" s="58">
        <f>VLOOKUP(A:A,'داتا اليومي'!A:L,4,)</f>
        <v>161740.91</v>
      </c>
      <c r="L44" s="55">
        <f t="shared" si="2"/>
        <v>0.45174585288728852</v>
      </c>
      <c r="M44" s="58">
        <v>10658.360185963102</v>
      </c>
      <c r="N44" s="58">
        <f>VLOOKUP(A:A,'داتا اليومي'!A:L,5,)</f>
        <v>0</v>
      </c>
      <c r="O44" s="55">
        <f t="shared" si="3"/>
        <v>0</v>
      </c>
      <c r="P44" s="58">
        <v>185</v>
      </c>
      <c r="Q44" s="58">
        <f>VLOOKUP(A:A,'داتا اليومي'!A:L,6,)</f>
        <v>56</v>
      </c>
      <c r="R44" s="55">
        <f t="shared" si="4"/>
        <v>0.30270270270270272</v>
      </c>
      <c r="S44" s="58">
        <v>25.547191167032238</v>
      </c>
      <c r="T44" s="58">
        <f>VLOOKUP(A:A,'داتا اليومي'!A:L,7,)</f>
        <v>10</v>
      </c>
      <c r="U44" s="55">
        <f t="shared" si="5"/>
        <v>0.39143246451706409</v>
      </c>
      <c r="V44" s="58">
        <v>860.17988855332953</v>
      </c>
      <c r="W44" s="58">
        <f>VLOOKUP(A:A,'داتا اليومي'!A:L,8,)</f>
        <v>585</v>
      </c>
      <c r="X44" s="55">
        <f t="shared" si="6"/>
        <v>0.68009030179009011</v>
      </c>
      <c r="Y44" s="58">
        <v>31.938215622938987</v>
      </c>
      <c r="Z44" s="58">
        <f>VLOOKUP(A:A,'داتا اليومي'!A:L,9,)</f>
        <v>13</v>
      </c>
      <c r="AA44" s="55">
        <f t="shared" si="7"/>
        <v>0.4070358893395099</v>
      </c>
      <c r="AB44" s="58">
        <v>43.247504971650898</v>
      </c>
      <c r="AC44" s="58">
        <f>VLOOKUP(A:A,'داتا اليومي'!A:L,10,)</f>
        <v>19</v>
      </c>
      <c r="AD44" s="55">
        <f t="shared" si="8"/>
        <v>0.43933170277579386</v>
      </c>
      <c r="AE44" s="58">
        <v>108.74923251857443</v>
      </c>
      <c r="AF44" s="58">
        <f>VLOOKUP(A:A,'داتا اليومي'!A:L,11,)</f>
        <v>41</v>
      </c>
      <c r="AG44" s="55">
        <f t="shared" si="9"/>
        <v>0.37701415495504464</v>
      </c>
      <c r="AH44" s="58">
        <v>35.819023176737133</v>
      </c>
      <c r="AI44" s="58">
        <f>VLOOKUP(A:A,'داتا اليومي'!A:L,12,)</f>
        <v>18</v>
      </c>
      <c r="AJ44" s="55">
        <f t="shared" si="10"/>
        <v>0.50252626687179458</v>
      </c>
      <c r="AK44" s="58">
        <v>34.545183842882764</v>
      </c>
      <c r="AL44" s="58">
        <f>VLOOKUP(A:A,'داتا اليومي'!A:M,13,)</f>
        <v>0</v>
      </c>
      <c r="AM44" s="55">
        <f t="shared" si="11"/>
        <v>0</v>
      </c>
      <c r="AN44" s="58">
        <v>95.208134337735189</v>
      </c>
      <c r="AO44" s="111">
        <f>VLOOKUP(A:A,'داتا اليومي'!A:O,14,)</f>
        <v>45</v>
      </c>
      <c r="AP44" s="55">
        <f t="shared" si="12"/>
        <v>0.47264869029330947</v>
      </c>
    </row>
    <row r="45" spans="1:42" x14ac:dyDescent="0.25">
      <c r="A45" s="69">
        <v>75005</v>
      </c>
      <c r="B45" s="69" t="s">
        <v>1086</v>
      </c>
      <c r="C45" s="69" t="s">
        <v>1119</v>
      </c>
      <c r="D45" s="58">
        <v>460138.70483252755</v>
      </c>
      <c r="E45" s="68">
        <f>VLOOKUP(A:A,'داتا اليومي'!A:L,2,)</f>
        <v>369338.42</v>
      </c>
      <c r="F45" s="55">
        <f t="shared" si="0"/>
        <v>0.8026675785390075</v>
      </c>
      <c r="G45" s="58">
        <v>56379.505110513608</v>
      </c>
      <c r="H45" s="58">
        <f>VLOOKUP(A:A,'داتا اليومي'!A:C,3,)</f>
        <v>3702.61</v>
      </c>
      <c r="I45" s="55">
        <f t="shared" si="1"/>
        <v>6.5672978021751746E-2</v>
      </c>
      <c r="J45" s="58">
        <v>156059.79617503792</v>
      </c>
      <c r="K45" s="58">
        <f>VLOOKUP(A:A,'داتا اليومي'!A:L,4,)</f>
        <v>53771.290000000008</v>
      </c>
      <c r="L45" s="55">
        <f t="shared" si="2"/>
        <v>0.34455568517909441</v>
      </c>
      <c r="M45" s="58">
        <v>4826.4272540210259</v>
      </c>
      <c r="N45" s="58">
        <f>VLOOKUP(A:A,'داتا اليومي'!A:L,5,)</f>
        <v>80</v>
      </c>
      <c r="O45" s="55">
        <f t="shared" si="3"/>
        <v>1.6575407809855593E-2</v>
      </c>
      <c r="P45" s="58">
        <v>67</v>
      </c>
      <c r="Q45" s="58">
        <f>VLOOKUP(A:A,'داتا اليومي'!A:L,6,)</f>
        <v>15</v>
      </c>
      <c r="R45" s="55">
        <f t="shared" si="4"/>
        <v>0.22388059701492538</v>
      </c>
      <c r="S45" s="58">
        <v>11.568539396391955</v>
      </c>
      <c r="T45" s="58">
        <f>VLOOKUP(A:A,'داتا اليومي'!A:L,7,)</f>
        <v>3</v>
      </c>
      <c r="U45" s="55">
        <f t="shared" si="5"/>
        <v>0.25932400774255498</v>
      </c>
      <c r="V45" s="58">
        <v>355.83806274113033</v>
      </c>
      <c r="W45" s="58">
        <f>VLOOKUP(A:A,'داتا اليومي'!A:L,8,)</f>
        <v>214</v>
      </c>
      <c r="X45" s="55">
        <f t="shared" si="6"/>
        <v>0.60139715900961244</v>
      </c>
      <c r="Y45" s="58">
        <v>14.462588206613882</v>
      </c>
      <c r="Z45" s="58">
        <f>VLOOKUP(A:A,'داتا اليومي'!A:L,9,)</f>
        <v>5</v>
      </c>
      <c r="AA45" s="55">
        <f t="shared" si="7"/>
        <v>0.34571958549669912</v>
      </c>
      <c r="AB45" s="58">
        <v>19.583775836219274</v>
      </c>
      <c r="AC45" s="58">
        <f>VLOOKUP(A:A,'داتا اليومي'!A:L,10,)</f>
        <v>7</v>
      </c>
      <c r="AD45" s="55">
        <f t="shared" si="8"/>
        <v>0.35743873186363934</v>
      </c>
      <c r="AE45" s="58">
        <v>26.883176108158651</v>
      </c>
      <c r="AF45" s="58">
        <f>VLOOKUP(A:A,'داتا اليومي'!A:L,11,)</f>
        <v>23</v>
      </c>
      <c r="AG45" s="55">
        <f t="shared" si="9"/>
        <v>0.85555367072195898</v>
      </c>
      <c r="AH45" s="58">
        <v>16.219935023428135</v>
      </c>
      <c r="AI45" s="58">
        <f>VLOOKUP(A:A,'داتا اليومي'!A:L,12,)</f>
        <v>5</v>
      </c>
      <c r="AJ45" s="55">
        <f t="shared" si="10"/>
        <v>0.30826264055792957</v>
      </c>
      <c r="AK45" s="58">
        <v>13.466766582818709</v>
      </c>
      <c r="AL45" s="58">
        <f>VLOOKUP(A:A,'داتا اليومي'!A:M,13,)</f>
        <v>0</v>
      </c>
      <c r="AM45" s="55">
        <f t="shared" si="11"/>
        <v>0</v>
      </c>
      <c r="AN45" s="58">
        <v>43.113117435955552</v>
      </c>
      <c r="AO45" s="111">
        <f>VLOOKUP(A:A,'داتا اليومي'!A:O,14,)</f>
        <v>11</v>
      </c>
      <c r="AP45" s="55">
        <f t="shared" si="12"/>
        <v>0.25514276522314766</v>
      </c>
    </row>
    <row r="46" spans="1:42" x14ac:dyDescent="0.25">
      <c r="A46" s="54">
        <v>75008</v>
      </c>
      <c r="B46" s="54" t="s">
        <v>970</v>
      </c>
      <c r="C46" s="54" t="s">
        <v>1051</v>
      </c>
      <c r="D46" s="58">
        <v>1149695.8449173244</v>
      </c>
      <c r="E46" s="58">
        <f>VLOOKUP(A:A,'داتا اليومي'!A:L,2,)</f>
        <v>607100.22000000009</v>
      </c>
      <c r="F46" s="55">
        <f t="shared" si="0"/>
        <v>0.52805289562793645</v>
      </c>
      <c r="G46" s="58">
        <v>134336.50519240153</v>
      </c>
      <c r="H46" s="58">
        <f>VLOOKUP(A:A,'داتا اليومي'!A:C,3,)</f>
        <v>18402.629999999997</v>
      </c>
      <c r="I46" s="55">
        <f t="shared" si="1"/>
        <v>0.13698904831298905</v>
      </c>
      <c r="J46" s="58">
        <v>336363.5245460844</v>
      </c>
      <c r="K46" s="58">
        <f>VLOOKUP(A:A,'داتا اليومي'!A:L,4,)</f>
        <v>92618.49</v>
      </c>
      <c r="L46" s="55">
        <f t="shared" si="2"/>
        <v>0.27535235910310646</v>
      </c>
      <c r="M46" s="58">
        <v>11331.429953641014</v>
      </c>
      <c r="N46" s="58">
        <f>VLOOKUP(A:A,'داتا اليومي'!A:L,5,)</f>
        <v>210</v>
      </c>
      <c r="O46" s="55">
        <f t="shared" si="3"/>
        <v>1.8532524214432692E-2</v>
      </c>
      <c r="P46" s="58">
        <v>198.74211571006657</v>
      </c>
      <c r="Q46" s="58">
        <f>VLOOKUP(A:A,'داتا اليومي'!A:L,6,)</f>
        <v>33</v>
      </c>
      <c r="R46" s="55">
        <f t="shared" si="4"/>
        <v>0.16604432272494171</v>
      </c>
      <c r="S46" s="58">
        <v>33.806181131765243</v>
      </c>
      <c r="T46" s="58">
        <f>VLOOKUP(A:A,'داتا اليومي'!A:L,7,)</f>
        <v>13</v>
      </c>
      <c r="U46" s="55">
        <f t="shared" si="5"/>
        <v>0.38454506142916073</v>
      </c>
      <c r="V46" s="58">
        <v>1062.6171294010271</v>
      </c>
      <c r="W46" s="58">
        <f>VLOOKUP(A:A,'داتا اليومي'!A:L,8,)</f>
        <v>180</v>
      </c>
      <c r="X46" s="55">
        <f t="shared" si="6"/>
        <v>0.16939309090703428</v>
      </c>
      <c r="Y46" s="58">
        <v>41.306087663201218</v>
      </c>
      <c r="Z46" s="58">
        <f>VLOOKUP(A:A,'داتا اليومي'!A:L,9,)</f>
        <v>2</v>
      </c>
      <c r="AA46" s="55">
        <f t="shared" si="7"/>
        <v>4.8419013107885323E-2</v>
      </c>
      <c r="AB46" s="58">
        <v>53.76343942393639</v>
      </c>
      <c r="AC46" s="58">
        <f>VLOOKUP(A:A,'داتا اليومي'!A:L,10,)</f>
        <v>14</v>
      </c>
      <c r="AD46" s="55">
        <f t="shared" si="8"/>
        <v>0.26040000695652971</v>
      </c>
      <c r="AE46" s="58">
        <v>119.01159465220923</v>
      </c>
      <c r="AF46" s="58">
        <f>VLOOKUP(A:A,'داتا اليومي'!A:L,11,)</f>
        <v>23</v>
      </c>
      <c r="AG46" s="55">
        <f t="shared" si="9"/>
        <v>0.19325848096745124</v>
      </c>
      <c r="AH46" s="58">
        <v>55.062448062252621</v>
      </c>
      <c r="AI46" s="58">
        <f>VLOOKUP(A:A,'داتا اليومي'!A:L,12,)</f>
        <v>7</v>
      </c>
      <c r="AJ46" s="55">
        <f t="shared" si="10"/>
        <v>0.1271283832510666</v>
      </c>
      <c r="AK46" s="58">
        <v>33.647866224105698</v>
      </c>
      <c r="AL46" s="58">
        <f>VLOOKUP(A:A,'داتا اليومي'!A:M,13,)</f>
        <v>0</v>
      </c>
      <c r="AM46" s="55">
        <f t="shared" si="11"/>
        <v>0</v>
      </c>
      <c r="AN46" s="58">
        <v>101.53578825243753</v>
      </c>
      <c r="AO46" s="111">
        <f>VLOOKUP(A:A,'داتا اليومي'!A:O,14,)</f>
        <v>29</v>
      </c>
      <c r="AP46" s="55">
        <f t="shared" si="12"/>
        <v>0.28561358018810484</v>
      </c>
    </row>
    <row r="47" spans="1:42" x14ac:dyDescent="0.25">
      <c r="A47" s="54">
        <v>75011</v>
      </c>
      <c r="B47" s="54" t="s">
        <v>970</v>
      </c>
      <c r="C47" s="54" t="s">
        <v>971</v>
      </c>
      <c r="D47" s="58">
        <v>287423.96122933109</v>
      </c>
      <c r="E47" s="58">
        <f>VLOOKUP(A:A,'داتا اليومي'!A:L,2,)</f>
        <v>174549.6</v>
      </c>
      <c r="F47" s="55">
        <f t="shared" si="0"/>
        <v>0.60728966107571525</v>
      </c>
      <c r="G47" s="58">
        <v>33584.126298100389</v>
      </c>
      <c r="H47" s="58">
        <f>VLOOKUP(A:A,'داتا اليومي'!A:C,3,)</f>
        <v>7323.01</v>
      </c>
      <c r="I47" s="55">
        <f t="shared" si="1"/>
        <v>0.2180497397788255</v>
      </c>
      <c r="J47" s="58">
        <v>84090.8811365211</v>
      </c>
      <c r="K47" s="58">
        <f>VLOOKUP(A:A,'داتا اليومي'!A:L,4,)</f>
        <v>32530.420000000002</v>
      </c>
      <c r="L47" s="55">
        <f t="shared" si="2"/>
        <v>0.38684836643805692</v>
      </c>
      <c r="M47" s="58">
        <v>2832.8574884102536</v>
      </c>
      <c r="N47" s="58">
        <f>VLOOKUP(A:A,'داتا اليومي'!A:L,5,)</f>
        <v>0</v>
      </c>
      <c r="O47" s="55">
        <f t="shared" si="3"/>
        <v>0</v>
      </c>
      <c r="P47" s="58">
        <v>49.685528927516643</v>
      </c>
      <c r="Q47" s="58">
        <f>VLOOKUP(A:A,'داتا اليومي'!A:L,6,)</f>
        <v>13</v>
      </c>
      <c r="R47" s="55">
        <f t="shared" si="4"/>
        <v>0.2616455994453627</v>
      </c>
      <c r="S47" s="58">
        <v>8.4515452829413107</v>
      </c>
      <c r="T47" s="58">
        <f>VLOOKUP(A:A,'داتا اليومي'!A:L,7,)</f>
        <v>4</v>
      </c>
      <c r="U47" s="55">
        <f t="shared" si="5"/>
        <v>0.47328622945127474</v>
      </c>
      <c r="V47" s="58">
        <v>265.65428235025678</v>
      </c>
      <c r="W47" s="58">
        <f>VLOOKUP(A:A,'داتا اليومي'!A:L,8,)</f>
        <v>158</v>
      </c>
      <c r="X47" s="55">
        <f t="shared" si="6"/>
        <v>0.59475796362914257</v>
      </c>
      <c r="Y47" s="58">
        <v>10.326521915800305</v>
      </c>
      <c r="Z47" s="58">
        <f>VLOOKUP(A:A,'داتا اليومي'!A:L,9,)</f>
        <v>3</v>
      </c>
      <c r="AA47" s="55">
        <f t="shared" si="7"/>
        <v>0.29051407864731194</v>
      </c>
      <c r="AB47" s="58">
        <v>13.440859855984097</v>
      </c>
      <c r="AC47" s="58">
        <f>VLOOKUP(A:A,'داتا اليومي'!A:L,10,)</f>
        <v>12</v>
      </c>
      <c r="AD47" s="55">
        <f t="shared" si="8"/>
        <v>0.89280002385095902</v>
      </c>
      <c r="AE47" s="58">
        <v>29.752898663052306</v>
      </c>
      <c r="AF47" s="58">
        <f>VLOOKUP(A:A,'داتا اليومي'!A:L,11,)</f>
        <v>17</v>
      </c>
      <c r="AG47" s="55">
        <f t="shared" si="9"/>
        <v>0.57137290025159504</v>
      </c>
      <c r="AH47" s="58">
        <v>0</v>
      </c>
      <c r="AI47" s="58">
        <f>VLOOKUP(A:A,'داتا اليومي'!A:L,12,)</f>
        <v>0</v>
      </c>
      <c r="AJ47" s="55" t="e">
        <f t="shared" si="10"/>
        <v>#DIV/0!</v>
      </c>
      <c r="AK47" s="58">
        <v>8.4119665560264245</v>
      </c>
      <c r="AL47" s="58">
        <f>VLOOKUP(A:A,'داتا اليومي'!A:M,13,)</f>
        <v>0</v>
      </c>
      <c r="AM47" s="55">
        <f t="shared" si="11"/>
        <v>0</v>
      </c>
      <c r="AN47" s="58">
        <v>25.383947063109378</v>
      </c>
      <c r="AO47" s="111">
        <f>VLOOKUP(A:A,'داتا اليومي'!A:O,14,)</f>
        <v>9</v>
      </c>
      <c r="AP47" s="55">
        <f t="shared" si="12"/>
        <v>0.35455478919902678</v>
      </c>
    </row>
    <row r="48" spans="1:42" x14ac:dyDescent="0.25">
      <c r="A48" s="54">
        <v>75012</v>
      </c>
      <c r="B48" s="54" t="s">
        <v>970</v>
      </c>
      <c r="C48" s="54" t="s">
        <v>984</v>
      </c>
      <c r="D48" s="58">
        <v>328484.52711923554</v>
      </c>
      <c r="E48" s="58">
        <f>VLOOKUP(A:A,'داتا اليومي'!A:L,2,)</f>
        <v>371747.02</v>
      </c>
      <c r="F48" s="55">
        <f t="shared" si="0"/>
        <v>1.1317032898327681</v>
      </c>
      <c r="G48" s="58">
        <v>38381.858626400433</v>
      </c>
      <c r="H48" s="58">
        <f>VLOOKUP(A:A,'داتا اليومي'!A:C,3,)</f>
        <v>7430.7199999999993</v>
      </c>
      <c r="I48" s="55">
        <f t="shared" si="1"/>
        <v>0.19359979599551963</v>
      </c>
      <c r="J48" s="58">
        <v>96103.864156024123</v>
      </c>
      <c r="K48" s="58">
        <f>VLOOKUP(A:A,'داتا اليومي'!A:L,4,)</f>
        <v>97748.09</v>
      </c>
      <c r="L48" s="55">
        <f t="shared" si="2"/>
        <v>1.0171088421721157</v>
      </c>
      <c r="M48" s="58">
        <v>3237.5514153260037</v>
      </c>
      <c r="N48" s="58">
        <f>VLOOKUP(A:A,'داتا اليومي'!A:L,5,)</f>
        <v>50</v>
      </c>
      <c r="O48" s="55">
        <f t="shared" si="3"/>
        <v>1.5443770178693911E-2</v>
      </c>
      <c r="P48" s="58">
        <v>56.78346163144758</v>
      </c>
      <c r="Q48" s="58">
        <f>VLOOKUP(A:A,'داتا اليومي'!A:L,6,)</f>
        <v>16</v>
      </c>
      <c r="R48" s="55">
        <f t="shared" si="4"/>
        <v>0.28177218401808296</v>
      </c>
      <c r="S48" s="58">
        <v>9.6589088947900681</v>
      </c>
      <c r="T48" s="58">
        <f>VLOOKUP(A:A,'داتا اليومي'!A:L,7,)</f>
        <v>8</v>
      </c>
      <c r="U48" s="55">
        <f t="shared" si="5"/>
        <v>0.82825090153973091</v>
      </c>
      <c r="V48" s="58">
        <v>303.60489411457911</v>
      </c>
      <c r="W48" s="58">
        <f>VLOOKUP(A:A,'داتا اليومي'!A:L,8,)</f>
        <v>175</v>
      </c>
      <c r="X48" s="55">
        <f t="shared" si="6"/>
        <v>0.57640704544754739</v>
      </c>
      <c r="Y48" s="58">
        <v>11.801739332343203</v>
      </c>
      <c r="Z48" s="58">
        <f>VLOOKUP(A:A,'داتا اليومي'!A:L,9,)</f>
        <v>5</v>
      </c>
      <c r="AA48" s="55">
        <f t="shared" si="7"/>
        <v>0.42366636469399666</v>
      </c>
      <c r="AB48" s="58">
        <v>15.360982692553254</v>
      </c>
      <c r="AC48" s="58">
        <f>VLOOKUP(A:A,'داتا اليومي'!A:L,10,)</f>
        <v>23</v>
      </c>
      <c r="AD48" s="55">
        <f t="shared" si="8"/>
        <v>1.497300040000046</v>
      </c>
      <c r="AE48" s="58">
        <v>34.003312757774061</v>
      </c>
      <c r="AF48" s="58">
        <f>VLOOKUP(A:A,'داتا اليومي'!A:L,11,)</f>
        <v>18</v>
      </c>
      <c r="AG48" s="55">
        <f t="shared" si="9"/>
        <v>0.5293601869978013</v>
      </c>
      <c r="AH48" s="58">
        <v>12.433456014057043</v>
      </c>
      <c r="AI48" s="58">
        <f>VLOOKUP(A:A,'داتا اليومي'!A:L,12,)</f>
        <v>0</v>
      </c>
      <c r="AJ48" s="55">
        <f t="shared" si="10"/>
        <v>0</v>
      </c>
      <c r="AK48" s="58">
        <v>9.6136760640301997</v>
      </c>
      <c r="AL48" s="58">
        <f>VLOOKUP(A:A,'داتا اليومي'!A:M,13,)</f>
        <v>0</v>
      </c>
      <c r="AM48" s="55">
        <f t="shared" si="11"/>
        <v>0</v>
      </c>
      <c r="AN48" s="58">
        <v>29.010225214982142</v>
      </c>
      <c r="AO48" s="111">
        <f>VLOOKUP(A:A,'داتا اليومي'!A:O,14,)</f>
        <v>32</v>
      </c>
      <c r="AP48" s="55">
        <f t="shared" si="12"/>
        <v>1.10305934417475</v>
      </c>
    </row>
    <row r="49" spans="1:42" x14ac:dyDescent="0.25">
      <c r="A49" s="54">
        <v>75015</v>
      </c>
      <c r="B49" s="54" t="s">
        <v>970</v>
      </c>
      <c r="C49" s="54" t="s">
        <v>996</v>
      </c>
      <c r="D49" s="58">
        <v>328484.52711923554</v>
      </c>
      <c r="E49" s="58">
        <f>VLOOKUP(A:A,'داتا اليومي'!A:L,2,)</f>
        <v>194832.28</v>
      </c>
      <c r="F49" s="55">
        <f t="shared" si="0"/>
        <v>0.593124679900915</v>
      </c>
      <c r="G49" s="58">
        <v>38381.858626400433</v>
      </c>
      <c r="H49" s="58">
        <f>VLOOKUP(A:A,'داتا اليومي'!A:C,3,)</f>
        <v>9649.56</v>
      </c>
      <c r="I49" s="55">
        <f t="shared" si="1"/>
        <v>0.25140939874554907</v>
      </c>
      <c r="J49" s="58">
        <v>96103.864156024123</v>
      </c>
      <c r="K49" s="58">
        <f>VLOOKUP(A:A,'داتا اليومي'!A:L,4,)</f>
        <v>33462.17</v>
      </c>
      <c r="L49" s="55">
        <f t="shared" si="2"/>
        <v>0.3481875603427802</v>
      </c>
      <c r="M49" s="58">
        <v>3237.5514153260033</v>
      </c>
      <c r="N49" s="58">
        <f>VLOOKUP(A:A,'داتا اليومي'!A:L,5,)</f>
        <v>0</v>
      </c>
      <c r="O49" s="55">
        <f t="shared" si="3"/>
        <v>0</v>
      </c>
      <c r="P49" s="58">
        <v>56.78346163144758</v>
      </c>
      <c r="Q49" s="58">
        <f>VLOOKUP(A:A,'داتا اليومي'!A:L,6,)</f>
        <v>7</v>
      </c>
      <c r="R49" s="55">
        <f t="shared" si="4"/>
        <v>0.12327533050791128</v>
      </c>
      <c r="S49" s="58">
        <v>9.6589088947900681</v>
      </c>
      <c r="T49" s="58">
        <f>VLOOKUP(A:A,'داتا اليومي'!A:L,7,)</f>
        <v>3</v>
      </c>
      <c r="U49" s="55">
        <f t="shared" si="5"/>
        <v>0.31059408807739908</v>
      </c>
      <c r="V49" s="58">
        <v>303.60489411457911</v>
      </c>
      <c r="W49" s="58">
        <f>VLOOKUP(A:A,'داتا اليومي'!A:L,8,)</f>
        <v>155</v>
      </c>
      <c r="X49" s="55">
        <f t="shared" si="6"/>
        <v>0.51053195453925626</v>
      </c>
      <c r="Y49" s="58">
        <v>11.801739332343203</v>
      </c>
      <c r="Z49" s="58">
        <f>VLOOKUP(A:A,'داتا اليومي'!A:L,9,)</f>
        <v>1</v>
      </c>
      <c r="AA49" s="55">
        <f t="shared" si="7"/>
        <v>8.4733272938799328E-2</v>
      </c>
      <c r="AB49" s="58">
        <v>15.360982692553254</v>
      </c>
      <c r="AC49" s="58">
        <f>VLOOKUP(A:A,'داتا اليومي'!A:L,10,)</f>
        <v>2</v>
      </c>
      <c r="AD49" s="55">
        <f t="shared" si="8"/>
        <v>0.13020000347826485</v>
      </c>
      <c r="AE49" s="58">
        <v>34.003312757774061</v>
      </c>
      <c r="AF49" s="58">
        <f>VLOOKUP(A:A,'داتا اليومي'!A:L,11,)</f>
        <v>10</v>
      </c>
      <c r="AG49" s="55">
        <f t="shared" si="9"/>
        <v>0.29408899277655626</v>
      </c>
      <c r="AH49" s="58">
        <v>12.433456014057045</v>
      </c>
      <c r="AI49" s="58">
        <f>VLOOKUP(A:A,'داتا اليومي'!A:L,12,)</f>
        <v>0</v>
      </c>
      <c r="AJ49" s="55">
        <f t="shared" si="10"/>
        <v>0</v>
      </c>
      <c r="AK49" s="58">
        <v>9.6136760640301997</v>
      </c>
      <c r="AL49" s="58">
        <f>VLOOKUP(A:A,'داتا اليومي'!A:M,13,)</f>
        <v>0</v>
      </c>
      <c r="AM49" s="55">
        <f t="shared" si="11"/>
        <v>0</v>
      </c>
      <c r="AN49" s="58">
        <v>29.010225214982142</v>
      </c>
      <c r="AO49" s="111">
        <f>VLOOKUP(A:A,'داتا اليومي'!A:O,14,)</f>
        <v>8</v>
      </c>
      <c r="AP49" s="55">
        <f t="shared" si="12"/>
        <v>0.27576483604368751</v>
      </c>
    </row>
    <row r="50" spans="1:42" x14ac:dyDescent="0.25">
      <c r="A50" s="54">
        <v>75016</v>
      </c>
      <c r="B50" s="54" t="s">
        <v>970</v>
      </c>
      <c r="C50" s="54" t="s">
        <v>1005</v>
      </c>
      <c r="D50" s="58">
        <v>328484.5271192356</v>
      </c>
      <c r="E50" s="58">
        <f>VLOOKUP(A:A,'داتا اليومي'!A:L,2,)</f>
        <v>288095.72000000003</v>
      </c>
      <c r="F50" s="55">
        <f t="shared" si="0"/>
        <v>0.87704502408853202</v>
      </c>
      <c r="G50" s="58">
        <v>38381.858626400433</v>
      </c>
      <c r="H50" s="58">
        <f>VLOOKUP(A:A,'داتا اليومي'!A:C,3,)</f>
        <v>13844.32</v>
      </c>
      <c r="I50" s="55">
        <f t="shared" si="1"/>
        <v>0.36069957254434193</v>
      </c>
      <c r="J50" s="58">
        <v>96103.864156024123</v>
      </c>
      <c r="K50" s="58">
        <f>VLOOKUP(A:A,'داتا اليومي'!A:L,4,)</f>
        <v>68409.119999999995</v>
      </c>
      <c r="L50" s="55">
        <f t="shared" si="2"/>
        <v>0.71182486365936493</v>
      </c>
      <c r="M50" s="58">
        <v>3237.5514153260028</v>
      </c>
      <c r="N50" s="58">
        <f>VLOOKUP(A:A,'داتا اليومي'!A:L,5,)</f>
        <v>0</v>
      </c>
      <c r="O50" s="55">
        <f t="shared" si="3"/>
        <v>0</v>
      </c>
      <c r="P50" s="58">
        <v>56.78346163144758</v>
      </c>
      <c r="Q50" s="58">
        <f>VLOOKUP(A:A,'داتا اليومي'!A:L,6,)</f>
        <v>17</v>
      </c>
      <c r="R50" s="55">
        <f t="shared" si="4"/>
        <v>0.29938294551921313</v>
      </c>
      <c r="S50" s="58">
        <v>9.6589088947900699</v>
      </c>
      <c r="T50" s="58">
        <f>VLOOKUP(A:A,'داتا اليومي'!A:L,7,)</f>
        <v>7</v>
      </c>
      <c r="U50" s="55">
        <f t="shared" si="5"/>
        <v>0.72471953884726448</v>
      </c>
      <c r="V50" s="58">
        <v>303.60489411457917</v>
      </c>
      <c r="W50" s="58">
        <f>VLOOKUP(A:A,'داتا اليومي'!A:L,8,)</f>
        <v>255</v>
      </c>
      <c r="X50" s="55">
        <f t="shared" si="6"/>
        <v>0.83990740908071171</v>
      </c>
      <c r="Y50" s="58">
        <v>11.801739332343203</v>
      </c>
      <c r="Z50" s="58">
        <f>VLOOKUP(A:A,'داتا اليومي'!A:L,9,)</f>
        <v>3</v>
      </c>
      <c r="AA50" s="55">
        <f t="shared" si="7"/>
        <v>0.25419981881639797</v>
      </c>
      <c r="AB50" s="58">
        <v>15.360982692553254</v>
      </c>
      <c r="AC50" s="58">
        <f>VLOOKUP(A:A,'داتا اليومي'!A:L,10,)</f>
        <v>21</v>
      </c>
      <c r="AD50" s="55">
        <f t="shared" si="8"/>
        <v>1.3671000365217811</v>
      </c>
      <c r="AE50" s="58">
        <v>34.003312757774061</v>
      </c>
      <c r="AF50" s="58">
        <f>VLOOKUP(A:A,'داتا اليومي'!A:L,11,)</f>
        <v>9</v>
      </c>
      <c r="AG50" s="55">
        <f t="shared" si="9"/>
        <v>0.26468009349890065</v>
      </c>
      <c r="AH50" s="58">
        <v>17.762080020081491</v>
      </c>
      <c r="AI50" s="58">
        <f>VLOOKUP(A:A,'داتا اليومي'!A:L,12,)</f>
        <v>12</v>
      </c>
      <c r="AJ50" s="55">
        <f t="shared" si="10"/>
        <v>0.67559655099138238</v>
      </c>
      <c r="AK50" s="58">
        <v>9.6136760640302015</v>
      </c>
      <c r="AL50" s="58">
        <f>VLOOKUP(A:A,'داتا اليومي'!A:M,13,)</f>
        <v>0</v>
      </c>
      <c r="AM50" s="55">
        <f t="shared" si="11"/>
        <v>0</v>
      </c>
      <c r="AN50" s="58">
        <v>29.010225214982142</v>
      </c>
      <c r="AO50" s="111">
        <f>VLOOKUP(A:A,'داتا اليومي'!A:O,14,)</f>
        <v>20</v>
      </c>
      <c r="AP50" s="55">
        <f t="shared" si="12"/>
        <v>0.68941209010921878</v>
      </c>
    </row>
    <row r="51" spans="1:42" x14ac:dyDescent="0.25">
      <c r="A51" s="54">
        <v>75021</v>
      </c>
      <c r="B51" s="54" t="s">
        <v>970</v>
      </c>
      <c r="C51" s="54" t="s">
        <v>1016</v>
      </c>
      <c r="D51" s="58">
        <v>1396059.240256751</v>
      </c>
      <c r="E51" s="58">
        <f>VLOOKUP(A:A,'داتا اليومي'!A:L,2,)</f>
        <v>1228698.76</v>
      </c>
      <c r="F51" s="55">
        <f t="shared" si="0"/>
        <v>0.88011935637776273</v>
      </c>
      <c r="G51" s="58">
        <v>163122.89916220185</v>
      </c>
      <c r="H51" s="58">
        <f>VLOOKUP(A:A,'داتا اليومي'!A:C,3,)</f>
        <v>80879.8</v>
      </c>
      <c r="I51" s="55">
        <f t="shared" si="1"/>
        <v>0.49582125143311045</v>
      </c>
      <c r="J51" s="58">
        <v>408441.42266310251</v>
      </c>
      <c r="K51" s="58">
        <f>VLOOKUP(A:A,'داتا اليومي'!A:L,4,)</f>
        <v>200026.61</v>
      </c>
      <c r="L51" s="55">
        <f t="shared" si="2"/>
        <v>0.48973144960615145</v>
      </c>
      <c r="M51" s="58">
        <v>13759.593515135515</v>
      </c>
      <c r="N51" s="58">
        <f>VLOOKUP(A:A,'داتا اليومي'!A:L,5,)</f>
        <v>400</v>
      </c>
      <c r="O51" s="55">
        <f t="shared" si="3"/>
        <v>2.9070626218717952E-2</v>
      </c>
      <c r="P51" s="58">
        <v>241.32971193365228</v>
      </c>
      <c r="Q51" s="58">
        <f>VLOOKUP(A:A,'داتا اليومي'!A:L,6,)</f>
        <v>88</v>
      </c>
      <c r="R51" s="55">
        <f t="shared" si="4"/>
        <v>0.36464635578810722</v>
      </c>
      <c r="S51" s="58">
        <v>41.050362802857791</v>
      </c>
      <c r="T51" s="58">
        <f>VLOOKUP(A:A,'داتا اليومي'!A:L,7,)</f>
        <v>13</v>
      </c>
      <c r="U51" s="55">
        <f t="shared" si="5"/>
        <v>0.31668416823577944</v>
      </c>
      <c r="V51" s="58">
        <v>1290.320799986961</v>
      </c>
      <c r="W51" s="58">
        <f>VLOOKUP(A:A,'داتا اليومي'!A:L,8,)</f>
        <v>509</v>
      </c>
      <c r="X51" s="55">
        <f t="shared" si="6"/>
        <v>0.39447554438023752</v>
      </c>
      <c r="Y51" s="58">
        <v>50.157392162458621</v>
      </c>
      <c r="Z51" s="58">
        <f>VLOOKUP(A:A,'داتا اليومي'!A:L,9,)</f>
        <v>28</v>
      </c>
      <c r="AA51" s="55">
        <f t="shared" si="7"/>
        <v>0.55824273936150137</v>
      </c>
      <c r="AB51" s="58">
        <v>65.284176443351328</v>
      </c>
      <c r="AC51" s="58">
        <f>VLOOKUP(A:A,'داتا اليومي'!A:L,10,)</f>
        <v>65</v>
      </c>
      <c r="AD51" s="55">
        <f t="shared" si="8"/>
        <v>0.9956470854220254</v>
      </c>
      <c r="AE51" s="58">
        <v>144.51407922053974</v>
      </c>
      <c r="AF51" s="58">
        <f>VLOOKUP(A:A,'داتا اليومي'!A:L,11,)</f>
        <v>48</v>
      </c>
      <c r="AG51" s="55">
        <f t="shared" si="9"/>
        <v>0.33214756831234599</v>
      </c>
      <c r="AH51" s="58">
        <v>79.9293600903667</v>
      </c>
      <c r="AI51" s="58">
        <f>VLOOKUP(A:A,'داتا اليومي'!A:L,12,)</f>
        <v>19</v>
      </c>
      <c r="AJ51" s="55">
        <f t="shared" si="10"/>
        <v>0.23770989757104199</v>
      </c>
      <c r="AK51" s="58">
        <v>40.858123272128346</v>
      </c>
      <c r="AL51" s="58">
        <f>VLOOKUP(A:A,'داتا اليومي'!A:M,13,)</f>
        <v>1</v>
      </c>
      <c r="AM51" s="55">
        <f t="shared" si="11"/>
        <v>2.4474937170747561E-2</v>
      </c>
      <c r="AN51" s="58">
        <v>123.29345716367412</v>
      </c>
      <c r="AO51" s="111">
        <f>VLOOKUP(A:A,'داتا اليومي'!A:O,14,)</f>
        <v>59</v>
      </c>
      <c r="AP51" s="55">
        <f t="shared" si="12"/>
        <v>0.47853309784051651</v>
      </c>
    </row>
    <row r="52" spans="1:42" x14ac:dyDescent="0.25">
      <c r="A52" s="54">
        <v>75032</v>
      </c>
      <c r="B52" s="54" t="s">
        <v>970</v>
      </c>
      <c r="C52" s="54" t="s">
        <v>1077</v>
      </c>
      <c r="D52" s="58">
        <v>287423.96122933109</v>
      </c>
      <c r="E52" s="58">
        <f>VLOOKUP(A:A,'داتا اليومي'!A:L,2,)</f>
        <v>324644.48000000004</v>
      </c>
      <c r="F52" s="55">
        <f t="shared" si="0"/>
        <v>1.1294969236784378</v>
      </c>
      <c r="G52" s="58">
        <v>33584.126298100382</v>
      </c>
      <c r="H52" s="58">
        <f>VLOOKUP(A:A,'داتا اليومي'!A:C,3,)</f>
        <v>10829.560000000001</v>
      </c>
      <c r="I52" s="55">
        <f t="shared" si="1"/>
        <v>0.32246067394680306</v>
      </c>
      <c r="J52" s="58">
        <v>84090.8811365211</v>
      </c>
      <c r="K52" s="58">
        <f>VLOOKUP(A:A,'داتا اليومي'!A:L,4,)</f>
        <v>63976.109999999993</v>
      </c>
      <c r="L52" s="55">
        <f t="shared" si="2"/>
        <v>0.76079723669603505</v>
      </c>
      <c r="M52" s="58">
        <v>2832.8574884102532</v>
      </c>
      <c r="N52" s="58">
        <f>VLOOKUP(A:A,'داتا اليومي'!A:L,5,)</f>
        <v>0</v>
      </c>
      <c r="O52" s="55">
        <f t="shared" si="3"/>
        <v>0</v>
      </c>
      <c r="P52" s="58">
        <v>49.685528927516636</v>
      </c>
      <c r="Q52" s="58">
        <f>VLOOKUP(A:A,'داتا اليومي'!A:L,6,)</f>
        <v>14</v>
      </c>
      <c r="R52" s="55">
        <f t="shared" si="4"/>
        <v>0.28177218401808291</v>
      </c>
      <c r="S52" s="58">
        <v>8.4515452829413107</v>
      </c>
      <c r="T52" s="58">
        <f>VLOOKUP(A:A,'داتا اليومي'!A:L,7,)</f>
        <v>1</v>
      </c>
      <c r="U52" s="55">
        <f t="shared" si="5"/>
        <v>0.11832155736281869</v>
      </c>
      <c r="V52" s="58">
        <v>265.65428235025678</v>
      </c>
      <c r="W52" s="58">
        <f>VLOOKUP(A:A,'داتا اليومي'!A:L,8,)</f>
        <v>160</v>
      </c>
      <c r="X52" s="55">
        <f t="shared" si="6"/>
        <v>0.60228654544723303</v>
      </c>
      <c r="Y52" s="58">
        <v>10.326521915800305</v>
      </c>
      <c r="Z52" s="58">
        <f>VLOOKUP(A:A,'داتا اليومي'!A:L,9,)</f>
        <v>1</v>
      </c>
      <c r="AA52" s="55">
        <f t="shared" si="7"/>
        <v>9.6838026215770645E-2</v>
      </c>
      <c r="AB52" s="58">
        <v>13.440859855984097</v>
      </c>
      <c r="AC52" s="58">
        <f>VLOOKUP(A:A,'داتا اليومي'!A:L,10,)</f>
        <v>21</v>
      </c>
      <c r="AD52" s="55">
        <f t="shared" si="8"/>
        <v>1.5624000417391783</v>
      </c>
      <c r="AE52" s="58">
        <v>29.752898663052306</v>
      </c>
      <c r="AF52" s="58">
        <f>VLOOKUP(A:A,'داتا اليومي'!A:L,11,)</f>
        <v>14</v>
      </c>
      <c r="AG52" s="55">
        <f t="shared" si="9"/>
        <v>0.47054238844249002</v>
      </c>
      <c r="AH52" s="58">
        <v>0</v>
      </c>
      <c r="AI52" s="58">
        <f>VLOOKUP(A:A,'داتا اليومي'!A:L,12,)</f>
        <v>1</v>
      </c>
      <c r="AJ52" s="55" t="e">
        <f t="shared" si="10"/>
        <v>#DIV/0!</v>
      </c>
      <c r="AK52" s="58">
        <v>8.4119665560264245</v>
      </c>
      <c r="AL52" s="58">
        <f>VLOOKUP(A:A,'داتا اليومي'!A:M,13,)</f>
        <v>0</v>
      </c>
      <c r="AM52" s="55">
        <f t="shared" si="11"/>
        <v>0</v>
      </c>
      <c r="AN52" s="58">
        <v>25.383947063109375</v>
      </c>
      <c r="AO52" s="111">
        <f>VLOOKUP(A:A,'داتا اليومي'!A:O,14,)</f>
        <v>12</v>
      </c>
      <c r="AP52" s="55">
        <f t="shared" si="12"/>
        <v>0.47273971893203576</v>
      </c>
    </row>
    <row r="53" spans="1:42" s="2" customFormat="1" x14ac:dyDescent="0.25">
      <c r="A53" s="85"/>
      <c r="B53" s="85"/>
      <c r="C53" s="85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N53" s="112"/>
    </row>
    <row r="54" spans="1:42" ht="18" x14ac:dyDescent="0.25">
      <c r="A54" s="277"/>
      <c r="B54" s="277"/>
      <c r="C54" s="277"/>
      <c r="D54" s="277"/>
      <c r="E54" s="277"/>
      <c r="F54" s="277"/>
      <c r="G54" s="277"/>
      <c r="H54" s="277"/>
      <c r="I54" s="277"/>
      <c r="J54" s="277"/>
      <c r="K54" s="277"/>
      <c r="L54" s="277"/>
      <c r="M54" s="277"/>
      <c r="N54" s="277"/>
      <c r="O54" s="277"/>
      <c r="P54" s="277"/>
      <c r="Q54" s="277"/>
      <c r="R54" s="277"/>
      <c r="S54" s="277"/>
      <c r="T54" s="277"/>
      <c r="U54" s="277"/>
      <c r="V54" s="277"/>
      <c r="W54" s="277"/>
      <c r="X54" s="277"/>
      <c r="Y54" s="277"/>
      <c r="Z54" s="277"/>
      <c r="AA54" s="277"/>
      <c r="AB54" s="277"/>
      <c r="AC54" s="277"/>
      <c r="AD54" s="277"/>
      <c r="AE54" s="277"/>
      <c r="AF54" s="277"/>
      <c r="AG54" s="277"/>
      <c r="AH54" s="277"/>
      <c r="AI54" s="277"/>
      <c r="AJ54" s="277"/>
      <c r="AK54" s="277"/>
      <c r="AL54" s="277"/>
      <c r="AM54" s="277"/>
      <c r="AN54" s="277"/>
      <c r="AO54" s="277"/>
      <c r="AP54" s="277"/>
    </row>
    <row r="55" spans="1:42" x14ac:dyDescent="0.25"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C55" s="65"/>
      <c r="AF55" s="65"/>
      <c r="AG55" s="65"/>
      <c r="AH55" s="65"/>
      <c r="AI55" s="65"/>
      <c r="AJ55" s="65"/>
      <c r="AK55" s="65"/>
      <c r="AL55" s="65"/>
    </row>
    <row r="56" spans="1:42" x14ac:dyDescent="0.25"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</row>
  </sheetData>
  <autoFilter ref="A7:AP52" xr:uid="{EB13351C-F469-45B2-B2E0-F8BF89553956}">
    <sortState xmlns:xlrd2="http://schemas.microsoft.com/office/spreadsheetml/2017/richdata2" ref="A8:AP52">
      <sortCondition ref="B7:B52"/>
    </sortState>
  </autoFilter>
  <mergeCells count="2">
    <mergeCell ref="A54:AP54"/>
    <mergeCell ref="A1:AP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D8719-356D-4AD4-9D97-FF557E52DFED}">
  <sheetPr>
    <tabColor rgb="FFFFFF00"/>
  </sheetPr>
  <dimension ref="A1:CI457"/>
  <sheetViews>
    <sheetView showGridLines="0" tabSelected="1" zoomScaleNormal="100" workbookViewId="0">
      <pane xSplit="3" topLeftCell="D1" activePane="topRight" state="frozen"/>
      <selection pane="topRight" activeCell="AZ1" sqref="AZ1:BB1"/>
    </sheetView>
  </sheetViews>
  <sheetFormatPr defaultRowHeight="15" x14ac:dyDescent="0.25"/>
  <cols>
    <col min="1" max="1" width="11.42578125" bestFit="1" customWidth="1"/>
    <col min="2" max="2" width="17.42578125" bestFit="1" customWidth="1"/>
    <col min="3" max="3" width="17.85546875" bestFit="1" customWidth="1"/>
    <col min="4" max="4" width="28.42578125" bestFit="1" customWidth="1"/>
    <col min="5" max="6" width="26.42578125" bestFit="1" customWidth="1"/>
    <col min="7" max="7" width="13.7109375" bestFit="1" customWidth="1"/>
    <col min="8" max="8" width="13.5703125" bestFit="1" customWidth="1"/>
    <col min="9" max="9" width="15.42578125" bestFit="1" customWidth="1"/>
    <col min="10" max="10" width="9.42578125" bestFit="1" customWidth="1"/>
    <col min="11" max="11" width="24.7109375" bestFit="1" customWidth="1"/>
    <col min="12" max="12" width="16.5703125" bestFit="1" customWidth="1"/>
    <col min="13" max="13" width="22.5703125" bestFit="1" customWidth="1"/>
    <col min="14" max="14" width="17.42578125" bestFit="1" customWidth="1"/>
    <col min="15" max="15" width="15" style="35" bestFit="1" customWidth="1"/>
    <col min="16" max="16" width="10.28515625" style="2" bestFit="1" customWidth="1"/>
    <col min="17" max="17" width="11" style="2" bestFit="1" customWidth="1"/>
    <col min="18" max="18" width="7.28515625" style="2" bestFit="1" customWidth="1"/>
    <col min="19" max="19" width="10.7109375" style="2" bestFit="1" customWidth="1"/>
    <col min="20" max="20" width="7" style="35" bestFit="1" customWidth="1"/>
    <col min="21" max="22" width="10.28515625" style="2" bestFit="1" customWidth="1"/>
    <col min="23" max="23" width="11" style="2" bestFit="1" customWidth="1"/>
    <col min="24" max="24" width="8.28515625" style="2" bestFit="1" customWidth="1"/>
    <col min="25" max="25" width="10" style="35" bestFit="1" customWidth="1"/>
    <col min="26" max="26" width="10.28515625" style="2" bestFit="1" customWidth="1"/>
    <col min="27" max="27" width="7.28515625" style="2" bestFit="1" customWidth="1"/>
    <col min="28" max="28" width="10" style="2" bestFit="1" customWidth="1"/>
    <col min="29" max="29" width="11" style="2" bestFit="1" customWidth="1"/>
    <col min="30" max="30" width="6.85546875" style="35" bestFit="1" customWidth="1"/>
    <col min="31" max="31" width="10.28515625" style="2" bestFit="1" customWidth="1"/>
    <col min="32" max="32" width="11" style="2" bestFit="1" customWidth="1"/>
    <col min="33" max="33" width="7.28515625" style="35" bestFit="1" customWidth="1"/>
    <col min="34" max="34" width="10.28515625" style="2" bestFit="1" customWidth="1"/>
    <col min="35" max="35" width="11" style="2" bestFit="1" customWidth="1"/>
    <col min="36" max="36" width="6.85546875" style="35" bestFit="1" customWidth="1"/>
    <col min="37" max="37" width="10.28515625" style="2" bestFit="1" customWidth="1"/>
    <col min="38" max="38" width="11" style="2" bestFit="1" customWidth="1"/>
    <col min="39" max="39" width="6.85546875" style="35" bestFit="1" customWidth="1"/>
    <col min="40" max="40" width="10.28515625" style="2" bestFit="1" customWidth="1"/>
    <col min="41" max="41" width="11" style="2" bestFit="1" customWidth="1"/>
    <col min="42" max="42" width="7.28515625" style="2" bestFit="1" customWidth="1"/>
    <col min="43" max="43" width="10.7109375" style="2" bestFit="1" customWidth="1"/>
    <col min="44" max="44" width="6.85546875" style="35" bestFit="1" customWidth="1"/>
    <col min="45" max="45" width="10.28515625" style="2" bestFit="1" customWidth="1"/>
    <col min="46" max="46" width="17.85546875" style="2" bestFit="1" customWidth="1"/>
    <col min="47" max="47" width="11" style="2" bestFit="1" customWidth="1"/>
    <col min="48" max="48" width="10.7109375" style="2" bestFit="1" customWidth="1"/>
    <col min="49" max="49" width="6.85546875" style="35" bestFit="1" customWidth="1"/>
    <col min="50" max="50" width="10.28515625" style="2" bestFit="1" customWidth="1"/>
    <col min="51" max="51" width="7.28515625" style="2" bestFit="1" customWidth="1"/>
    <col min="52" max="52" width="10" style="2" bestFit="1" customWidth="1"/>
    <col min="53" max="53" width="6.85546875" style="35" bestFit="1" customWidth="1"/>
    <col min="54" max="54" width="10.28515625" style="2" bestFit="1" customWidth="1"/>
    <col min="55" max="55" width="17.7109375" style="2" bestFit="1" customWidth="1"/>
    <col min="56" max="56" width="18" style="2" bestFit="1" customWidth="1"/>
    <col min="57" max="57" width="10.5703125" style="2" bestFit="1" customWidth="1"/>
    <col min="58" max="58" width="6.7109375" style="35" bestFit="1" customWidth="1"/>
    <col min="59" max="59" width="10.140625" style="2" bestFit="1" customWidth="1"/>
    <col min="60" max="60" width="11.7109375" style="2" bestFit="1" customWidth="1"/>
    <col min="61" max="61" width="7.140625" style="35" bestFit="1" customWidth="1"/>
    <col min="62" max="62" width="10.140625" style="2" bestFit="1" customWidth="1"/>
    <col min="63" max="63" width="17.7109375" style="2" bestFit="1" customWidth="1"/>
    <col min="64" max="64" width="17.28515625" style="2" bestFit="1" customWidth="1"/>
    <col min="65" max="65" width="10.5703125" style="2" bestFit="1" customWidth="1"/>
    <col min="66" max="66" width="6.7109375" style="35" bestFit="1" customWidth="1"/>
    <col min="67" max="67" width="10.140625" style="2" bestFit="1" customWidth="1"/>
    <col min="68" max="68" width="17.7109375" style="2" bestFit="1" customWidth="1"/>
    <col min="69" max="69" width="17.28515625" style="2" bestFit="1" customWidth="1"/>
    <col min="70" max="70" width="10.5703125" style="2" bestFit="1" customWidth="1"/>
    <col min="71" max="71" width="6.7109375" style="35" bestFit="1" customWidth="1"/>
    <col min="72" max="72" width="10.140625" style="2" bestFit="1" customWidth="1"/>
    <col min="73" max="73" width="17.7109375" style="2" bestFit="1" customWidth="1"/>
    <col min="74" max="74" width="20.5703125" style="2" bestFit="1" customWidth="1"/>
    <col min="75" max="75" width="10.5703125" style="2" bestFit="1" customWidth="1"/>
    <col min="76" max="76" width="6.7109375" style="35" bestFit="1" customWidth="1"/>
    <col min="77" max="77" width="10.140625" style="2" bestFit="1" customWidth="1"/>
    <col min="78" max="78" width="17.7109375" style="2" bestFit="1" customWidth="1"/>
    <col min="79" max="79" width="21.85546875" style="2" bestFit="1" customWidth="1"/>
    <col min="80" max="80" width="10.5703125" style="2" bestFit="1" customWidth="1"/>
    <col min="81" max="81" width="6.7109375" style="35" bestFit="1" customWidth="1"/>
    <col min="82" max="82" width="10.140625" style="2" bestFit="1" customWidth="1"/>
    <col min="83" max="83" width="23" style="2" bestFit="1" customWidth="1"/>
    <col min="84" max="84" width="6.7109375" style="35" bestFit="1" customWidth="1"/>
    <col min="85" max="85" width="10.140625" style="2" bestFit="1" customWidth="1"/>
    <col min="86" max="86" width="13.5703125" style="2" bestFit="1" customWidth="1"/>
    <col min="87" max="87" width="6.7109375" style="35" bestFit="1" customWidth="1"/>
  </cols>
  <sheetData>
    <row r="1" spans="1:87" x14ac:dyDescent="0.25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39"/>
      <c r="P1" s="1"/>
      <c r="Q1" s="279" t="s">
        <v>0</v>
      </c>
      <c r="R1" s="281"/>
      <c r="S1" s="282" t="s">
        <v>1</v>
      </c>
      <c r="T1" s="283"/>
      <c r="U1" s="284"/>
      <c r="V1" s="279" t="s">
        <v>1214</v>
      </c>
      <c r="W1" s="280"/>
      <c r="X1" s="281"/>
      <c r="Y1" s="282" t="s">
        <v>2</v>
      </c>
      <c r="Z1" s="283"/>
      <c r="AA1" s="284"/>
      <c r="AB1" s="279" t="s">
        <v>883</v>
      </c>
      <c r="AC1" s="280"/>
      <c r="AD1" s="281"/>
      <c r="AE1" s="282" t="s">
        <v>3</v>
      </c>
      <c r="AF1" s="283"/>
      <c r="AG1" s="284"/>
      <c r="AH1" s="279" t="s">
        <v>4</v>
      </c>
      <c r="AI1" s="280"/>
      <c r="AJ1" s="281"/>
      <c r="AK1" s="282" t="s">
        <v>5</v>
      </c>
      <c r="AL1" s="283"/>
      <c r="AM1" s="284"/>
      <c r="AN1" s="279" t="s">
        <v>6</v>
      </c>
      <c r="AO1" s="280"/>
      <c r="AP1" s="281"/>
      <c r="AQ1" s="282" t="s">
        <v>7</v>
      </c>
      <c r="AR1" s="283"/>
      <c r="AS1" s="284"/>
      <c r="AT1" s="279" t="s">
        <v>8</v>
      </c>
      <c r="AU1" s="280"/>
      <c r="AV1" s="281"/>
      <c r="AW1" s="202" t="s">
        <v>486</v>
      </c>
      <c r="AX1" s="203"/>
      <c r="AY1" s="204"/>
      <c r="AZ1" s="279" t="s">
        <v>1174</v>
      </c>
      <c r="BA1" s="280"/>
      <c r="BB1" s="28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</row>
    <row r="2" spans="1:87" x14ac:dyDescent="0.25">
      <c r="A2" s="4" t="s">
        <v>9</v>
      </c>
      <c r="B2" s="4" t="s">
        <v>10</v>
      </c>
      <c r="C2" s="59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 t="s">
        <v>18</v>
      </c>
      <c r="K2" s="4" t="s">
        <v>19</v>
      </c>
      <c r="L2" s="4" t="s">
        <v>20</v>
      </c>
      <c r="M2" s="4" t="s">
        <v>21</v>
      </c>
      <c r="N2" s="4" t="s">
        <v>22</v>
      </c>
      <c r="O2" s="36" t="s">
        <v>23</v>
      </c>
      <c r="P2" s="1" t="s">
        <v>24</v>
      </c>
      <c r="Q2" s="1" t="s">
        <v>29</v>
      </c>
      <c r="R2" s="38" t="s">
        <v>28</v>
      </c>
      <c r="S2" s="3" t="s">
        <v>24</v>
      </c>
      <c r="T2" s="3" t="s">
        <v>29</v>
      </c>
      <c r="U2" s="37" t="s">
        <v>28</v>
      </c>
      <c r="V2" s="1" t="s">
        <v>24</v>
      </c>
      <c r="W2" s="1" t="s">
        <v>29</v>
      </c>
      <c r="X2" s="1" t="s">
        <v>28</v>
      </c>
      <c r="Y2" s="3" t="s">
        <v>24</v>
      </c>
      <c r="Z2" s="3" t="s">
        <v>29</v>
      </c>
      <c r="AA2" s="37" t="s">
        <v>28</v>
      </c>
      <c r="AB2" s="1" t="s">
        <v>24</v>
      </c>
      <c r="AC2" s="1" t="s">
        <v>29</v>
      </c>
      <c r="AD2" s="38" t="s">
        <v>28</v>
      </c>
      <c r="AE2" s="3" t="s">
        <v>24</v>
      </c>
      <c r="AF2" s="3" t="s">
        <v>29</v>
      </c>
      <c r="AG2" s="37" t="s">
        <v>28</v>
      </c>
      <c r="AH2" s="1" t="s">
        <v>24</v>
      </c>
      <c r="AI2" s="1" t="s">
        <v>29</v>
      </c>
      <c r="AJ2" s="38" t="s">
        <v>28</v>
      </c>
      <c r="AK2" s="3" t="s">
        <v>24</v>
      </c>
      <c r="AL2" s="3" t="s">
        <v>29</v>
      </c>
      <c r="AM2" s="37" t="s">
        <v>28</v>
      </c>
      <c r="AN2" s="1" t="s">
        <v>24</v>
      </c>
      <c r="AO2" s="1" t="s">
        <v>29</v>
      </c>
      <c r="AP2" s="38" t="s">
        <v>28</v>
      </c>
      <c r="AQ2" s="3" t="s">
        <v>24</v>
      </c>
      <c r="AR2" s="3" t="s">
        <v>29</v>
      </c>
      <c r="AS2" s="37" t="s">
        <v>28</v>
      </c>
      <c r="AT2" s="1" t="s">
        <v>24</v>
      </c>
      <c r="AU2" s="1" t="s">
        <v>29</v>
      </c>
      <c r="AV2" s="38" t="s">
        <v>28</v>
      </c>
      <c r="AW2" s="3" t="s">
        <v>24</v>
      </c>
      <c r="AX2" s="3" t="s">
        <v>29</v>
      </c>
      <c r="AY2" s="37" t="s">
        <v>28</v>
      </c>
      <c r="AZ2" s="1" t="s">
        <v>24</v>
      </c>
      <c r="BA2" s="1" t="s">
        <v>29</v>
      </c>
      <c r="BB2" s="38" t="s">
        <v>28</v>
      </c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</row>
    <row r="3" spans="1:87" s="62" customFormat="1" x14ac:dyDescent="0.25">
      <c r="A3" s="113">
        <v>19241</v>
      </c>
      <c r="B3" s="113">
        <v>12877</v>
      </c>
      <c r="C3" s="113">
        <v>1065738914</v>
      </c>
      <c r="D3" s="113" t="s">
        <v>824</v>
      </c>
      <c r="E3" s="113" t="s">
        <v>1201</v>
      </c>
      <c r="F3" s="113" t="s">
        <v>1201</v>
      </c>
      <c r="G3" s="113">
        <v>0</v>
      </c>
      <c r="H3" s="113">
        <v>0</v>
      </c>
      <c r="I3" s="113" t="s">
        <v>1218</v>
      </c>
      <c r="J3" s="113" t="s">
        <v>313</v>
      </c>
      <c r="K3" s="113" t="s">
        <v>538</v>
      </c>
      <c r="L3" s="113" t="s">
        <v>539</v>
      </c>
      <c r="M3" s="113"/>
      <c r="N3" s="113"/>
      <c r="O3" s="114"/>
      <c r="P3" s="115">
        <v>3939902.77251</v>
      </c>
      <c r="Q3" s="61">
        <v>0</v>
      </c>
      <c r="R3" s="63">
        <f>Q3/P3</f>
        <v>0</v>
      </c>
      <c r="S3" s="61">
        <v>581819.39061</v>
      </c>
      <c r="T3" s="61">
        <v>0</v>
      </c>
      <c r="U3" s="63">
        <f>T3/S3</f>
        <v>0</v>
      </c>
      <c r="V3" s="61">
        <v>1185486.4956703091</v>
      </c>
      <c r="W3" s="61">
        <v>0</v>
      </c>
      <c r="X3" s="63">
        <f>W3/V3</f>
        <v>0</v>
      </c>
      <c r="Y3" s="61">
        <v>48455.087800000001</v>
      </c>
      <c r="Z3" s="102">
        <v>0</v>
      </c>
      <c r="AA3" s="63">
        <f>Z3/Y3</f>
        <v>0</v>
      </c>
      <c r="AB3" s="61">
        <v>796</v>
      </c>
      <c r="AC3" s="61">
        <v>0</v>
      </c>
      <c r="AD3" s="63">
        <f>AC3/AB3</f>
        <v>0</v>
      </c>
      <c r="AE3" s="61">
        <v>107</v>
      </c>
      <c r="AF3" s="61">
        <v>0</v>
      </c>
      <c r="AG3" s="63">
        <f>AF3/AE3</f>
        <v>0</v>
      </c>
      <c r="AH3" s="61">
        <v>3453.2922624051348</v>
      </c>
      <c r="AI3" s="61">
        <v>0</v>
      </c>
      <c r="AJ3" s="63">
        <f>AI3/AH3</f>
        <v>0</v>
      </c>
      <c r="AK3" s="61">
        <v>148.85029965661613</v>
      </c>
      <c r="AL3" s="61">
        <v>0</v>
      </c>
      <c r="AM3" s="63">
        <f>AL3/AK3</f>
        <v>0</v>
      </c>
      <c r="AN3" s="61">
        <v>163.0035187387474</v>
      </c>
      <c r="AO3" s="61">
        <v>0</v>
      </c>
      <c r="AP3" s="63">
        <f>AO3/AN3</f>
        <v>0</v>
      </c>
      <c r="AQ3" s="61">
        <v>424.75418250890664</v>
      </c>
      <c r="AR3" s="61">
        <v>0</v>
      </c>
      <c r="AS3" s="63">
        <f>AR3/AQ3</f>
        <v>0</v>
      </c>
      <c r="AT3" s="61">
        <v>220</v>
      </c>
      <c r="AU3" s="61">
        <v>0</v>
      </c>
      <c r="AV3" s="63">
        <f>AU3/AT3</f>
        <v>0</v>
      </c>
      <c r="AW3" s="61">
        <v>115.30816781801346</v>
      </c>
      <c r="AX3" s="61">
        <v>0</v>
      </c>
      <c r="AY3" s="63">
        <f>AX3/AW3</f>
        <v>0</v>
      </c>
      <c r="AZ3" s="61">
        <v>363</v>
      </c>
      <c r="BA3" s="61">
        <v>0</v>
      </c>
      <c r="BB3" s="63">
        <f>BA3/AZ3</f>
        <v>0</v>
      </c>
    </row>
    <row r="4" spans="1:87" x14ac:dyDescent="0.25">
      <c r="A4" s="116">
        <v>21445</v>
      </c>
      <c r="B4" s="116">
        <v>19241</v>
      </c>
      <c r="C4" s="117">
        <v>1025872167</v>
      </c>
      <c r="D4" s="116" t="s">
        <v>875</v>
      </c>
      <c r="E4" s="116" t="s">
        <v>541</v>
      </c>
      <c r="F4" s="116" t="s">
        <v>541</v>
      </c>
      <c r="G4" s="116" t="s">
        <v>534</v>
      </c>
      <c r="H4" s="116" t="s">
        <v>534</v>
      </c>
      <c r="I4" s="116" t="s">
        <v>1218</v>
      </c>
      <c r="J4" s="116" t="s">
        <v>313</v>
      </c>
      <c r="K4" s="116" t="s">
        <v>314</v>
      </c>
      <c r="L4" s="116">
        <v>73008</v>
      </c>
      <c r="M4" s="118"/>
      <c r="N4" s="119"/>
      <c r="O4" s="120"/>
      <c r="P4" s="121">
        <v>1063374.7208499999</v>
      </c>
      <c r="Q4" s="61">
        <v>0</v>
      </c>
      <c r="R4" s="63">
        <f t="shared" ref="R4:R67" si="0">Q4/P4</f>
        <v>0</v>
      </c>
      <c r="S4" s="61">
        <v>157091.23546</v>
      </c>
      <c r="T4" s="61">
        <v>0</v>
      </c>
      <c r="U4" s="63">
        <f t="shared" ref="U4:U67" si="1">T4/S4</f>
        <v>0</v>
      </c>
      <c r="V4" s="61">
        <v>320081.3538432261</v>
      </c>
      <c r="W4" s="61">
        <v>0</v>
      </c>
      <c r="X4" s="63">
        <f t="shared" ref="X4:X67" si="2">W4/V4</f>
        <v>0</v>
      </c>
      <c r="Y4" s="61">
        <v>16404.52634</v>
      </c>
      <c r="Z4" s="102">
        <v>0</v>
      </c>
      <c r="AA4" s="63">
        <f t="shared" ref="AA4:AA67" si="3">Z4/Y4</f>
        <v>0</v>
      </c>
      <c r="AB4" s="61">
        <v>217</v>
      </c>
      <c r="AC4" s="61">
        <v>1</v>
      </c>
      <c r="AD4" s="63">
        <f t="shared" ref="AD4:AD67" si="4">AC4/AB4</f>
        <v>4.608294930875576E-3</v>
      </c>
      <c r="AE4" s="61">
        <v>26</v>
      </c>
      <c r="AF4" s="61">
        <v>0</v>
      </c>
      <c r="AG4" s="63">
        <f t="shared" ref="AG4:AG67" si="5">AF4/AE4</f>
        <v>0</v>
      </c>
      <c r="AH4" s="61">
        <v>935.04585035153104</v>
      </c>
      <c r="AI4" s="61">
        <v>0</v>
      </c>
      <c r="AJ4" s="63">
        <f t="shared" ref="AJ4:AJ67" si="6">AI4/AH4</f>
        <v>0</v>
      </c>
      <c r="AK4" s="61">
        <v>37.411572640967691</v>
      </c>
      <c r="AL4" s="61">
        <v>0</v>
      </c>
      <c r="AM4" s="63">
        <f t="shared" ref="AM4:AM67" si="7">AL4/AK4</f>
        <v>0</v>
      </c>
      <c r="AN4" s="61">
        <v>42.554015953920782</v>
      </c>
      <c r="AO4" s="61">
        <v>0</v>
      </c>
      <c r="AP4" s="63">
        <f t="shared" ref="AP4:AP67" si="8">AO4/AN4</f>
        <v>0</v>
      </c>
      <c r="AQ4" s="61">
        <v>112.01323378399438</v>
      </c>
      <c r="AR4" s="61">
        <v>0</v>
      </c>
      <c r="AS4" s="63">
        <f t="shared" ref="AS4:AS67" si="9">AR4/AQ4</f>
        <v>0</v>
      </c>
      <c r="AT4" s="61">
        <v>62</v>
      </c>
      <c r="AU4" s="61">
        <v>0</v>
      </c>
      <c r="AV4" s="63">
        <f t="shared" ref="AV4:AV67" si="10">AU4/AT4</f>
        <v>0</v>
      </c>
      <c r="AW4" s="61">
        <v>31.121527064255439</v>
      </c>
      <c r="AX4" s="61">
        <v>0</v>
      </c>
      <c r="AY4" s="63">
        <f t="shared" ref="AY4:AY67" si="11">AX4/AW4</f>
        <v>0</v>
      </c>
      <c r="AZ4" s="61">
        <v>104</v>
      </c>
      <c r="BA4" s="61">
        <v>0</v>
      </c>
      <c r="BB4" s="63">
        <f t="shared" ref="BB4:BB67" si="12">BA4/AZ4</f>
        <v>0</v>
      </c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</row>
    <row r="5" spans="1:87" x14ac:dyDescent="0.25">
      <c r="A5" s="122">
        <v>1396</v>
      </c>
      <c r="B5" s="123">
        <v>21445</v>
      </c>
      <c r="C5" s="124">
        <v>1025891985</v>
      </c>
      <c r="D5" s="123" t="s">
        <v>861</v>
      </c>
      <c r="E5" s="123" t="s">
        <v>544</v>
      </c>
      <c r="F5" s="123" t="s">
        <v>544</v>
      </c>
      <c r="G5" s="123" t="s">
        <v>452</v>
      </c>
      <c r="H5" s="123" t="s">
        <v>453</v>
      </c>
      <c r="I5" s="123" t="s">
        <v>1218</v>
      </c>
      <c r="J5" s="123" t="s">
        <v>313</v>
      </c>
      <c r="K5" s="123" t="s">
        <v>314</v>
      </c>
      <c r="L5" s="123">
        <v>73008</v>
      </c>
      <c r="M5" s="123"/>
      <c r="N5" s="125"/>
      <c r="O5" s="126"/>
      <c r="P5" s="127">
        <v>1063374.7208499999</v>
      </c>
      <c r="Q5" s="61">
        <v>0</v>
      </c>
      <c r="R5" s="63">
        <f t="shared" si="0"/>
        <v>0</v>
      </c>
      <c r="S5" s="61">
        <v>157091.23546</v>
      </c>
      <c r="T5" s="61">
        <v>0</v>
      </c>
      <c r="U5" s="63">
        <f t="shared" si="1"/>
        <v>0</v>
      </c>
      <c r="V5" s="61">
        <v>320081.3538432261</v>
      </c>
      <c r="W5" s="61">
        <v>0</v>
      </c>
      <c r="X5" s="63">
        <f t="shared" si="2"/>
        <v>0</v>
      </c>
      <c r="Y5" s="61">
        <v>16404.52634</v>
      </c>
      <c r="Z5" s="102">
        <v>0</v>
      </c>
      <c r="AA5" s="63">
        <f t="shared" si="3"/>
        <v>0</v>
      </c>
      <c r="AB5" s="61">
        <v>217</v>
      </c>
      <c r="AC5" s="61">
        <v>0</v>
      </c>
      <c r="AD5" s="63">
        <f t="shared" si="4"/>
        <v>0</v>
      </c>
      <c r="AE5" s="61">
        <v>26</v>
      </c>
      <c r="AF5" s="61">
        <v>0</v>
      </c>
      <c r="AG5" s="63">
        <f t="shared" si="5"/>
        <v>0</v>
      </c>
      <c r="AH5" s="61">
        <v>935.04585035153104</v>
      </c>
      <c r="AI5" s="61">
        <v>0</v>
      </c>
      <c r="AJ5" s="63">
        <f t="shared" si="6"/>
        <v>0</v>
      </c>
      <c r="AK5" s="61">
        <v>37.411572640967691</v>
      </c>
      <c r="AL5" s="61">
        <v>0</v>
      </c>
      <c r="AM5" s="63">
        <f t="shared" si="7"/>
        <v>0</v>
      </c>
      <c r="AN5" s="61">
        <v>42.554015953920782</v>
      </c>
      <c r="AO5" s="61">
        <v>1</v>
      </c>
      <c r="AP5" s="63">
        <f t="shared" si="8"/>
        <v>2.3499544698268683E-2</v>
      </c>
      <c r="AQ5" s="61">
        <v>112.01323378399438</v>
      </c>
      <c r="AR5" s="61">
        <v>0</v>
      </c>
      <c r="AS5" s="63">
        <f t="shared" si="9"/>
        <v>0</v>
      </c>
      <c r="AT5" s="61">
        <v>62</v>
      </c>
      <c r="AU5" s="61">
        <v>0</v>
      </c>
      <c r="AV5" s="63">
        <f t="shared" si="10"/>
        <v>0</v>
      </c>
      <c r="AW5" s="61">
        <v>31.121527064255439</v>
      </c>
      <c r="AX5" s="61">
        <v>0</v>
      </c>
      <c r="AY5" s="63">
        <f t="shared" si="11"/>
        <v>0</v>
      </c>
      <c r="AZ5" s="61">
        <v>104</v>
      </c>
      <c r="BA5" s="61">
        <v>0</v>
      </c>
      <c r="BB5" s="63">
        <f t="shared" si="12"/>
        <v>0</v>
      </c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</row>
    <row r="6" spans="1:87" x14ac:dyDescent="0.25">
      <c r="A6" s="128">
        <v>21776</v>
      </c>
      <c r="B6" s="128">
        <v>1396</v>
      </c>
      <c r="C6" s="129">
        <v>1003976691</v>
      </c>
      <c r="D6" s="128" t="s">
        <v>826</v>
      </c>
      <c r="E6" s="128" t="s">
        <v>546</v>
      </c>
      <c r="F6" s="128" t="s">
        <v>546</v>
      </c>
      <c r="G6" s="128" t="s">
        <v>317</v>
      </c>
      <c r="H6" s="128" t="s">
        <v>317</v>
      </c>
      <c r="I6" s="128" t="s">
        <v>1218</v>
      </c>
      <c r="J6" s="128" t="s">
        <v>313</v>
      </c>
      <c r="K6" s="128" t="s">
        <v>314</v>
      </c>
      <c r="L6" s="128">
        <v>73008</v>
      </c>
      <c r="M6" s="128" t="s">
        <v>1215</v>
      </c>
      <c r="N6" s="130"/>
      <c r="O6" s="131"/>
      <c r="P6" s="132">
        <v>90108.737880000001</v>
      </c>
      <c r="Q6" s="61">
        <v>69162.64</v>
      </c>
      <c r="R6" s="63">
        <f t="shared" si="0"/>
        <v>0.76754642920540705</v>
      </c>
      <c r="S6" s="61">
        <v>13311.669610000001</v>
      </c>
      <c r="T6" s="61">
        <v>833.91</v>
      </c>
      <c r="U6" s="63">
        <f t="shared" si="1"/>
        <v>6.2645034351930542E-2</v>
      </c>
      <c r="V6" s="61">
        <v>27123.201502830321</v>
      </c>
      <c r="W6" s="61">
        <v>4350</v>
      </c>
      <c r="X6" s="63">
        <f t="shared" si="2"/>
        <v>0.16037929739032006</v>
      </c>
      <c r="Y6" s="61">
        <v>1259.3628699999999</v>
      </c>
      <c r="Z6" s="102">
        <v>400</v>
      </c>
      <c r="AA6" s="63">
        <f t="shared" si="3"/>
        <v>0.31762092525405328</v>
      </c>
      <c r="AB6" s="61">
        <v>19</v>
      </c>
      <c r="AC6" s="61">
        <v>15</v>
      </c>
      <c r="AD6" s="63">
        <f t="shared" si="4"/>
        <v>0.78947368421052633</v>
      </c>
      <c r="AE6" s="61">
        <v>2</v>
      </c>
      <c r="AF6" s="61">
        <v>1</v>
      </c>
      <c r="AG6" s="63">
        <f t="shared" si="5"/>
        <v>0.5</v>
      </c>
      <c r="AH6" s="61">
        <v>81.564838206553404</v>
      </c>
      <c r="AI6" s="61">
        <v>24</v>
      </c>
      <c r="AJ6" s="63">
        <f t="shared" si="6"/>
        <v>0.2942444382617766</v>
      </c>
      <c r="AK6" s="61">
        <v>3.1839636290185269</v>
      </c>
      <c r="AL6" s="61">
        <v>1</v>
      </c>
      <c r="AM6" s="63">
        <f t="shared" si="7"/>
        <v>0.31407393944014844</v>
      </c>
      <c r="AN6" s="61">
        <v>3.6062725384678629</v>
      </c>
      <c r="AO6" s="61">
        <v>0</v>
      </c>
      <c r="AP6" s="63">
        <f t="shared" si="8"/>
        <v>0</v>
      </c>
      <c r="AQ6" s="61">
        <v>9.8571645729915041</v>
      </c>
      <c r="AR6" s="61">
        <v>5</v>
      </c>
      <c r="AS6" s="63">
        <f t="shared" si="9"/>
        <v>0.50724525932131959</v>
      </c>
      <c r="AT6" s="61">
        <v>4</v>
      </c>
      <c r="AU6" s="61">
        <v>4</v>
      </c>
      <c r="AV6" s="63">
        <f t="shared" si="10"/>
        <v>1</v>
      </c>
      <c r="AW6" s="61">
        <v>2.6371903240437273</v>
      </c>
      <c r="AX6" s="61">
        <v>0</v>
      </c>
      <c r="AY6" s="63">
        <f t="shared" si="11"/>
        <v>0</v>
      </c>
      <c r="AZ6" s="61">
        <v>9</v>
      </c>
      <c r="BA6" s="61">
        <v>0</v>
      </c>
      <c r="BB6" s="63">
        <f t="shared" si="12"/>
        <v>0</v>
      </c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</row>
    <row r="7" spans="1:87" x14ac:dyDescent="0.25">
      <c r="A7" s="128">
        <v>21622</v>
      </c>
      <c r="B7" s="128">
        <v>1396</v>
      </c>
      <c r="C7" s="129">
        <v>1042534501</v>
      </c>
      <c r="D7" s="128" t="s">
        <v>827</v>
      </c>
      <c r="E7" s="128" t="s">
        <v>546</v>
      </c>
      <c r="F7" s="128" t="s">
        <v>546</v>
      </c>
      <c r="G7" s="128" t="s">
        <v>319</v>
      </c>
      <c r="H7" s="128" t="s">
        <v>319</v>
      </c>
      <c r="I7" s="128" t="s">
        <v>1218</v>
      </c>
      <c r="J7" s="128" t="s">
        <v>313</v>
      </c>
      <c r="K7" s="128" t="s">
        <v>314</v>
      </c>
      <c r="L7" s="128">
        <v>73008</v>
      </c>
      <c r="M7" s="128"/>
      <c r="N7" s="130"/>
      <c r="O7" s="131"/>
      <c r="P7" s="133">
        <v>81708.077590000001</v>
      </c>
      <c r="Q7" s="61">
        <v>45373.930000000008</v>
      </c>
      <c r="R7" s="63">
        <f t="shared" si="0"/>
        <v>0.55531755657843529</v>
      </c>
      <c r="S7" s="61">
        <v>12070.648859999999</v>
      </c>
      <c r="T7" s="61">
        <v>0</v>
      </c>
      <c r="U7" s="63">
        <f t="shared" si="1"/>
        <v>0</v>
      </c>
      <c r="V7" s="61">
        <v>24594.558808077538</v>
      </c>
      <c r="W7" s="61">
        <v>6599.9</v>
      </c>
      <c r="X7" s="63">
        <f t="shared" si="2"/>
        <v>0.26834797287896089</v>
      </c>
      <c r="Y7" s="61">
        <v>1602.1333400000001</v>
      </c>
      <c r="Z7" s="102">
        <v>1920</v>
      </c>
      <c r="AA7" s="63">
        <f t="shared" si="3"/>
        <v>1.1984021255059831</v>
      </c>
      <c r="AB7" s="61">
        <v>19</v>
      </c>
      <c r="AC7" s="61">
        <v>4</v>
      </c>
      <c r="AD7" s="63">
        <f t="shared" si="4"/>
        <v>0.21052631578947367</v>
      </c>
      <c r="AE7" s="61">
        <v>2</v>
      </c>
      <c r="AF7" s="61">
        <v>0</v>
      </c>
      <c r="AG7" s="63">
        <f t="shared" si="5"/>
        <v>0</v>
      </c>
      <c r="AH7" s="61">
        <v>81.564838206553404</v>
      </c>
      <c r="AI7" s="61">
        <v>50</v>
      </c>
      <c r="AJ7" s="63">
        <f t="shared" si="6"/>
        <v>0.61300924637870124</v>
      </c>
      <c r="AK7" s="61">
        <v>3.1839636290185269</v>
      </c>
      <c r="AL7" s="61">
        <v>3</v>
      </c>
      <c r="AM7" s="63">
        <f t="shared" si="7"/>
        <v>0.94222181832044527</v>
      </c>
      <c r="AN7" s="61">
        <v>3.6062725384678629</v>
      </c>
      <c r="AO7" s="61">
        <v>0</v>
      </c>
      <c r="AP7" s="63">
        <f t="shared" si="8"/>
        <v>0</v>
      </c>
      <c r="AQ7" s="61">
        <v>9.8571645729915041</v>
      </c>
      <c r="AR7" s="61">
        <v>2</v>
      </c>
      <c r="AS7" s="63">
        <f t="shared" si="9"/>
        <v>0.20289810372852785</v>
      </c>
      <c r="AT7" s="61">
        <v>4</v>
      </c>
      <c r="AU7" s="61">
        <v>1</v>
      </c>
      <c r="AV7" s="63">
        <f t="shared" si="10"/>
        <v>0.25</v>
      </c>
      <c r="AW7" s="61">
        <v>2.3913302603741022</v>
      </c>
      <c r="AX7" s="61">
        <v>0</v>
      </c>
      <c r="AY7" s="63">
        <f t="shared" si="11"/>
        <v>0</v>
      </c>
      <c r="AZ7" s="61">
        <v>9</v>
      </c>
      <c r="BA7" s="61">
        <v>3</v>
      </c>
      <c r="BB7" s="63">
        <f t="shared" si="12"/>
        <v>0.33333333333333331</v>
      </c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</row>
    <row r="8" spans="1:87" x14ac:dyDescent="0.25">
      <c r="A8" s="128">
        <v>5853</v>
      </c>
      <c r="B8" s="128">
        <v>1396</v>
      </c>
      <c r="C8" s="129">
        <v>1003756218</v>
      </c>
      <c r="D8" s="128" t="s">
        <v>850</v>
      </c>
      <c r="E8" s="128" t="s">
        <v>546</v>
      </c>
      <c r="F8" s="128" t="s">
        <v>546</v>
      </c>
      <c r="G8" s="128" t="s">
        <v>337</v>
      </c>
      <c r="H8" s="128" t="s">
        <v>338</v>
      </c>
      <c r="I8" s="128" t="s">
        <v>1218</v>
      </c>
      <c r="J8" s="128" t="s">
        <v>313</v>
      </c>
      <c r="K8" s="128" t="s">
        <v>314</v>
      </c>
      <c r="L8" s="128">
        <v>73008</v>
      </c>
      <c r="M8" s="128"/>
      <c r="N8" s="130"/>
      <c r="O8" s="131"/>
      <c r="P8" s="132">
        <v>81699.897779999999</v>
      </c>
      <c r="Q8" s="61">
        <v>51426.98000000001</v>
      </c>
      <c r="R8" s="63">
        <f t="shared" si="0"/>
        <v>0.62946198706982048</v>
      </c>
      <c r="S8" s="61">
        <v>12069.44046</v>
      </c>
      <c r="T8" s="61">
        <v>0</v>
      </c>
      <c r="U8" s="63">
        <f t="shared" si="1"/>
        <v>0</v>
      </c>
      <c r="V8" s="61">
        <v>24592.096610777109</v>
      </c>
      <c r="W8" s="61">
        <v>2923.8599999999997</v>
      </c>
      <c r="X8" s="63">
        <f t="shared" si="2"/>
        <v>0.11889429544281567</v>
      </c>
      <c r="Y8" s="61">
        <v>1260.37238</v>
      </c>
      <c r="Z8" s="102">
        <v>0</v>
      </c>
      <c r="AA8" s="63">
        <f t="shared" si="3"/>
        <v>0</v>
      </c>
      <c r="AB8" s="61">
        <v>19</v>
      </c>
      <c r="AC8" s="61">
        <v>4</v>
      </c>
      <c r="AD8" s="63">
        <f t="shared" si="4"/>
        <v>0.21052631578947367</v>
      </c>
      <c r="AE8" s="61">
        <v>2</v>
      </c>
      <c r="AF8" s="61">
        <v>0</v>
      </c>
      <c r="AG8" s="63">
        <f t="shared" si="5"/>
        <v>0</v>
      </c>
      <c r="AH8" s="61">
        <v>81.564838206553404</v>
      </c>
      <c r="AI8" s="61">
        <v>51</v>
      </c>
      <c r="AJ8" s="63">
        <f t="shared" si="6"/>
        <v>0.62526943130627533</v>
      </c>
      <c r="AK8" s="61">
        <v>3.1839636290185269</v>
      </c>
      <c r="AL8" s="61">
        <v>1</v>
      </c>
      <c r="AM8" s="63">
        <f t="shared" si="7"/>
        <v>0.31407393944014844</v>
      </c>
      <c r="AN8" s="61">
        <v>3.6062725384678629</v>
      </c>
      <c r="AO8" s="61">
        <v>3</v>
      </c>
      <c r="AP8" s="63">
        <f t="shared" si="8"/>
        <v>0.83188388231871135</v>
      </c>
      <c r="AQ8" s="61">
        <v>9.8571645729915041</v>
      </c>
      <c r="AR8" s="61">
        <v>1</v>
      </c>
      <c r="AS8" s="63">
        <f t="shared" si="9"/>
        <v>0.10144905186426392</v>
      </c>
      <c r="AT8" s="61">
        <v>4</v>
      </c>
      <c r="AU8" s="61">
        <v>2</v>
      </c>
      <c r="AV8" s="63">
        <f t="shared" si="10"/>
        <v>0.5</v>
      </c>
      <c r="AW8" s="61">
        <v>2.3910908638816859</v>
      </c>
      <c r="AX8" s="61">
        <v>0</v>
      </c>
      <c r="AY8" s="63">
        <f t="shared" si="11"/>
        <v>0</v>
      </c>
      <c r="AZ8" s="61">
        <v>9</v>
      </c>
      <c r="BA8" s="61">
        <v>1</v>
      </c>
      <c r="BB8" s="63">
        <f t="shared" si="12"/>
        <v>0.1111111111111111</v>
      </c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</row>
    <row r="9" spans="1:87" x14ac:dyDescent="0.25">
      <c r="A9" s="128">
        <v>9853</v>
      </c>
      <c r="B9" s="128">
        <v>1396</v>
      </c>
      <c r="C9" s="129">
        <v>1071323115</v>
      </c>
      <c r="D9" s="128" t="s">
        <v>831</v>
      </c>
      <c r="E9" s="128" t="s">
        <v>546</v>
      </c>
      <c r="F9" s="128" t="s">
        <v>546</v>
      </c>
      <c r="G9" s="128" t="s">
        <v>1166</v>
      </c>
      <c r="H9" s="128" t="s">
        <v>1166</v>
      </c>
      <c r="I9" s="128" t="s">
        <v>1218</v>
      </c>
      <c r="J9" s="128" t="s">
        <v>313</v>
      </c>
      <c r="K9" s="128" t="s">
        <v>314</v>
      </c>
      <c r="L9" s="128">
        <v>73008</v>
      </c>
      <c r="M9" s="128" t="s">
        <v>1143</v>
      </c>
      <c r="N9" s="130"/>
      <c r="O9" s="131">
        <v>0.4</v>
      </c>
      <c r="P9" s="133">
        <v>69528.347129999995</v>
      </c>
      <c r="Q9" s="61">
        <v>60519.150000000009</v>
      </c>
      <c r="R9" s="63">
        <f t="shared" si="0"/>
        <v>0.87042411474049397</v>
      </c>
      <c r="S9" s="61">
        <v>10271.35001</v>
      </c>
      <c r="T9" s="61">
        <v>24180.690000000002</v>
      </c>
      <c r="U9" s="63">
        <f t="shared" si="1"/>
        <v>2.3541881034584664</v>
      </c>
      <c r="V9" s="61">
        <v>20928.396199383111</v>
      </c>
      <c r="W9" s="61">
        <v>7996.72</v>
      </c>
      <c r="X9" s="63">
        <f t="shared" si="2"/>
        <v>0.38209903538789625</v>
      </c>
      <c r="Y9" s="61">
        <v>946.41498000000001</v>
      </c>
      <c r="Z9" s="102">
        <v>200</v>
      </c>
      <c r="AA9" s="63">
        <f t="shared" si="3"/>
        <v>0.21132378948608779</v>
      </c>
      <c r="AB9" s="61">
        <v>9</v>
      </c>
      <c r="AC9" s="61">
        <v>7</v>
      </c>
      <c r="AD9" s="63">
        <f t="shared" si="4"/>
        <v>0.77777777777777779</v>
      </c>
      <c r="AE9" s="61">
        <v>2</v>
      </c>
      <c r="AF9" s="61">
        <v>2</v>
      </c>
      <c r="AG9" s="63">
        <f t="shared" si="5"/>
        <v>1</v>
      </c>
      <c r="AH9" s="61">
        <v>39.799156095332343</v>
      </c>
      <c r="AI9" s="61">
        <v>39</v>
      </c>
      <c r="AJ9" s="63">
        <f t="shared" si="6"/>
        <v>0.97992027535915349</v>
      </c>
      <c r="AK9" s="61">
        <v>1.5919818145092635</v>
      </c>
      <c r="AL9" s="61">
        <v>4</v>
      </c>
      <c r="AM9" s="63">
        <f t="shared" si="7"/>
        <v>2.5125915155211875</v>
      </c>
      <c r="AN9" s="61">
        <v>2.1637635230807177</v>
      </c>
      <c r="AO9" s="61">
        <v>2</v>
      </c>
      <c r="AP9" s="63">
        <f t="shared" si="8"/>
        <v>0.9243154247985681</v>
      </c>
      <c r="AQ9" s="61">
        <v>5.3766352216317301</v>
      </c>
      <c r="AR9" s="61">
        <v>4</v>
      </c>
      <c r="AS9" s="63">
        <f t="shared" si="9"/>
        <v>0.74395971367126867</v>
      </c>
      <c r="AT9" s="61">
        <v>3</v>
      </c>
      <c r="AU9" s="61">
        <v>4</v>
      </c>
      <c r="AV9" s="63">
        <f t="shared" si="10"/>
        <v>1.3333333333333333</v>
      </c>
      <c r="AW9" s="61">
        <v>2.0348690772050735</v>
      </c>
      <c r="AX9" s="61">
        <v>0</v>
      </c>
      <c r="AY9" s="63">
        <f t="shared" si="11"/>
        <v>0</v>
      </c>
      <c r="AZ9" s="61">
        <v>5</v>
      </c>
      <c r="BA9" s="61">
        <v>2</v>
      </c>
      <c r="BB9" s="63">
        <f t="shared" si="12"/>
        <v>0.4</v>
      </c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</row>
    <row r="10" spans="1:87" x14ac:dyDescent="0.25">
      <c r="A10" s="128">
        <v>21634</v>
      </c>
      <c r="B10" s="128">
        <v>1396</v>
      </c>
      <c r="C10" s="129">
        <v>1022527145</v>
      </c>
      <c r="D10" s="128" t="s">
        <v>833</v>
      </c>
      <c r="E10" s="128" t="s">
        <v>546</v>
      </c>
      <c r="F10" s="128" t="s">
        <v>546</v>
      </c>
      <c r="G10" s="128" t="s">
        <v>369</v>
      </c>
      <c r="H10" s="128" t="s">
        <v>369</v>
      </c>
      <c r="I10" s="128" t="s">
        <v>1218</v>
      </c>
      <c r="J10" s="128" t="s">
        <v>313</v>
      </c>
      <c r="K10" s="128" t="s">
        <v>314</v>
      </c>
      <c r="L10" s="128">
        <v>73008</v>
      </c>
      <c r="M10" s="128" t="s">
        <v>1215</v>
      </c>
      <c r="N10" s="130"/>
      <c r="O10" s="131"/>
      <c r="P10" s="132">
        <v>90108.737880000001</v>
      </c>
      <c r="Q10" s="61">
        <v>74771.350000000006</v>
      </c>
      <c r="R10" s="63">
        <f t="shared" si="0"/>
        <v>0.8297902263327096</v>
      </c>
      <c r="S10" s="61">
        <v>13311.669610000001</v>
      </c>
      <c r="T10" s="61">
        <v>9388.7099999999991</v>
      </c>
      <c r="U10" s="63">
        <f t="shared" si="1"/>
        <v>0.70529920551416081</v>
      </c>
      <c r="V10" s="61">
        <v>27123.201502830321</v>
      </c>
      <c r="W10" s="61">
        <v>20600.47</v>
      </c>
      <c r="X10" s="63">
        <f t="shared" si="2"/>
        <v>0.75951469069203836</v>
      </c>
      <c r="Y10" s="61">
        <v>1602.1333400000001</v>
      </c>
      <c r="Z10" s="102">
        <v>1853</v>
      </c>
      <c r="AA10" s="63">
        <f t="shared" si="3"/>
        <v>1.156582884668014</v>
      </c>
      <c r="AB10" s="61">
        <v>19</v>
      </c>
      <c r="AC10" s="61">
        <v>14</v>
      </c>
      <c r="AD10" s="63">
        <f t="shared" si="4"/>
        <v>0.73684210526315785</v>
      </c>
      <c r="AE10" s="61">
        <v>2</v>
      </c>
      <c r="AF10" s="61">
        <v>2</v>
      </c>
      <c r="AG10" s="63">
        <f t="shared" si="5"/>
        <v>1</v>
      </c>
      <c r="AH10" s="61">
        <v>81.564838206553404</v>
      </c>
      <c r="AI10" s="61">
        <v>26</v>
      </c>
      <c r="AJ10" s="63">
        <f t="shared" si="6"/>
        <v>0.31876480811692465</v>
      </c>
      <c r="AK10" s="61">
        <v>3.1839636290185269</v>
      </c>
      <c r="AL10" s="61">
        <v>3</v>
      </c>
      <c r="AM10" s="63">
        <f t="shared" si="7"/>
        <v>0.94222181832044527</v>
      </c>
      <c r="AN10" s="61">
        <v>3.6062725384678629</v>
      </c>
      <c r="AO10" s="61">
        <v>1</v>
      </c>
      <c r="AP10" s="63">
        <f t="shared" si="8"/>
        <v>0.27729462743957045</v>
      </c>
      <c r="AQ10" s="61">
        <v>9.8571645729915041</v>
      </c>
      <c r="AR10" s="61">
        <v>2</v>
      </c>
      <c r="AS10" s="63">
        <f t="shared" si="9"/>
        <v>0.20289810372852785</v>
      </c>
      <c r="AT10" s="61">
        <v>4</v>
      </c>
      <c r="AU10" s="61">
        <v>2</v>
      </c>
      <c r="AV10" s="63">
        <f t="shared" si="10"/>
        <v>0.5</v>
      </c>
      <c r="AW10" s="61">
        <v>2.6371903240437273</v>
      </c>
      <c r="AX10" s="61">
        <v>0</v>
      </c>
      <c r="AY10" s="63">
        <f t="shared" si="11"/>
        <v>0</v>
      </c>
      <c r="AZ10" s="61">
        <v>9</v>
      </c>
      <c r="BA10" s="61">
        <v>0</v>
      </c>
      <c r="BB10" s="63">
        <f t="shared" si="12"/>
        <v>0</v>
      </c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</row>
    <row r="11" spans="1:87" x14ac:dyDescent="0.25">
      <c r="A11" s="128">
        <v>21782</v>
      </c>
      <c r="B11" s="128">
        <v>1396</v>
      </c>
      <c r="C11" s="129">
        <v>1029116793</v>
      </c>
      <c r="D11" s="128" t="s">
        <v>880</v>
      </c>
      <c r="E11" s="128" t="s">
        <v>546</v>
      </c>
      <c r="F11" s="128" t="s">
        <v>546</v>
      </c>
      <c r="G11" s="128" t="s">
        <v>336</v>
      </c>
      <c r="H11" s="128" t="s">
        <v>336</v>
      </c>
      <c r="I11" s="128" t="s">
        <v>1218</v>
      </c>
      <c r="J11" s="128" t="s">
        <v>313</v>
      </c>
      <c r="K11" s="128" t="s">
        <v>314</v>
      </c>
      <c r="L11" s="128">
        <v>73008</v>
      </c>
      <c r="M11" s="128" t="s">
        <v>1215</v>
      </c>
      <c r="N11" s="130"/>
      <c r="O11" s="131"/>
      <c r="P11" s="133">
        <v>90108.737880000001</v>
      </c>
      <c r="Q11" s="61">
        <v>65983.510000000009</v>
      </c>
      <c r="R11" s="63">
        <f t="shared" si="0"/>
        <v>0.73226538904442162</v>
      </c>
      <c r="S11" s="61">
        <v>13311.669610000001</v>
      </c>
      <c r="T11" s="61">
        <v>17273.05</v>
      </c>
      <c r="U11" s="63">
        <f t="shared" si="1"/>
        <v>1.2975870425017255</v>
      </c>
      <c r="V11" s="61">
        <v>27123.201502830321</v>
      </c>
      <c r="W11" s="61">
        <v>9240</v>
      </c>
      <c r="X11" s="63">
        <f t="shared" si="2"/>
        <v>0.34066774893943846</v>
      </c>
      <c r="Y11" s="61">
        <v>1260.6247499999999</v>
      </c>
      <c r="Z11" s="102">
        <v>0</v>
      </c>
      <c r="AA11" s="63">
        <f t="shared" si="3"/>
        <v>0</v>
      </c>
      <c r="AB11" s="61">
        <v>19</v>
      </c>
      <c r="AC11" s="61">
        <v>5</v>
      </c>
      <c r="AD11" s="63">
        <f t="shared" si="4"/>
        <v>0.26315789473684209</v>
      </c>
      <c r="AE11" s="61">
        <v>2</v>
      </c>
      <c r="AF11" s="61">
        <v>1</v>
      </c>
      <c r="AG11" s="63">
        <f t="shared" si="5"/>
        <v>0.5</v>
      </c>
      <c r="AH11" s="61">
        <v>81.564838206553404</v>
      </c>
      <c r="AI11" s="61">
        <v>31</v>
      </c>
      <c r="AJ11" s="63">
        <f t="shared" si="6"/>
        <v>0.38006573275479477</v>
      </c>
      <c r="AK11" s="61">
        <v>3.1839636290185269</v>
      </c>
      <c r="AL11" s="61">
        <v>1</v>
      </c>
      <c r="AM11" s="63">
        <f t="shared" si="7"/>
        <v>0.31407393944014844</v>
      </c>
      <c r="AN11" s="61">
        <v>3.6062725384678629</v>
      </c>
      <c r="AO11" s="61">
        <v>3</v>
      </c>
      <c r="AP11" s="63">
        <f t="shared" si="8"/>
        <v>0.83188388231871135</v>
      </c>
      <c r="AQ11" s="61">
        <v>9.8571645729915041</v>
      </c>
      <c r="AR11" s="61">
        <v>6</v>
      </c>
      <c r="AS11" s="63">
        <f t="shared" si="9"/>
        <v>0.60869431118558348</v>
      </c>
      <c r="AT11" s="61">
        <v>4</v>
      </c>
      <c r="AU11" s="61">
        <v>5</v>
      </c>
      <c r="AV11" s="63">
        <f t="shared" si="10"/>
        <v>1.25</v>
      </c>
      <c r="AW11" s="61">
        <v>2.6371903240437273</v>
      </c>
      <c r="AX11" s="61">
        <v>0</v>
      </c>
      <c r="AY11" s="63">
        <f t="shared" si="11"/>
        <v>0</v>
      </c>
      <c r="AZ11" s="61">
        <v>9</v>
      </c>
      <c r="BA11" s="61">
        <v>0</v>
      </c>
      <c r="BB11" s="63">
        <f t="shared" si="12"/>
        <v>0</v>
      </c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</row>
    <row r="12" spans="1:87" x14ac:dyDescent="0.25">
      <c r="A12" s="128">
        <v>6449</v>
      </c>
      <c r="B12" s="128">
        <v>1396</v>
      </c>
      <c r="C12" s="129">
        <v>1032278804</v>
      </c>
      <c r="D12" s="128" t="s">
        <v>835</v>
      </c>
      <c r="E12" s="128" t="s">
        <v>546</v>
      </c>
      <c r="F12" s="128" t="s">
        <v>546</v>
      </c>
      <c r="G12" s="128" t="s">
        <v>442</v>
      </c>
      <c r="H12" s="128" t="s">
        <v>442</v>
      </c>
      <c r="I12" s="128" t="s">
        <v>1218</v>
      </c>
      <c r="J12" s="128" t="s">
        <v>313</v>
      </c>
      <c r="K12" s="128" t="s">
        <v>314</v>
      </c>
      <c r="L12" s="128">
        <v>73008</v>
      </c>
      <c r="M12" s="128" t="s">
        <v>1144</v>
      </c>
      <c r="N12" s="130">
        <v>22</v>
      </c>
      <c r="O12" s="131">
        <v>1</v>
      </c>
      <c r="P12" s="132">
        <v>0</v>
      </c>
      <c r="Q12" s="61">
        <v>9735.66</v>
      </c>
      <c r="R12" s="63" t="e">
        <f t="shared" si="0"/>
        <v>#DIV/0!</v>
      </c>
      <c r="S12" s="61">
        <v>0</v>
      </c>
      <c r="T12" s="61">
        <v>0</v>
      </c>
      <c r="U12" s="63" t="e">
        <f t="shared" si="1"/>
        <v>#DIV/0!</v>
      </c>
      <c r="V12" s="61">
        <v>0</v>
      </c>
      <c r="W12" s="61">
        <v>753.04</v>
      </c>
      <c r="X12" s="63" t="e">
        <f t="shared" si="2"/>
        <v>#DIV/0!</v>
      </c>
      <c r="Y12" s="61">
        <v>0</v>
      </c>
      <c r="Z12" s="102">
        <v>0</v>
      </c>
      <c r="AA12" s="63" t="e">
        <f t="shared" si="3"/>
        <v>#DIV/0!</v>
      </c>
      <c r="AB12" s="61">
        <v>0</v>
      </c>
      <c r="AC12" s="61">
        <v>0</v>
      </c>
      <c r="AD12" s="63" t="e">
        <f t="shared" si="4"/>
        <v>#DIV/0!</v>
      </c>
      <c r="AE12" s="61">
        <v>0</v>
      </c>
      <c r="AF12" s="61">
        <v>0</v>
      </c>
      <c r="AG12" s="63" t="e">
        <f t="shared" si="5"/>
        <v>#DIV/0!</v>
      </c>
      <c r="AH12" s="61">
        <v>0</v>
      </c>
      <c r="AI12" s="61">
        <v>0</v>
      </c>
      <c r="AJ12" s="63" t="e">
        <f t="shared" si="6"/>
        <v>#DIV/0!</v>
      </c>
      <c r="AK12" s="61">
        <v>0</v>
      </c>
      <c r="AL12" s="61">
        <v>0</v>
      </c>
      <c r="AM12" s="63" t="e">
        <f t="shared" si="7"/>
        <v>#DIV/0!</v>
      </c>
      <c r="AN12" s="61">
        <v>0</v>
      </c>
      <c r="AO12" s="61">
        <v>0</v>
      </c>
      <c r="AP12" s="63" t="e">
        <f t="shared" si="8"/>
        <v>#DIV/0!</v>
      </c>
      <c r="AQ12" s="61">
        <v>0</v>
      </c>
      <c r="AR12" s="61">
        <v>0</v>
      </c>
      <c r="AS12" s="63" t="e">
        <f t="shared" si="9"/>
        <v>#DIV/0!</v>
      </c>
      <c r="AT12" s="61">
        <v>0</v>
      </c>
      <c r="AU12" s="61">
        <v>0</v>
      </c>
      <c r="AV12" s="63" t="e">
        <f t="shared" si="10"/>
        <v>#DIV/0!</v>
      </c>
      <c r="AW12" s="61">
        <v>0</v>
      </c>
      <c r="AX12" s="61">
        <v>0</v>
      </c>
      <c r="AY12" s="63" t="e">
        <f t="shared" si="11"/>
        <v>#DIV/0!</v>
      </c>
      <c r="AZ12" s="61">
        <v>0</v>
      </c>
      <c r="BA12" s="61">
        <v>0</v>
      </c>
      <c r="BB12" s="63" t="e">
        <f t="shared" si="12"/>
        <v>#DIV/0!</v>
      </c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</row>
    <row r="13" spans="1:87" x14ac:dyDescent="0.25">
      <c r="A13" s="206">
        <v>22175</v>
      </c>
      <c r="B13" s="207">
        <v>1396</v>
      </c>
      <c r="C13" s="208">
        <v>1007110701</v>
      </c>
      <c r="D13" s="207" t="s">
        <v>828</v>
      </c>
      <c r="E13" s="207" t="s">
        <v>546</v>
      </c>
      <c r="F13" s="207" t="s">
        <v>546</v>
      </c>
      <c r="G13" s="207" t="s">
        <v>318</v>
      </c>
      <c r="H13" s="207" t="s">
        <v>318</v>
      </c>
      <c r="I13" s="207" t="s">
        <v>1218</v>
      </c>
      <c r="J13" s="207" t="s">
        <v>313</v>
      </c>
      <c r="K13" s="207" t="s">
        <v>314</v>
      </c>
      <c r="L13" s="207">
        <v>73008</v>
      </c>
      <c r="M13" s="207" t="s">
        <v>1215</v>
      </c>
      <c r="N13" s="209"/>
      <c r="O13" s="210"/>
      <c r="P13" s="211">
        <v>90108.737880000001</v>
      </c>
      <c r="Q13" s="61">
        <v>79690.47</v>
      </c>
      <c r="R13" s="63">
        <f t="shared" si="0"/>
        <v>0.88438115853010546</v>
      </c>
      <c r="S13" s="61">
        <v>13311.669610000001</v>
      </c>
      <c r="T13" s="61">
        <v>12429.58</v>
      </c>
      <c r="U13" s="63">
        <f t="shared" si="1"/>
        <v>0.93373561425102103</v>
      </c>
      <c r="V13" s="61">
        <v>27123.201502830321</v>
      </c>
      <c r="W13" s="61">
        <v>16334.789999999999</v>
      </c>
      <c r="X13" s="63">
        <f t="shared" si="2"/>
        <v>0.60224417085481063</v>
      </c>
      <c r="Y13" s="61">
        <v>1602.1333400000001</v>
      </c>
      <c r="Z13" s="102">
        <v>120</v>
      </c>
      <c r="AA13" s="63">
        <f t="shared" si="3"/>
        <v>7.4900132844123946E-2</v>
      </c>
      <c r="AB13" s="61">
        <v>19</v>
      </c>
      <c r="AC13" s="61">
        <v>15</v>
      </c>
      <c r="AD13" s="63">
        <f t="shared" si="4"/>
        <v>0.78947368421052633</v>
      </c>
      <c r="AE13" s="61">
        <v>2</v>
      </c>
      <c r="AF13" s="61">
        <v>1</v>
      </c>
      <c r="AG13" s="63">
        <f t="shared" si="5"/>
        <v>0.5</v>
      </c>
      <c r="AH13" s="61">
        <v>81.564838206553404</v>
      </c>
      <c r="AI13" s="61">
        <v>36</v>
      </c>
      <c r="AJ13" s="63">
        <f t="shared" si="6"/>
        <v>0.4413666573926649</v>
      </c>
      <c r="AK13" s="61">
        <v>3.1839636290185269</v>
      </c>
      <c r="AL13" s="61">
        <v>2</v>
      </c>
      <c r="AM13" s="63">
        <f t="shared" si="7"/>
        <v>0.62814787888029688</v>
      </c>
      <c r="AN13" s="61">
        <v>3.6062725384678629</v>
      </c>
      <c r="AO13" s="61">
        <v>2</v>
      </c>
      <c r="AP13" s="63">
        <f t="shared" si="8"/>
        <v>0.5545892548791409</v>
      </c>
      <c r="AQ13" s="61">
        <v>9.8571645729915041</v>
      </c>
      <c r="AR13" s="61">
        <v>6</v>
      </c>
      <c r="AS13" s="63">
        <f t="shared" si="9"/>
        <v>0.60869431118558348</v>
      </c>
      <c r="AT13" s="61">
        <v>4</v>
      </c>
      <c r="AU13" s="61">
        <v>8</v>
      </c>
      <c r="AV13" s="63">
        <f t="shared" si="10"/>
        <v>2</v>
      </c>
      <c r="AW13" s="61">
        <v>2.6371903240437273</v>
      </c>
      <c r="AX13" s="61">
        <v>0</v>
      </c>
      <c r="AY13" s="63">
        <f t="shared" si="11"/>
        <v>0</v>
      </c>
      <c r="AZ13" s="61">
        <v>9</v>
      </c>
      <c r="BA13" s="61">
        <v>2</v>
      </c>
      <c r="BB13" s="63">
        <f t="shared" si="12"/>
        <v>0.22222222222222221</v>
      </c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</row>
    <row r="14" spans="1:87" x14ac:dyDescent="0.25">
      <c r="A14" s="128">
        <v>27674</v>
      </c>
      <c r="B14" s="128">
        <v>1396</v>
      </c>
      <c r="C14" s="129">
        <v>1004517817</v>
      </c>
      <c r="D14" s="128" t="s">
        <v>825</v>
      </c>
      <c r="E14" s="128" t="s">
        <v>546</v>
      </c>
      <c r="F14" s="128" t="s">
        <v>546</v>
      </c>
      <c r="G14" s="128" t="s">
        <v>316</v>
      </c>
      <c r="H14" s="128" t="s">
        <v>316</v>
      </c>
      <c r="I14" s="128" t="s">
        <v>1218</v>
      </c>
      <c r="J14" s="128" t="s">
        <v>313</v>
      </c>
      <c r="K14" s="128" t="s">
        <v>314</v>
      </c>
      <c r="L14" s="128">
        <v>73008</v>
      </c>
      <c r="M14" s="128" t="s">
        <v>1143</v>
      </c>
      <c r="N14" s="130"/>
      <c r="O14" s="131">
        <v>0.4</v>
      </c>
      <c r="P14" s="132">
        <v>69446.549079999997</v>
      </c>
      <c r="Q14" s="61">
        <v>78632.19</v>
      </c>
      <c r="R14" s="63">
        <f t="shared" si="0"/>
        <v>1.1322692205975342</v>
      </c>
      <c r="S14" s="61">
        <v>10259.26607</v>
      </c>
      <c r="T14" s="61">
        <v>9388.7099999999991</v>
      </c>
      <c r="U14" s="63">
        <f t="shared" si="1"/>
        <v>0.91514441052019613</v>
      </c>
      <c r="V14" s="61">
        <v>20903.77457989681</v>
      </c>
      <c r="W14" s="61">
        <v>5380</v>
      </c>
      <c r="X14" s="63">
        <f t="shared" si="2"/>
        <v>0.25736978646784459</v>
      </c>
      <c r="Y14" s="61">
        <v>946.41498000000001</v>
      </c>
      <c r="Z14" s="102">
        <v>0</v>
      </c>
      <c r="AA14" s="63">
        <f t="shared" si="3"/>
        <v>0</v>
      </c>
      <c r="AB14" s="61">
        <v>9</v>
      </c>
      <c r="AC14" s="61">
        <v>7</v>
      </c>
      <c r="AD14" s="63">
        <f t="shared" si="4"/>
        <v>0.77777777777777779</v>
      </c>
      <c r="AE14" s="61">
        <v>2</v>
      </c>
      <c r="AF14" s="61">
        <v>0</v>
      </c>
      <c r="AG14" s="63">
        <f t="shared" si="5"/>
        <v>0</v>
      </c>
      <c r="AH14" s="61">
        <v>39.799156095332343</v>
      </c>
      <c r="AI14" s="61">
        <v>37</v>
      </c>
      <c r="AJ14" s="63">
        <f t="shared" si="6"/>
        <v>0.92966795354586351</v>
      </c>
      <c r="AK14" s="61">
        <v>2.3879727217638953</v>
      </c>
      <c r="AL14" s="61">
        <v>0</v>
      </c>
      <c r="AM14" s="63">
        <f t="shared" si="7"/>
        <v>0</v>
      </c>
      <c r="AN14" s="61">
        <v>2.1637635230807177</v>
      </c>
      <c r="AO14" s="61">
        <v>2</v>
      </c>
      <c r="AP14" s="63">
        <f t="shared" si="8"/>
        <v>0.9243154247985681</v>
      </c>
      <c r="AQ14" s="61">
        <v>5.3766352216317301</v>
      </c>
      <c r="AR14" s="61">
        <v>2</v>
      </c>
      <c r="AS14" s="63">
        <f t="shared" si="9"/>
        <v>0.37197985683563434</v>
      </c>
      <c r="AT14" s="61">
        <v>3</v>
      </c>
      <c r="AU14" s="61">
        <v>3</v>
      </c>
      <c r="AV14" s="63">
        <f t="shared" si="10"/>
        <v>1</v>
      </c>
      <c r="AW14" s="61">
        <v>2.0324751137442498</v>
      </c>
      <c r="AX14" s="61">
        <v>0</v>
      </c>
      <c r="AY14" s="63">
        <f t="shared" si="11"/>
        <v>0</v>
      </c>
      <c r="AZ14" s="61">
        <v>5</v>
      </c>
      <c r="BA14" s="61">
        <v>1</v>
      </c>
      <c r="BB14" s="63">
        <f t="shared" si="12"/>
        <v>0.2</v>
      </c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</row>
    <row r="15" spans="1:87" x14ac:dyDescent="0.25">
      <c r="A15" s="128">
        <v>21020</v>
      </c>
      <c r="B15" s="128">
        <v>1396</v>
      </c>
      <c r="C15" s="129">
        <v>1010783049</v>
      </c>
      <c r="D15" s="128" t="s">
        <v>830</v>
      </c>
      <c r="E15" s="128" t="s">
        <v>546</v>
      </c>
      <c r="F15" s="128" t="s">
        <v>546</v>
      </c>
      <c r="G15" s="128" t="s">
        <v>321</v>
      </c>
      <c r="H15" s="128" t="s">
        <v>321</v>
      </c>
      <c r="I15" s="128" t="s">
        <v>1218</v>
      </c>
      <c r="J15" s="128" t="s">
        <v>313</v>
      </c>
      <c r="K15" s="128" t="s">
        <v>314</v>
      </c>
      <c r="L15" s="128">
        <v>73008</v>
      </c>
      <c r="M15" s="128"/>
      <c r="N15" s="130"/>
      <c r="O15" s="131"/>
      <c r="P15" s="133">
        <v>81691.717980000001</v>
      </c>
      <c r="Q15" s="61">
        <v>48886.96</v>
      </c>
      <c r="R15" s="63">
        <f t="shared" si="0"/>
        <v>0.5984322671726483</v>
      </c>
      <c r="S15" s="61">
        <v>12068.23206</v>
      </c>
      <c r="T15" s="61">
        <v>9649.56</v>
      </c>
      <c r="U15" s="63">
        <f t="shared" si="1"/>
        <v>0.79958356385798557</v>
      </c>
      <c r="V15" s="61">
        <v>24589.634504180282</v>
      </c>
      <c r="W15" s="61">
        <v>6629.57</v>
      </c>
      <c r="X15" s="63">
        <f t="shared" si="2"/>
        <v>0.26960831804445734</v>
      </c>
      <c r="Y15" s="61">
        <v>1260.2461900000001</v>
      </c>
      <c r="Z15" s="102">
        <v>0</v>
      </c>
      <c r="AA15" s="63">
        <f t="shared" si="3"/>
        <v>0</v>
      </c>
      <c r="AB15" s="61">
        <v>19</v>
      </c>
      <c r="AC15" s="61">
        <v>6</v>
      </c>
      <c r="AD15" s="63">
        <f t="shared" si="4"/>
        <v>0.31578947368421051</v>
      </c>
      <c r="AE15" s="61">
        <v>2</v>
      </c>
      <c r="AF15" s="61">
        <v>0</v>
      </c>
      <c r="AG15" s="63">
        <f t="shared" si="5"/>
        <v>0</v>
      </c>
      <c r="AH15" s="61">
        <v>81.564838206553404</v>
      </c>
      <c r="AI15" s="61">
        <v>38</v>
      </c>
      <c r="AJ15" s="63">
        <f t="shared" si="6"/>
        <v>0.46588702724781295</v>
      </c>
      <c r="AK15" s="61">
        <v>3.1839636290185269</v>
      </c>
      <c r="AL15" s="61">
        <v>4</v>
      </c>
      <c r="AM15" s="63">
        <f t="shared" si="7"/>
        <v>1.2562957577605938</v>
      </c>
      <c r="AN15" s="61">
        <v>3.6062725384678629</v>
      </c>
      <c r="AO15" s="61">
        <v>1</v>
      </c>
      <c r="AP15" s="63">
        <f t="shared" si="8"/>
        <v>0.27729462743957045</v>
      </c>
      <c r="AQ15" s="61">
        <v>9.8571645729915041</v>
      </c>
      <c r="AR15" s="61">
        <v>4</v>
      </c>
      <c r="AS15" s="63">
        <f t="shared" si="9"/>
        <v>0.40579620745705569</v>
      </c>
      <c r="AT15" s="61">
        <v>4</v>
      </c>
      <c r="AU15" s="61">
        <v>1</v>
      </c>
      <c r="AV15" s="63">
        <f t="shared" si="10"/>
        <v>0.25</v>
      </c>
      <c r="AW15" s="61">
        <v>2.3908514676819372</v>
      </c>
      <c r="AX15" s="61">
        <v>0</v>
      </c>
      <c r="AY15" s="63">
        <f t="shared" si="11"/>
        <v>0</v>
      </c>
      <c r="AZ15" s="61">
        <v>9</v>
      </c>
      <c r="BA15" s="61">
        <v>1</v>
      </c>
      <c r="BB15" s="63">
        <f t="shared" si="12"/>
        <v>0.1111111111111111</v>
      </c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</row>
    <row r="16" spans="1:87" x14ac:dyDescent="0.25">
      <c r="A16" s="128">
        <v>21779</v>
      </c>
      <c r="B16" s="128">
        <v>1396</v>
      </c>
      <c r="C16" s="129">
        <v>1003289889</v>
      </c>
      <c r="D16" s="128" t="s">
        <v>829</v>
      </c>
      <c r="E16" s="128" t="s">
        <v>546</v>
      </c>
      <c r="F16" s="128" t="s">
        <v>546</v>
      </c>
      <c r="G16" s="128" t="s">
        <v>315</v>
      </c>
      <c r="H16" s="128" t="s">
        <v>315</v>
      </c>
      <c r="I16" s="128" t="s">
        <v>1218</v>
      </c>
      <c r="J16" s="128" t="s">
        <v>313</v>
      </c>
      <c r="K16" s="128" t="s">
        <v>314</v>
      </c>
      <c r="L16" s="128">
        <v>73008</v>
      </c>
      <c r="M16" s="128" t="s">
        <v>1219</v>
      </c>
      <c r="N16" s="130"/>
      <c r="O16" s="131"/>
      <c r="P16" s="132">
        <v>77708.152679999999</v>
      </c>
      <c r="Q16" s="61">
        <v>61479.14</v>
      </c>
      <c r="R16" s="63">
        <f t="shared" si="0"/>
        <v>0.79115431109486511</v>
      </c>
      <c r="S16" s="61">
        <v>11479.744130000001</v>
      </c>
      <c r="T16" s="61">
        <v>6271.8899999999994</v>
      </c>
      <c r="U16" s="63">
        <f t="shared" si="1"/>
        <v>0.54634405862842161</v>
      </c>
      <c r="V16" s="61">
        <v>23390.56047946935</v>
      </c>
      <c r="W16" s="61">
        <v>13299.85</v>
      </c>
      <c r="X16" s="63">
        <f t="shared" si="2"/>
        <v>0.56859903000929402</v>
      </c>
      <c r="Y16" s="61">
        <v>1198.79231</v>
      </c>
      <c r="Z16" s="102">
        <v>0</v>
      </c>
      <c r="AA16" s="63">
        <f t="shared" si="3"/>
        <v>0</v>
      </c>
      <c r="AB16" s="61">
        <v>19</v>
      </c>
      <c r="AC16" s="61">
        <v>11</v>
      </c>
      <c r="AD16" s="63">
        <f t="shared" si="4"/>
        <v>0.57894736842105265</v>
      </c>
      <c r="AE16" s="61">
        <v>2</v>
      </c>
      <c r="AF16" s="61">
        <v>1</v>
      </c>
      <c r="AG16" s="63">
        <f t="shared" si="5"/>
        <v>0.5</v>
      </c>
      <c r="AH16" s="61">
        <v>81.564838206553404</v>
      </c>
      <c r="AI16" s="61">
        <v>81</v>
      </c>
      <c r="AJ16" s="63">
        <f t="shared" si="6"/>
        <v>0.99307497913349607</v>
      </c>
      <c r="AK16" s="61">
        <v>3.1839636290185269</v>
      </c>
      <c r="AL16" s="61">
        <v>3</v>
      </c>
      <c r="AM16" s="63">
        <f t="shared" si="7"/>
        <v>0.94222181832044527</v>
      </c>
      <c r="AN16" s="61">
        <v>3.6062725384678629</v>
      </c>
      <c r="AO16" s="61">
        <v>4</v>
      </c>
      <c r="AP16" s="63">
        <f t="shared" si="8"/>
        <v>1.1091785097582818</v>
      </c>
      <c r="AQ16" s="61">
        <v>7.1688469621756399</v>
      </c>
      <c r="AR16" s="61">
        <v>6</v>
      </c>
      <c r="AS16" s="63">
        <f t="shared" si="9"/>
        <v>0.8369546778801773</v>
      </c>
      <c r="AT16" s="61">
        <v>17</v>
      </c>
      <c r="AU16" s="61">
        <v>5</v>
      </c>
      <c r="AV16" s="63">
        <f t="shared" si="10"/>
        <v>0.29411764705882354</v>
      </c>
      <c r="AW16" s="61">
        <v>2.2742654393841417</v>
      </c>
      <c r="AX16" s="61">
        <v>0</v>
      </c>
      <c r="AY16" s="63">
        <f t="shared" si="11"/>
        <v>0</v>
      </c>
      <c r="AZ16" s="61">
        <v>9</v>
      </c>
      <c r="BA16" s="61">
        <v>0</v>
      </c>
      <c r="BB16" s="63">
        <f t="shared" si="12"/>
        <v>0</v>
      </c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</row>
    <row r="17" spans="1:87" x14ac:dyDescent="0.25">
      <c r="A17" s="128">
        <v>21633</v>
      </c>
      <c r="B17" s="128">
        <v>1396</v>
      </c>
      <c r="C17" s="129">
        <v>1015192337</v>
      </c>
      <c r="D17" s="128" t="s">
        <v>870</v>
      </c>
      <c r="E17" s="128" t="s">
        <v>546</v>
      </c>
      <c r="F17" s="128" t="s">
        <v>546</v>
      </c>
      <c r="G17" s="128" t="s">
        <v>358</v>
      </c>
      <c r="H17" s="128" t="s">
        <v>358</v>
      </c>
      <c r="I17" s="128" t="s">
        <v>1218</v>
      </c>
      <c r="J17" s="128" t="s">
        <v>313</v>
      </c>
      <c r="K17" s="128" t="s">
        <v>314</v>
      </c>
      <c r="L17" s="128">
        <v>73008</v>
      </c>
      <c r="M17" s="128" t="s">
        <v>1215</v>
      </c>
      <c r="N17" s="130"/>
      <c r="O17" s="131"/>
      <c r="P17" s="133">
        <v>90108.737880000001</v>
      </c>
      <c r="Q17" s="61">
        <v>127128.73999999998</v>
      </c>
      <c r="R17" s="63">
        <f t="shared" si="0"/>
        <v>1.41083698419237</v>
      </c>
      <c r="S17" s="61">
        <v>13311.669610000001</v>
      </c>
      <c r="T17" s="61">
        <v>35729.599999999999</v>
      </c>
      <c r="U17" s="63">
        <f t="shared" si="1"/>
        <v>2.6840810391777743</v>
      </c>
      <c r="V17" s="61">
        <v>27123.201502830321</v>
      </c>
      <c r="W17" s="61">
        <v>16529.57</v>
      </c>
      <c r="X17" s="63">
        <f t="shared" si="2"/>
        <v>0.60942547649749712</v>
      </c>
      <c r="Y17" s="61">
        <v>1259.3628699999999</v>
      </c>
      <c r="Z17" s="102">
        <v>419</v>
      </c>
      <c r="AA17" s="63">
        <f t="shared" si="3"/>
        <v>0.33270791920362081</v>
      </c>
      <c r="AB17" s="61">
        <v>19</v>
      </c>
      <c r="AC17" s="61">
        <v>23</v>
      </c>
      <c r="AD17" s="63">
        <f t="shared" si="4"/>
        <v>1.2105263157894737</v>
      </c>
      <c r="AE17" s="61">
        <v>2</v>
      </c>
      <c r="AF17" s="61">
        <v>2</v>
      </c>
      <c r="AG17" s="63">
        <f t="shared" si="5"/>
        <v>1</v>
      </c>
      <c r="AH17" s="61">
        <v>81.564838206553404</v>
      </c>
      <c r="AI17" s="61">
        <v>56</v>
      </c>
      <c r="AJ17" s="63">
        <f t="shared" si="6"/>
        <v>0.68657035594414539</v>
      </c>
      <c r="AK17" s="61">
        <v>3.1839636290185269</v>
      </c>
      <c r="AL17" s="61">
        <v>0</v>
      </c>
      <c r="AM17" s="63">
        <f t="shared" si="7"/>
        <v>0</v>
      </c>
      <c r="AN17" s="61">
        <v>3.6062725384678629</v>
      </c>
      <c r="AO17" s="61">
        <v>4</v>
      </c>
      <c r="AP17" s="63">
        <f t="shared" si="8"/>
        <v>1.1091785097582818</v>
      </c>
      <c r="AQ17" s="61">
        <v>9.8571645729915041</v>
      </c>
      <c r="AR17" s="61">
        <v>7</v>
      </c>
      <c r="AS17" s="63">
        <f t="shared" si="9"/>
        <v>0.71014336304984749</v>
      </c>
      <c r="AT17" s="61">
        <v>4</v>
      </c>
      <c r="AU17" s="61">
        <v>5</v>
      </c>
      <c r="AV17" s="63">
        <f t="shared" si="10"/>
        <v>1.25</v>
      </c>
      <c r="AW17" s="61">
        <v>2.6371903240437273</v>
      </c>
      <c r="AX17" s="61">
        <v>0</v>
      </c>
      <c r="AY17" s="63">
        <f t="shared" si="11"/>
        <v>0</v>
      </c>
      <c r="AZ17" s="61">
        <v>9</v>
      </c>
      <c r="BA17" s="61">
        <v>1</v>
      </c>
      <c r="BB17" s="63">
        <f t="shared" si="12"/>
        <v>0.1111111111111111</v>
      </c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</row>
    <row r="18" spans="1:87" x14ac:dyDescent="0.25">
      <c r="A18" s="128">
        <v>11622</v>
      </c>
      <c r="B18" s="128">
        <v>1396</v>
      </c>
      <c r="C18" s="129">
        <v>1079132765</v>
      </c>
      <c r="D18" s="128" t="s">
        <v>866</v>
      </c>
      <c r="E18" s="128" t="s">
        <v>546</v>
      </c>
      <c r="F18" s="128" t="s">
        <v>546</v>
      </c>
      <c r="G18" s="128" t="s">
        <v>324</v>
      </c>
      <c r="H18" s="128" t="s">
        <v>324</v>
      </c>
      <c r="I18" s="128" t="s">
        <v>1218</v>
      </c>
      <c r="J18" s="128" t="s">
        <v>313</v>
      </c>
      <c r="K18" s="128" t="s">
        <v>314</v>
      </c>
      <c r="L18" s="128">
        <v>73008</v>
      </c>
      <c r="M18" s="128"/>
      <c r="N18" s="130"/>
      <c r="O18" s="131"/>
      <c r="P18" s="132">
        <v>81683.53817</v>
      </c>
      <c r="Q18" s="61">
        <v>34980.01</v>
      </c>
      <c r="R18" s="63">
        <f t="shared" si="0"/>
        <v>0.42823818340483133</v>
      </c>
      <c r="S18" s="61">
        <v>12067.023669999999</v>
      </c>
      <c r="T18" s="61">
        <v>0</v>
      </c>
      <c r="U18" s="63">
        <f t="shared" si="1"/>
        <v>0</v>
      </c>
      <c r="V18" s="61">
        <v>24587.172306879849</v>
      </c>
      <c r="W18" s="61">
        <v>8220.74</v>
      </c>
      <c r="X18" s="63">
        <f t="shared" si="2"/>
        <v>0.33435077028763155</v>
      </c>
      <c r="Y18" s="61">
        <v>1260.1199999999999</v>
      </c>
      <c r="Z18" s="102">
        <v>0</v>
      </c>
      <c r="AA18" s="63">
        <f t="shared" si="3"/>
        <v>0</v>
      </c>
      <c r="AB18" s="61">
        <v>19</v>
      </c>
      <c r="AC18" s="61">
        <v>13</v>
      </c>
      <c r="AD18" s="63">
        <f t="shared" si="4"/>
        <v>0.68421052631578949</v>
      </c>
      <c r="AE18" s="61">
        <v>2</v>
      </c>
      <c r="AF18" s="61">
        <v>0</v>
      </c>
      <c r="AG18" s="63">
        <f t="shared" si="5"/>
        <v>0</v>
      </c>
      <c r="AH18" s="61">
        <v>81.564838206553404</v>
      </c>
      <c r="AI18" s="61">
        <v>27</v>
      </c>
      <c r="AJ18" s="63">
        <f t="shared" si="6"/>
        <v>0.33102499304449867</v>
      </c>
      <c r="AK18" s="61">
        <v>3.1839636290185269</v>
      </c>
      <c r="AL18" s="61">
        <v>2</v>
      </c>
      <c r="AM18" s="63">
        <f t="shared" si="7"/>
        <v>0.62814787888029688</v>
      </c>
      <c r="AN18" s="61">
        <v>3.6062725384678629</v>
      </c>
      <c r="AO18" s="61">
        <v>0</v>
      </c>
      <c r="AP18" s="63">
        <f t="shared" si="8"/>
        <v>0</v>
      </c>
      <c r="AQ18" s="61">
        <v>9.8571645729915041</v>
      </c>
      <c r="AR18" s="61">
        <v>4</v>
      </c>
      <c r="AS18" s="63">
        <f t="shared" si="9"/>
        <v>0.40579620745705569</v>
      </c>
      <c r="AT18" s="61">
        <v>4</v>
      </c>
      <c r="AU18" s="61">
        <v>0</v>
      </c>
      <c r="AV18" s="63">
        <f t="shared" si="10"/>
        <v>0</v>
      </c>
      <c r="AW18" s="61">
        <v>2.3906120711895213</v>
      </c>
      <c r="AX18" s="61">
        <v>0</v>
      </c>
      <c r="AY18" s="63">
        <f t="shared" si="11"/>
        <v>0</v>
      </c>
      <c r="AZ18" s="61">
        <v>9</v>
      </c>
      <c r="BA18" s="61">
        <v>1</v>
      </c>
      <c r="BB18" s="63">
        <f t="shared" si="12"/>
        <v>0.1111111111111111</v>
      </c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</row>
    <row r="19" spans="1:87" x14ac:dyDescent="0.25">
      <c r="A19" s="128">
        <v>5145</v>
      </c>
      <c r="B19" s="128">
        <v>1396</v>
      </c>
      <c r="C19" s="129">
        <v>1007760216</v>
      </c>
      <c r="D19" s="128" t="s">
        <v>884</v>
      </c>
      <c r="E19" s="128" t="s">
        <v>546</v>
      </c>
      <c r="F19" s="128" t="s">
        <v>546</v>
      </c>
      <c r="G19" s="128" t="s">
        <v>443</v>
      </c>
      <c r="H19" s="128" t="s">
        <v>443</v>
      </c>
      <c r="I19" s="128" t="s">
        <v>1218</v>
      </c>
      <c r="J19" s="128" t="s">
        <v>313</v>
      </c>
      <c r="K19" s="128" t="s">
        <v>314</v>
      </c>
      <c r="L19" s="128">
        <v>73008</v>
      </c>
      <c r="M19" s="128" t="s">
        <v>1143</v>
      </c>
      <c r="N19" s="130"/>
      <c r="O19" s="131">
        <v>0.4</v>
      </c>
      <c r="P19" s="133">
        <v>69364.751019999996</v>
      </c>
      <c r="Q19" s="61">
        <v>26579.129999999997</v>
      </c>
      <c r="R19" s="63">
        <f t="shared" si="0"/>
        <v>0.38317920282502588</v>
      </c>
      <c r="S19" s="61">
        <v>10247.182129999999</v>
      </c>
      <c r="T19" s="61">
        <v>9388.7100000000009</v>
      </c>
      <c r="U19" s="63">
        <f t="shared" si="1"/>
        <v>0.91622359014321542</v>
      </c>
      <c r="V19" s="61">
        <v>20879.152903005179</v>
      </c>
      <c r="W19" s="61">
        <v>18958.45</v>
      </c>
      <c r="X19" s="63">
        <f t="shared" si="2"/>
        <v>0.90800858100288506</v>
      </c>
      <c r="Y19" s="61">
        <v>946.41498000000001</v>
      </c>
      <c r="Z19" s="102">
        <v>0</v>
      </c>
      <c r="AA19" s="63">
        <f t="shared" si="3"/>
        <v>0</v>
      </c>
      <c r="AB19" s="61">
        <v>9</v>
      </c>
      <c r="AC19" s="61">
        <v>2</v>
      </c>
      <c r="AD19" s="63">
        <f t="shared" si="4"/>
        <v>0.22222222222222221</v>
      </c>
      <c r="AE19" s="61">
        <v>2</v>
      </c>
      <c r="AF19" s="61">
        <v>0</v>
      </c>
      <c r="AG19" s="63">
        <f t="shared" si="5"/>
        <v>0</v>
      </c>
      <c r="AH19" s="61">
        <v>39.799156095332343</v>
      </c>
      <c r="AI19" s="61">
        <v>7</v>
      </c>
      <c r="AJ19" s="63">
        <f t="shared" si="6"/>
        <v>0.17588312634651473</v>
      </c>
      <c r="AK19" s="61">
        <v>1.5919818145092635</v>
      </c>
      <c r="AL19" s="61">
        <v>0</v>
      </c>
      <c r="AM19" s="63">
        <f t="shared" si="7"/>
        <v>0</v>
      </c>
      <c r="AN19" s="61">
        <v>2.1637635230807177</v>
      </c>
      <c r="AO19" s="61">
        <v>0</v>
      </c>
      <c r="AP19" s="63">
        <f t="shared" si="8"/>
        <v>0</v>
      </c>
      <c r="AQ19" s="61">
        <v>5.3766352216317301</v>
      </c>
      <c r="AR19" s="61">
        <v>0</v>
      </c>
      <c r="AS19" s="63">
        <f t="shared" si="9"/>
        <v>0</v>
      </c>
      <c r="AT19" s="61">
        <v>3</v>
      </c>
      <c r="AU19" s="61">
        <v>1</v>
      </c>
      <c r="AV19" s="63">
        <f t="shared" si="10"/>
        <v>0.33333333333333331</v>
      </c>
      <c r="AW19" s="61">
        <v>2.0300811499907589</v>
      </c>
      <c r="AX19" s="61">
        <v>0</v>
      </c>
      <c r="AY19" s="63">
        <f t="shared" si="11"/>
        <v>0</v>
      </c>
      <c r="AZ19" s="61">
        <v>4</v>
      </c>
      <c r="BA19" s="61">
        <v>2</v>
      </c>
      <c r="BB19" s="63">
        <f t="shared" si="12"/>
        <v>0.5</v>
      </c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</row>
    <row r="20" spans="1:87" x14ac:dyDescent="0.25">
      <c r="A20" s="128">
        <v>21150</v>
      </c>
      <c r="B20" s="128">
        <v>19241</v>
      </c>
      <c r="C20" s="129">
        <v>1006592685</v>
      </c>
      <c r="D20" s="128" t="s">
        <v>843</v>
      </c>
      <c r="E20" s="128" t="s">
        <v>541</v>
      </c>
      <c r="F20" s="128" t="s">
        <v>541</v>
      </c>
      <c r="G20" s="128" t="s">
        <v>330</v>
      </c>
      <c r="H20" s="128" t="s">
        <v>330</v>
      </c>
      <c r="I20" s="128" t="s">
        <v>1218</v>
      </c>
      <c r="J20" s="128" t="s">
        <v>313</v>
      </c>
      <c r="K20" s="128" t="s">
        <v>325</v>
      </c>
      <c r="L20" s="128">
        <v>73009</v>
      </c>
      <c r="M20" s="128"/>
      <c r="N20" s="130"/>
      <c r="O20" s="131"/>
      <c r="P20" s="132">
        <v>1260768.8872</v>
      </c>
      <c r="Q20" s="61">
        <v>0</v>
      </c>
      <c r="R20" s="63">
        <f t="shared" si="0"/>
        <v>0</v>
      </c>
      <c r="S20" s="61">
        <v>180364.01109000001</v>
      </c>
      <c r="T20" s="61">
        <v>0</v>
      </c>
      <c r="U20" s="63">
        <f t="shared" si="1"/>
        <v>0</v>
      </c>
      <c r="V20" s="61">
        <v>367500.81364082126</v>
      </c>
      <c r="W20" s="61">
        <v>0</v>
      </c>
      <c r="X20" s="63">
        <f t="shared" si="2"/>
        <v>0</v>
      </c>
      <c r="Y20" s="61">
        <v>15435.424580000001</v>
      </c>
      <c r="Z20" s="102">
        <v>239</v>
      </c>
      <c r="AA20" s="63">
        <f t="shared" si="3"/>
        <v>1.5483863029571422E-2</v>
      </c>
      <c r="AB20" s="61">
        <v>246</v>
      </c>
      <c r="AC20" s="61">
        <v>0</v>
      </c>
      <c r="AD20" s="63">
        <f t="shared" si="4"/>
        <v>0</v>
      </c>
      <c r="AE20" s="61">
        <v>38</v>
      </c>
      <c r="AF20" s="61">
        <v>0</v>
      </c>
      <c r="AG20" s="63">
        <f t="shared" si="5"/>
        <v>0</v>
      </c>
      <c r="AH20" s="61">
        <v>1076.3763706693055</v>
      </c>
      <c r="AI20" s="61">
        <v>0</v>
      </c>
      <c r="AJ20" s="63">
        <f t="shared" si="6"/>
        <v>0</v>
      </c>
      <c r="AK20" s="61">
        <v>52.535399878805691</v>
      </c>
      <c r="AL20" s="61">
        <v>0</v>
      </c>
      <c r="AM20" s="63">
        <f t="shared" si="7"/>
        <v>0</v>
      </c>
      <c r="AN20" s="61">
        <v>55.536597092405088</v>
      </c>
      <c r="AO20" s="61">
        <v>0</v>
      </c>
      <c r="AP20" s="63">
        <f t="shared" si="8"/>
        <v>0</v>
      </c>
      <c r="AQ20" s="61">
        <v>125.4548218380737</v>
      </c>
      <c r="AR20" s="61">
        <v>0</v>
      </c>
      <c r="AS20" s="63">
        <f t="shared" si="9"/>
        <v>0</v>
      </c>
      <c r="AT20" s="61">
        <v>78</v>
      </c>
      <c r="AU20" s="61">
        <v>0</v>
      </c>
      <c r="AV20" s="63">
        <f t="shared" si="10"/>
        <v>0</v>
      </c>
      <c r="AW20" s="61">
        <v>36.898613701670655</v>
      </c>
      <c r="AX20" s="61">
        <v>0</v>
      </c>
      <c r="AY20" s="63">
        <f t="shared" si="11"/>
        <v>0</v>
      </c>
      <c r="AZ20" s="61">
        <v>115</v>
      </c>
      <c r="BA20" s="61">
        <v>0</v>
      </c>
      <c r="BB20" s="63">
        <f t="shared" si="12"/>
        <v>0</v>
      </c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</row>
    <row r="21" spans="1:87" x14ac:dyDescent="0.25">
      <c r="A21" s="116">
        <v>7787</v>
      </c>
      <c r="B21" s="116">
        <v>21150</v>
      </c>
      <c r="C21" s="134">
        <v>1067515153</v>
      </c>
      <c r="D21" s="116" t="s">
        <v>881</v>
      </c>
      <c r="E21" s="116" t="s">
        <v>544</v>
      </c>
      <c r="F21" s="116" t="s">
        <v>544</v>
      </c>
      <c r="G21" s="116" t="s">
        <v>1167</v>
      </c>
      <c r="H21" s="116" t="s">
        <v>1167</v>
      </c>
      <c r="I21" s="116" t="s">
        <v>1218</v>
      </c>
      <c r="J21" s="116" t="s">
        <v>313</v>
      </c>
      <c r="K21" s="116" t="s">
        <v>325</v>
      </c>
      <c r="L21" s="116">
        <v>73009</v>
      </c>
      <c r="M21" s="116"/>
      <c r="N21" s="135"/>
      <c r="O21" s="136"/>
      <c r="P21" s="137">
        <v>1260768.8872</v>
      </c>
      <c r="Q21" s="61">
        <v>0</v>
      </c>
      <c r="R21" s="63">
        <f t="shared" si="0"/>
        <v>0</v>
      </c>
      <c r="S21" s="61">
        <v>180364.01109000001</v>
      </c>
      <c r="T21" s="61">
        <v>0</v>
      </c>
      <c r="U21" s="63">
        <f t="shared" si="1"/>
        <v>0</v>
      </c>
      <c r="V21" s="61">
        <v>367500.97583999997</v>
      </c>
      <c r="W21" s="61">
        <v>0</v>
      </c>
      <c r="X21" s="63">
        <f t="shared" si="2"/>
        <v>0</v>
      </c>
      <c r="Y21" s="61">
        <v>15435.424580000001</v>
      </c>
      <c r="Z21" s="102">
        <v>0</v>
      </c>
      <c r="AA21" s="63">
        <f t="shared" si="3"/>
        <v>0</v>
      </c>
      <c r="AB21" s="61">
        <v>246</v>
      </c>
      <c r="AC21" s="61">
        <v>0</v>
      </c>
      <c r="AD21" s="63">
        <f t="shared" si="4"/>
        <v>0</v>
      </c>
      <c r="AE21" s="61">
        <v>38</v>
      </c>
      <c r="AF21" s="61">
        <v>0</v>
      </c>
      <c r="AG21" s="63">
        <f t="shared" si="5"/>
        <v>0</v>
      </c>
      <c r="AH21" s="61">
        <v>1082</v>
      </c>
      <c r="AI21" s="61">
        <v>0</v>
      </c>
      <c r="AJ21" s="63">
        <f t="shared" si="6"/>
        <v>0</v>
      </c>
      <c r="AK21" s="61">
        <v>66</v>
      </c>
      <c r="AL21" s="61">
        <v>0</v>
      </c>
      <c r="AM21" s="63">
        <f t="shared" si="7"/>
        <v>0</v>
      </c>
      <c r="AN21" s="61">
        <v>77</v>
      </c>
      <c r="AO21" s="61">
        <v>4</v>
      </c>
      <c r="AP21" s="63">
        <f t="shared" si="8"/>
        <v>5.1948051948051951E-2</v>
      </c>
      <c r="AQ21" s="61">
        <v>140</v>
      </c>
      <c r="AR21" s="61">
        <v>0</v>
      </c>
      <c r="AS21" s="63">
        <f t="shared" si="9"/>
        <v>0</v>
      </c>
      <c r="AT21" s="61">
        <v>78</v>
      </c>
      <c r="AU21" s="61">
        <v>0</v>
      </c>
      <c r="AV21" s="63">
        <f t="shared" si="10"/>
        <v>0</v>
      </c>
      <c r="AW21" s="61">
        <v>18.517042163211983</v>
      </c>
      <c r="AX21" s="61">
        <v>0</v>
      </c>
      <c r="AY21" s="63">
        <f t="shared" si="11"/>
        <v>0</v>
      </c>
      <c r="AZ21" s="61">
        <v>115</v>
      </c>
      <c r="BA21" s="61">
        <v>0</v>
      </c>
      <c r="BB21" s="63">
        <f t="shared" si="12"/>
        <v>0</v>
      </c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</row>
    <row r="22" spans="1:87" x14ac:dyDescent="0.25">
      <c r="A22" s="206">
        <v>21277</v>
      </c>
      <c r="B22" s="207">
        <v>7787</v>
      </c>
      <c r="C22" s="208">
        <v>1034255511</v>
      </c>
      <c r="D22" s="207" t="s">
        <v>837</v>
      </c>
      <c r="E22" s="207" t="s">
        <v>546</v>
      </c>
      <c r="F22" s="207" t="s">
        <v>546</v>
      </c>
      <c r="G22" s="207" t="s">
        <v>327</v>
      </c>
      <c r="H22" s="207" t="s">
        <v>327</v>
      </c>
      <c r="I22" s="207" t="s">
        <v>1218</v>
      </c>
      <c r="J22" s="207" t="s">
        <v>313</v>
      </c>
      <c r="K22" s="207" t="s">
        <v>325</v>
      </c>
      <c r="L22" s="207">
        <v>73009</v>
      </c>
      <c r="M22" s="207" t="s">
        <v>1149</v>
      </c>
      <c r="N22" s="209"/>
      <c r="O22" s="210"/>
      <c r="P22" s="212">
        <v>86452.723689999999</v>
      </c>
      <c r="Q22" s="61">
        <v>59593.930000000015</v>
      </c>
      <c r="R22" s="63">
        <f t="shared" si="0"/>
        <v>0.6893239155042753</v>
      </c>
      <c r="S22" s="61">
        <v>12367.8179</v>
      </c>
      <c r="T22" s="61">
        <v>12692.18</v>
      </c>
      <c r="U22" s="63">
        <f t="shared" si="1"/>
        <v>1.0262262997905234</v>
      </c>
      <c r="V22" s="61">
        <v>25200.066910000001</v>
      </c>
      <c r="W22" s="61">
        <v>15498.25</v>
      </c>
      <c r="X22" s="63">
        <f t="shared" si="2"/>
        <v>0.61500828769029647</v>
      </c>
      <c r="Y22" s="61">
        <v>5904.0499</v>
      </c>
      <c r="Z22" s="102">
        <v>598</v>
      </c>
      <c r="AA22" s="63">
        <f t="shared" si="3"/>
        <v>0.10128640681034895</v>
      </c>
      <c r="AB22" s="61">
        <v>20</v>
      </c>
      <c r="AC22" s="61">
        <v>11</v>
      </c>
      <c r="AD22" s="63">
        <f t="shared" si="4"/>
        <v>0.55000000000000004</v>
      </c>
      <c r="AE22" s="61">
        <v>3</v>
      </c>
      <c r="AF22" s="61">
        <v>1</v>
      </c>
      <c r="AG22" s="63">
        <f t="shared" si="5"/>
        <v>0.33333333333333331</v>
      </c>
      <c r="AH22" s="61">
        <v>87</v>
      </c>
      <c r="AI22" s="61">
        <v>43</v>
      </c>
      <c r="AJ22" s="63">
        <f t="shared" si="6"/>
        <v>0.4942528735632184</v>
      </c>
      <c r="AK22" s="61">
        <v>5</v>
      </c>
      <c r="AL22" s="61">
        <v>5</v>
      </c>
      <c r="AM22" s="63">
        <f t="shared" si="7"/>
        <v>1</v>
      </c>
      <c r="AN22" s="61">
        <v>6</v>
      </c>
      <c r="AO22" s="61">
        <v>0</v>
      </c>
      <c r="AP22" s="63">
        <f t="shared" si="8"/>
        <v>0</v>
      </c>
      <c r="AQ22" s="61">
        <v>11</v>
      </c>
      <c r="AR22" s="61">
        <v>4</v>
      </c>
      <c r="AS22" s="63">
        <f t="shared" si="9"/>
        <v>0.36363636363636365</v>
      </c>
      <c r="AT22" s="61">
        <v>6</v>
      </c>
      <c r="AU22" s="61">
        <v>3</v>
      </c>
      <c r="AV22" s="63">
        <f t="shared" si="10"/>
        <v>0.5</v>
      </c>
      <c r="AW22" s="61">
        <v>2.53019065372014</v>
      </c>
      <c r="AX22" s="61">
        <v>0</v>
      </c>
      <c r="AY22" s="63">
        <f t="shared" si="11"/>
        <v>0</v>
      </c>
      <c r="AZ22" s="61">
        <v>9</v>
      </c>
      <c r="BA22" s="61">
        <v>2</v>
      </c>
      <c r="BB22" s="63">
        <f t="shared" si="12"/>
        <v>0.22222222222222221</v>
      </c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</row>
    <row r="23" spans="1:87" x14ac:dyDescent="0.25">
      <c r="A23" s="128">
        <v>21455</v>
      </c>
      <c r="B23" s="128">
        <v>7787</v>
      </c>
      <c r="C23" s="129">
        <v>1049683111</v>
      </c>
      <c r="D23" s="128" t="s">
        <v>838</v>
      </c>
      <c r="E23" s="128" t="s">
        <v>546</v>
      </c>
      <c r="F23" s="128" t="s">
        <v>546</v>
      </c>
      <c r="G23" s="128" t="s">
        <v>326</v>
      </c>
      <c r="H23" s="128" t="s">
        <v>326</v>
      </c>
      <c r="I23" s="128" t="s">
        <v>1218</v>
      </c>
      <c r="J23" s="128" t="s">
        <v>313</v>
      </c>
      <c r="K23" s="128" t="s">
        <v>325</v>
      </c>
      <c r="L23" s="128">
        <v>73009</v>
      </c>
      <c r="M23" s="128" t="s">
        <v>1144</v>
      </c>
      <c r="N23" s="130">
        <v>6</v>
      </c>
      <c r="O23" s="131">
        <v>0.1</v>
      </c>
      <c r="P23" s="133">
        <v>89064.316390000007</v>
      </c>
      <c r="Q23" s="61">
        <v>77069.58</v>
      </c>
      <c r="R23" s="63">
        <f t="shared" si="0"/>
        <v>0.86532500471370877</v>
      </c>
      <c r="S23" s="61">
        <v>12741.42907</v>
      </c>
      <c r="T23" s="61">
        <v>7315.45</v>
      </c>
      <c r="U23" s="63">
        <f t="shared" si="1"/>
        <v>0.57414674286610456</v>
      </c>
      <c r="V23" s="61">
        <v>25961.318929999998</v>
      </c>
      <c r="W23" s="61">
        <v>12183.68</v>
      </c>
      <c r="X23" s="63">
        <f t="shared" si="2"/>
        <v>0.46930127212916611</v>
      </c>
      <c r="Y23" s="61">
        <v>356.20211</v>
      </c>
      <c r="Z23" s="102">
        <v>0</v>
      </c>
      <c r="AA23" s="63">
        <f t="shared" si="3"/>
        <v>0</v>
      </c>
      <c r="AB23" s="61">
        <v>16</v>
      </c>
      <c r="AC23" s="61">
        <v>6</v>
      </c>
      <c r="AD23" s="63">
        <f t="shared" si="4"/>
        <v>0.375</v>
      </c>
      <c r="AE23" s="61">
        <v>3</v>
      </c>
      <c r="AF23" s="61">
        <v>1</v>
      </c>
      <c r="AG23" s="63">
        <f t="shared" si="5"/>
        <v>0.33333333333333331</v>
      </c>
      <c r="AH23" s="61">
        <v>76</v>
      </c>
      <c r="AI23" s="61">
        <v>25</v>
      </c>
      <c r="AJ23" s="63">
        <f t="shared" si="6"/>
        <v>0.32894736842105265</v>
      </c>
      <c r="AK23" s="61">
        <v>5</v>
      </c>
      <c r="AL23" s="61">
        <v>0</v>
      </c>
      <c r="AM23" s="63">
        <f t="shared" si="7"/>
        <v>0</v>
      </c>
      <c r="AN23" s="61">
        <v>5</v>
      </c>
      <c r="AO23" s="61">
        <v>1</v>
      </c>
      <c r="AP23" s="63">
        <f t="shared" si="8"/>
        <v>0.2</v>
      </c>
      <c r="AQ23" s="61">
        <v>10</v>
      </c>
      <c r="AR23" s="61">
        <v>5</v>
      </c>
      <c r="AS23" s="63">
        <f t="shared" si="9"/>
        <v>0.5</v>
      </c>
      <c r="AT23" s="61">
        <v>5</v>
      </c>
      <c r="AU23" s="61">
        <v>0</v>
      </c>
      <c r="AV23" s="63">
        <f t="shared" si="10"/>
        <v>0</v>
      </c>
      <c r="AW23" s="61">
        <v>2.5829029589998789</v>
      </c>
      <c r="AX23" s="61">
        <v>0</v>
      </c>
      <c r="AY23" s="63">
        <f t="shared" si="11"/>
        <v>0</v>
      </c>
      <c r="AZ23" s="61">
        <v>8</v>
      </c>
      <c r="BA23" s="61">
        <v>0</v>
      </c>
      <c r="BB23" s="63">
        <f t="shared" si="12"/>
        <v>0</v>
      </c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</row>
    <row r="24" spans="1:87" x14ac:dyDescent="0.25">
      <c r="A24" s="128">
        <v>21139</v>
      </c>
      <c r="B24" s="128">
        <v>7787</v>
      </c>
      <c r="C24" s="138">
        <v>1031797200</v>
      </c>
      <c r="D24" s="128" t="s">
        <v>839</v>
      </c>
      <c r="E24" s="128" t="s">
        <v>546</v>
      </c>
      <c r="F24" s="128" t="s">
        <v>546</v>
      </c>
      <c r="G24" s="128" t="s">
        <v>329</v>
      </c>
      <c r="H24" s="128" t="s">
        <v>329</v>
      </c>
      <c r="I24" s="128" t="s">
        <v>1218</v>
      </c>
      <c r="J24" s="128" t="s">
        <v>313</v>
      </c>
      <c r="K24" s="128" t="s">
        <v>325</v>
      </c>
      <c r="L24" s="128">
        <v>73009</v>
      </c>
      <c r="M24" s="139" t="s">
        <v>1143</v>
      </c>
      <c r="N24" s="140"/>
      <c r="O24" s="141">
        <v>0.25</v>
      </c>
      <c r="P24" s="132">
        <v>87803.547500000001</v>
      </c>
      <c r="Q24" s="61">
        <v>82580.919999999984</v>
      </c>
      <c r="R24" s="63">
        <f t="shared" si="0"/>
        <v>0.94051917435340504</v>
      </c>
      <c r="S24" s="61">
        <v>12561.065059999999</v>
      </c>
      <c r="T24" s="61">
        <v>14705.199999999999</v>
      </c>
      <c r="U24" s="63">
        <f t="shared" si="1"/>
        <v>1.1706969058561663</v>
      </c>
      <c r="V24" s="61">
        <v>25593.81796</v>
      </c>
      <c r="W24" s="61">
        <v>13596.950000000003</v>
      </c>
      <c r="X24" s="63">
        <f t="shared" si="2"/>
        <v>0.53125915098913212</v>
      </c>
      <c r="Y24" s="61">
        <v>355.01477</v>
      </c>
      <c r="Z24" s="102">
        <v>120</v>
      </c>
      <c r="AA24" s="63">
        <f t="shared" si="3"/>
        <v>0.33801410572298163</v>
      </c>
      <c r="AB24" s="61">
        <v>15</v>
      </c>
      <c r="AC24" s="61">
        <v>11</v>
      </c>
      <c r="AD24" s="63">
        <f t="shared" si="4"/>
        <v>0.73333333333333328</v>
      </c>
      <c r="AE24" s="61">
        <v>3</v>
      </c>
      <c r="AF24" s="61">
        <v>0</v>
      </c>
      <c r="AG24" s="63">
        <f t="shared" si="5"/>
        <v>0</v>
      </c>
      <c r="AH24" s="61">
        <v>69</v>
      </c>
      <c r="AI24" s="61">
        <v>56</v>
      </c>
      <c r="AJ24" s="63">
        <f t="shared" si="6"/>
        <v>0.81159420289855078</v>
      </c>
      <c r="AK24" s="61">
        <v>5</v>
      </c>
      <c r="AL24" s="61">
        <v>1</v>
      </c>
      <c r="AM24" s="63">
        <f t="shared" si="7"/>
        <v>0.2</v>
      </c>
      <c r="AN24" s="61">
        <v>6</v>
      </c>
      <c r="AO24" s="61">
        <v>5</v>
      </c>
      <c r="AP24" s="63">
        <f t="shared" si="8"/>
        <v>0.83333333333333337</v>
      </c>
      <c r="AQ24" s="61">
        <v>9</v>
      </c>
      <c r="AR24" s="61">
        <v>4</v>
      </c>
      <c r="AS24" s="63">
        <f t="shared" si="9"/>
        <v>0.44444444444444442</v>
      </c>
      <c r="AT24" s="61">
        <v>6</v>
      </c>
      <c r="AU24" s="61">
        <v>2</v>
      </c>
      <c r="AV24" s="63">
        <f t="shared" si="10"/>
        <v>0.33333333333333331</v>
      </c>
      <c r="AW24" s="61">
        <v>2.9226337667487607</v>
      </c>
      <c r="AX24" s="61">
        <v>0</v>
      </c>
      <c r="AY24" s="63">
        <f t="shared" si="11"/>
        <v>0</v>
      </c>
      <c r="AZ24" s="61">
        <v>8</v>
      </c>
      <c r="BA24" s="61">
        <v>8</v>
      </c>
      <c r="BB24" s="63">
        <f t="shared" si="12"/>
        <v>1</v>
      </c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</row>
    <row r="25" spans="1:87" x14ac:dyDescent="0.25">
      <c r="A25" s="128">
        <v>21212</v>
      </c>
      <c r="B25" s="128">
        <v>7787</v>
      </c>
      <c r="C25" s="129">
        <v>1010803540</v>
      </c>
      <c r="D25" s="128" t="s">
        <v>879</v>
      </c>
      <c r="E25" s="128" t="s">
        <v>546</v>
      </c>
      <c r="F25" s="128" t="s">
        <v>546</v>
      </c>
      <c r="G25" s="128" t="s">
        <v>363</v>
      </c>
      <c r="H25" s="128" t="s">
        <v>363</v>
      </c>
      <c r="I25" s="128" t="s">
        <v>1218</v>
      </c>
      <c r="J25" s="128" t="s">
        <v>313</v>
      </c>
      <c r="K25" s="128" t="s">
        <v>325</v>
      </c>
      <c r="L25" s="128">
        <v>73009</v>
      </c>
      <c r="M25" s="142" t="s">
        <v>1144</v>
      </c>
      <c r="N25" s="130">
        <v>5</v>
      </c>
      <c r="O25" s="131">
        <v>0.1</v>
      </c>
      <c r="P25" s="133">
        <v>89154.371310000002</v>
      </c>
      <c r="Q25" s="61">
        <v>31196.54</v>
      </c>
      <c r="R25" s="63">
        <f t="shared" si="0"/>
        <v>0.34991598888097192</v>
      </c>
      <c r="S25" s="61">
        <v>12754.31221</v>
      </c>
      <c r="T25" s="61">
        <v>312.17</v>
      </c>
      <c r="U25" s="63">
        <f t="shared" si="1"/>
        <v>2.4475643598817001E-2</v>
      </c>
      <c r="V25" s="61">
        <v>25987.569010000007</v>
      </c>
      <c r="W25" s="61">
        <v>7070.8600000000006</v>
      </c>
      <c r="X25" s="63">
        <f t="shared" si="2"/>
        <v>0.27208624235991974</v>
      </c>
      <c r="Y25" s="61">
        <v>353.82742000000002</v>
      </c>
      <c r="Z25" s="102">
        <v>0</v>
      </c>
      <c r="AA25" s="63">
        <f t="shared" si="3"/>
        <v>0</v>
      </c>
      <c r="AB25" s="61">
        <v>16</v>
      </c>
      <c r="AC25" s="61">
        <v>6</v>
      </c>
      <c r="AD25" s="63">
        <f t="shared" si="4"/>
        <v>0.375</v>
      </c>
      <c r="AE25" s="61">
        <v>3</v>
      </c>
      <c r="AF25" s="61">
        <v>0</v>
      </c>
      <c r="AG25" s="63">
        <f t="shared" si="5"/>
        <v>0</v>
      </c>
      <c r="AH25" s="61">
        <v>76</v>
      </c>
      <c r="AI25" s="61">
        <v>43</v>
      </c>
      <c r="AJ25" s="63">
        <f t="shared" si="6"/>
        <v>0.56578947368421051</v>
      </c>
      <c r="AK25" s="61">
        <v>5</v>
      </c>
      <c r="AL25" s="61">
        <v>1</v>
      </c>
      <c r="AM25" s="63">
        <f t="shared" si="7"/>
        <v>0.2</v>
      </c>
      <c r="AN25" s="61">
        <v>5</v>
      </c>
      <c r="AO25" s="61">
        <v>4</v>
      </c>
      <c r="AP25" s="63">
        <f t="shared" si="8"/>
        <v>0.8</v>
      </c>
      <c r="AQ25" s="61">
        <v>10</v>
      </c>
      <c r="AR25" s="61">
        <v>0</v>
      </c>
      <c r="AS25" s="63">
        <f t="shared" si="9"/>
        <v>0</v>
      </c>
      <c r="AT25" s="61">
        <v>4</v>
      </c>
      <c r="AU25" s="61">
        <v>0</v>
      </c>
      <c r="AV25" s="63">
        <f t="shared" si="10"/>
        <v>0</v>
      </c>
      <c r="AW25" s="61">
        <v>2.580267343750525</v>
      </c>
      <c r="AX25" s="61">
        <v>0</v>
      </c>
      <c r="AY25" s="63">
        <f t="shared" si="11"/>
        <v>0</v>
      </c>
      <c r="AZ25" s="61">
        <v>8</v>
      </c>
      <c r="BA25" s="61">
        <v>0</v>
      </c>
      <c r="BB25" s="63">
        <f t="shared" si="12"/>
        <v>0</v>
      </c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</row>
    <row r="26" spans="1:87" x14ac:dyDescent="0.25">
      <c r="A26" s="213">
        <v>27666</v>
      </c>
      <c r="B26" s="213">
        <v>7787</v>
      </c>
      <c r="C26" s="214">
        <v>1002553905</v>
      </c>
      <c r="D26" s="213" t="s">
        <v>844</v>
      </c>
      <c r="E26" s="213" t="s">
        <v>546</v>
      </c>
      <c r="F26" s="213" t="s">
        <v>546</v>
      </c>
      <c r="G26" s="213" t="s">
        <v>346</v>
      </c>
      <c r="H26" s="213" t="s">
        <v>346</v>
      </c>
      <c r="I26" s="213" t="s">
        <v>1218</v>
      </c>
      <c r="J26" s="213" t="s">
        <v>313</v>
      </c>
      <c r="K26" s="213" t="s">
        <v>325</v>
      </c>
      <c r="L26" s="213">
        <v>73009</v>
      </c>
      <c r="M26" s="215" t="s">
        <v>1215</v>
      </c>
      <c r="N26" s="216"/>
      <c r="O26" s="217"/>
      <c r="P26" s="218">
        <v>102489.25366</v>
      </c>
      <c r="Q26" s="61">
        <v>94572.239999999991</v>
      </c>
      <c r="R26" s="63">
        <f t="shared" si="0"/>
        <v>0.92275274355822634</v>
      </c>
      <c r="S26" s="61">
        <v>14661.983709999999</v>
      </c>
      <c r="T26" s="61">
        <v>17082.62</v>
      </c>
      <c r="U26" s="63">
        <f t="shared" si="1"/>
        <v>1.1650960973547555</v>
      </c>
      <c r="V26" s="61">
        <v>29874.548060000001</v>
      </c>
      <c r="W26" s="61">
        <v>19008.249999999993</v>
      </c>
      <c r="X26" s="63">
        <f t="shared" si="2"/>
        <v>0.63626903951229152</v>
      </c>
      <c r="Y26" s="61">
        <v>352.64008000000001</v>
      </c>
      <c r="Z26" s="102">
        <v>0</v>
      </c>
      <c r="AA26" s="63">
        <f t="shared" si="3"/>
        <v>0</v>
      </c>
      <c r="AB26" s="61">
        <v>20</v>
      </c>
      <c r="AC26" s="61">
        <v>11</v>
      </c>
      <c r="AD26" s="63">
        <f t="shared" si="4"/>
        <v>0.55000000000000004</v>
      </c>
      <c r="AE26" s="61">
        <v>3</v>
      </c>
      <c r="AF26" s="61">
        <v>1</v>
      </c>
      <c r="AG26" s="63">
        <f t="shared" si="5"/>
        <v>0.33333333333333331</v>
      </c>
      <c r="AH26" s="61">
        <v>87</v>
      </c>
      <c r="AI26" s="61">
        <v>90</v>
      </c>
      <c r="AJ26" s="63">
        <f t="shared" si="6"/>
        <v>1.0344827586206897</v>
      </c>
      <c r="AK26" s="61">
        <v>5</v>
      </c>
      <c r="AL26" s="61">
        <v>3</v>
      </c>
      <c r="AM26" s="63">
        <f t="shared" si="7"/>
        <v>0.6</v>
      </c>
      <c r="AN26" s="61">
        <v>6</v>
      </c>
      <c r="AO26" s="61">
        <v>2</v>
      </c>
      <c r="AP26" s="63">
        <f t="shared" si="8"/>
        <v>0.33333333333333331</v>
      </c>
      <c r="AQ26" s="61">
        <v>11</v>
      </c>
      <c r="AR26" s="61">
        <v>7</v>
      </c>
      <c r="AS26" s="63">
        <f t="shared" si="9"/>
        <v>0.63636363636363635</v>
      </c>
      <c r="AT26" s="61">
        <v>6</v>
      </c>
      <c r="AU26" s="61">
        <v>7</v>
      </c>
      <c r="AV26" s="63">
        <f t="shared" si="10"/>
        <v>1.1666666666666667</v>
      </c>
      <c r="AW26" s="61">
        <v>2.9226337667487607</v>
      </c>
      <c r="AX26" s="61">
        <v>0</v>
      </c>
      <c r="AY26" s="63">
        <f t="shared" si="11"/>
        <v>0</v>
      </c>
      <c r="AZ26" s="61">
        <v>9</v>
      </c>
      <c r="BA26" s="61">
        <v>0</v>
      </c>
      <c r="BB26" s="63">
        <f t="shared" si="12"/>
        <v>0</v>
      </c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</row>
    <row r="27" spans="1:87" x14ac:dyDescent="0.25">
      <c r="A27" s="206">
        <v>5177</v>
      </c>
      <c r="B27" s="207">
        <v>7787</v>
      </c>
      <c r="C27" s="219">
        <v>1068470671</v>
      </c>
      <c r="D27" s="207" t="s">
        <v>842</v>
      </c>
      <c r="E27" s="207" t="s">
        <v>546</v>
      </c>
      <c r="F27" s="207" t="s">
        <v>546</v>
      </c>
      <c r="G27" s="207" t="s">
        <v>356</v>
      </c>
      <c r="H27" s="207" t="s">
        <v>357</v>
      </c>
      <c r="I27" s="207" t="s">
        <v>1218</v>
      </c>
      <c r="J27" s="207" t="s">
        <v>313</v>
      </c>
      <c r="K27" s="207" t="s">
        <v>325</v>
      </c>
      <c r="L27" s="207">
        <v>73009</v>
      </c>
      <c r="M27" s="220" t="s">
        <v>1215</v>
      </c>
      <c r="N27" s="221"/>
      <c r="O27" s="221"/>
      <c r="P27" s="211">
        <v>102489.25366</v>
      </c>
      <c r="Q27" s="61">
        <v>98957.48000000001</v>
      </c>
      <c r="R27" s="63">
        <f t="shared" si="0"/>
        <v>0.96554005874882876</v>
      </c>
      <c r="S27" s="61">
        <v>14661.983709999999</v>
      </c>
      <c r="T27" s="61">
        <v>10960.880000000001</v>
      </c>
      <c r="U27" s="63">
        <f t="shared" si="1"/>
        <v>0.7475714212207375</v>
      </c>
      <c r="V27" s="61">
        <v>29874.548060000001</v>
      </c>
      <c r="W27" s="61">
        <v>22393.439999999995</v>
      </c>
      <c r="X27" s="63">
        <f t="shared" si="2"/>
        <v>0.749582552848165</v>
      </c>
      <c r="Y27" s="61">
        <v>351.45274000000001</v>
      </c>
      <c r="Z27" s="102">
        <v>0</v>
      </c>
      <c r="AA27" s="63">
        <f t="shared" si="3"/>
        <v>0</v>
      </c>
      <c r="AB27" s="61">
        <v>20</v>
      </c>
      <c r="AC27" s="61">
        <v>10</v>
      </c>
      <c r="AD27" s="63">
        <f t="shared" si="4"/>
        <v>0.5</v>
      </c>
      <c r="AE27" s="61">
        <v>3</v>
      </c>
      <c r="AF27" s="61">
        <v>2</v>
      </c>
      <c r="AG27" s="63">
        <f t="shared" si="5"/>
        <v>0.66666666666666663</v>
      </c>
      <c r="AH27" s="61">
        <v>87</v>
      </c>
      <c r="AI27" s="61">
        <v>73</v>
      </c>
      <c r="AJ27" s="63">
        <f t="shared" si="6"/>
        <v>0.83908045977011492</v>
      </c>
      <c r="AK27" s="61">
        <v>5</v>
      </c>
      <c r="AL27" s="61">
        <v>2</v>
      </c>
      <c r="AM27" s="63">
        <f t="shared" si="7"/>
        <v>0.4</v>
      </c>
      <c r="AN27" s="61">
        <v>6</v>
      </c>
      <c r="AO27" s="61">
        <v>3</v>
      </c>
      <c r="AP27" s="63">
        <f t="shared" si="8"/>
        <v>0.5</v>
      </c>
      <c r="AQ27" s="61">
        <v>11</v>
      </c>
      <c r="AR27" s="61">
        <v>3</v>
      </c>
      <c r="AS27" s="63">
        <f t="shared" si="9"/>
        <v>0.27272727272727271</v>
      </c>
      <c r="AT27" s="61">
        <v>6</v>
      </c>
      <c r="AU27" s="61">
        <v>2</v>
      </c>
      <c r="AV27" s="63">
        <f t="shared" si="10"/>
        <v>0.33333333333333331</v>
      </c>
      <c r="AW27" s="61">
        <v>2.9226337667487607</v>
      </c>
      <c r="AX27" s="61">
        <v>0</v>
      </c>
      <c r="AY27" s="63">
        <f t="shared" si="11"/>
        <v>0</v>
      </c>
      <c r="AZ27" s="61">
        <v>9</v>
      </c>
      <c r="BA27" s="61">
        <v>6</v>
      </c>
      <c r="BB27" s="63">
        <f t="shared" si="12"/>
        <v>0.66666666666666663</v>
      </c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</row>
    <row r="28" spans="1:87" x14ac:dyDescent="0.25">
      <c r="A28" s="128">
        <v>21515</v>
      </c>
      <c r="B28" s="128">
        <v>7787</v>
      </c>
      <c r="C28" s="129">
        <v>1027399235</v>
      </c>
      <c r="D28" s="128" t="s">
        <v>841</v>
      </c>
      <c r="E28" s="128" t="s">
        <v>546</v>
      </c>
      <c r="F28" s="128" t="s">
        <v>546</v>
      </c>
      <c r="G28" s="128" t="s">
        <v>446</v>
      </c>
      <c r="H28" s="128" t="s">
        <v>446</v>
      </c>
      <c r="I28" s="128" t="s">
        <v>1218</v>
      </c>
      <c r="J28" s="128" t="s">
        <v>313</v>
      </c>
      <c r="K28" s="128" t="s">
        <v>325</v>
      </c>
      <c r="L28" s="128">
        <v>73009</v>
      </c>
      <c r="M28" s="128" t="s">
        <v>1143</v>
      </c>
      <c r="N28" s="130"/>
      <c r="O28" s="131">
        <v>0.4</v>
      </c>
      <c r="P28" s="132">
        <v>70242.838000000003</v>
      </c>
      <c r="Q28" s="61">
        <v>19788.7</v>
      </c>
      <c r="R28" s="63">
        <f t="shared" si="0"/>
        <v>0.28171840095640782</v>
      </c>
      <c r="S28" s="61">
        <v>10048.85205</v>
      </c>
      <c r="T28" s="61">
        <v>11894.869999999999</v>
      </c>
      <c r="U28" s="63">
        <f t="shared" si="1"/>
        <v>1.1837043615345098</v>
      </c>
      <c r="V28" s="61">
        <v>20475.054369999998</v>
      </c>
      <c r="W28" s="61">
        <v>1870.7800000000002</v>
      </c>
      <c r="X28" s="63">
        <f t="shared" si="2"/>
        <v>9.1368743945367134E-2</v>
      </c>
      <c r="Y28" s="61">
        <v>118.73403999999999</v>
      </c>
      <c r="Z28" s="102">
        <v>0</v>
      </c>
      <c r="AA28" s="63">
        <f t="shared" si="3"/>
        <v>0</v>
      </c>
      <c r="AB28" s="61">
        <v>10</v>
      </c>
      <c r="AC28" s="61">
        <v>9</v>
      </c>
      <c r="AD28" s="63">
        <f t="shared" si="4"/>
        <v>0.9</v>
      </c>
      <c r="AE28" s="61">
        <v>1</v>
      </c>
      <c r="AF28" s="61">
        <v>1</v>
      </c>
      <c r="AG28" s="63">
        <f t="shared" si="5"/>
        <v>1</v>
      </c>
      <c r="AH28" s="61">
        <v>42</v>
      </c>
      <c r="AI28" s="61">
        <v>43</v>
      </c>
      <c r="AJ28" s="63">
        <f t="shared" si="6"/>
        <v>1.0238095238095237</v>
      </c>
      <c r="AK28" s="61">
        <v>3</v>
      </c>
      <c r="AL28" s="61">
        <v>1</v>
      </c>
      <c r="AM28" s="63">
        <f t="shared" si="7"/>
        <v>0.33333333333333331</v>
      </c>
      <c r="AN28" s="61">
        <v>4</v>
      </c>
      <c r="AO28" s="61">
        <v>2</v>
      </c>
      <c r="AP28" s="63">
        <f t="shared" si="8"/>
        <v>0.5</v>
      </c>
      <c r="AQ28" s="61">
        <v>6</v>
      </c>
      <c r="AR28" s="61">
        <v>1</v>
      </c>
      <c r="AS28" s="63">
        <f t="shared" si="9"/>
        <v>0.16666666666666666</v>
      </c>
      <c r="AT28" s="61">
        <v>3</v>
      </c>
      <c r="AU28" s="61">
        <v>0</v>
      </c>
      <c r="AV28" s="63">
        <f t="shared" si="10"/>
        <v>0</v>
      </c>
      <c r="AW28" s="61">
        <v>2.0557799062024888</v>
      </c>
      <c r="AX28" s="61">
        <v>0</v>
      </c>
      <c r="AY28" s="63">
        <f t="shared" si="11"/>
        <v>0</v>
      </c>
      <c r="AZ28" s="61">
        <v>5</v>
      </c>
      <c r="BA28" s="61">
        <v>0</v>
      </c>
      <c r="BB28" s="63">
        <f t="shared" si="12"/>
        <v>0</v>
      </c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</row>
    <row r="29" spans="1:87" x14ac:dyDescent="0.25">
      <c r="A29" s="128">
        <v>21145</v>
      </c>
      <c r="B29" s="128">
        <v>7787</v>
      </c>
      <c r="C29" s="129">
        <v>1005302656</v>
      </c>
      <c r="D29" s="128" t="s">
        <v>845</v>
      </c>
      <c r="E29" s="128" t="s">
        <v>546</v>
      </c>
      <c r="F29" s="128" t="s">
        <v>546</v>
      </c>
      <c r="G29" s="128" t="s">
        <v>331</v>
      </c>
      <c r="H29" s="128" t="s">
        <v>331</v>
      </c>
      <c r="I29" s="128" t="s">
        <v>1218</v>
      </c>
      <c r="J29" s="128" t="s">
        <v>313</v>
      </c>
      <c r="K29" s="128" t="s">
        <v>325</v>
      </c>
      <c r="L29" s="128">
        <v>73009</v>
      </c>
      <c r="M29" s="128" t="s">
        <v>1220</v>
      </c>
      <c r="N29" s="130"/>
      <c r="O29" s="131"/>
      <c r="P29" s="133">
        <v>102489.25366</v>
      </c>
      <c r="Q29" s="61">
        <v>126536.57</v>
      </c>
      <c r="R29" s="63">
        <f t="shared" si="0"/>
        <v>1.234632563720047</v>
      </c>
      <c r="S29" s="61">
        <v>14661.983709999999</v>
      </c>
      <c r="T29" s="61">
        <v>5997.4</v>
      </c>
      <c r="U29" s="63">
        <f t="shared" si="1"/>
        <v>0.40904424112199483</v>
      </c>
      <c r="V29" s="61">
        <v>29874.548060000001</v>
      </c>
      <c r="W29" s="61">
        <v>32147.739999999994</v>
      </c>
      <c r="X29" s="63">
        <f t="shared" si="2"/>
        <v>1.0760912578638686</v>
      </c>
      <c r="Y29" s="61">
        <v>350.2654</v>
      </c>
      <c r="Z29" s="102">
        <v>0</v>
      </c>
      <c r="AA29" s="63">
        <f t="shared" si="3"/>
        <v>0</v>
      </c>
      <c r="AB29" s="61">
        <v>20</v>
      </c>
      <c r="AC29" s="61">
        <v>9</v>
      </c>
      <c r="AD29" s="63">
        <f t="shared" si="4"/>
        <v>0.45</v>
      </c>
      <c r="AE29" s="61">
        <v>3</v>
      </c>
      <c r="AF29" s="61">
        <v>0</v>
      </c>
      <c r="AG29" s="63">
        <f t="shared" si="5"/>
        <v>0</v>
      </c>
      <c r="AH29" s="61">
        <v>86</v>
      </c>
      <c r="AI29" s="61">
        <v>72</v>
      </c>
      <c r="AJ29" s="63">
        <f t="shared" si="6"/>
        <v>0.83720930232558144</v>
      </c>
      <c r="AK29" s="61">
        <v>5</v>
      </c>
      <c r="AL29" s="61">
        <v>1</v>
      </c>
      <c r="AM29" s="63">
        <f t="shared" si="7"/>
        <v>0.2</v>
      </c>
      <c r="AN29" s="61">
        <v>6</v>
      </c>
      <c r="AO29" s="61">
        <v>4</v>
      </c>
      <c r="AP29" s="63">
        <f t="shared" si="8"/>
        <v>0.66666666666666663</v>
      </c>
      <c r="AQ29" s="61">
        <v>11</v>
      </c>
      <c r="AR29" s="61">
        <v>6</v>
      </c>
      <c r="AS29" s="63">
        <f t="shared" si="9"/>
        <v>0.54545454545454541</v>
      </c>
      <c r="AT29" s="61">
        <v>10</v>
      </c>
      <c r="AU29" s="61">
        <v>6</v>
      </c>
      <c r="AV29" s="63">
        <f t="shared" si="10"/>
        <v>0.6</v>
      </c>
      <c r="AW29" s="61">
        <v>18.381571538458672</v>
      </c>
      <c r="AX29" s="61">
        <v>0</v>
      </c>
      <c r="AY29" s="63">
        <f t="shared" si="11"/>
        <v>0</v>
      </c>
      <c r="AZ29" s="61">
        <v>9</v>
      </c>
      <c r="BA29" s="61">
        <v>3</v>
      </c>
      <c r="BB29" s="63">
        <f t="shared" si="12"/>
        <v>0.33333333333333331</v>
      </c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</row>
    <row r="30" spans="1:87" x14ac:dyDescent="0.25">
      <c r="A30" s="128">
        <v>9860</v>
      </c>
      <c r="B30" s="128">
        <v>7787</v>
      </c>
      <c r="C30" s="129">
        <v>1077552790</v>
      </c>
      <c r="D30" s="128" t="s">
        <v>865</v>
      </c>
      <c r="E30" s="128" t="s">
        <v>546</v>
      </c>
      <c r="F30" s="128" t="s">
        <v>546</v>
      </c>
      <c r="G30" s="128" t="s">
        <v>365</v>
      </c>
      <c r="H30" s="128" t="s">
        <v>366</v>
      </c>
      <c r="I30" s="128" t="s">
        <v>1218</v>
      </c>
      <c r="J30" s="128" t="s">
        <v>313</v>
      </c>
      <c r="K30" s="128" t="s">
        <v>325</v>
      </c>
      <c r="L30" s="128">
        <v>73009</v>
      </c>
      <c r="M30" s="128" t="s">
        <v>1149</v>
      </c>
      <c r="N30" s="130"/>
      <c r="O30" s="131"/>
      <c r="P30" s="132">
        <v>87803.547500000001</v>
      </c>
      <c r="Q30" s="61">
        <v>44671.320000000007</v>
      </c>
      <c r="R30" s="63">
        <f t="shared" si="0"/>
        <v>0.50876440954734781</v>
      </c>
      <c r="S30" s="61">
        <v>12561.065059999999</v>
      </c>
      <c r="T30" s="61">
        <v>18186.090000000004</v>
      </c>
      <c r="U30" s="63">
        <f t="shared" si="1"/>
        <v>1.447814330483215</v>
      </c>
      <c r="V30" s="61">
        <v>25593.81796</v>
      </c>
      <c r="W30" s="61">
        <v>6555.6600000000008</v>
      </c>
      <c r="X30" s="63">
        <f t="shared" si="2"/>
        <v>0.25614232351912847</v>
      </c>
      <c r="Y30" s="61">
        <v>5904.0499</v>
      </c>
      <c r="Z30" s="102">
        <v>1604</v>
      </c>
      <c r="AA30" s="63">
        <f t="shared" si="3"/>
        <v>0.27167792060836071</v>
      </c>
      <c r="AB30" s="61">
        <v>20</v>
      </c>
      <c r="AC30" s="61">
        <v>14</v>
      </c>
      <c r="AD30" s="63">
        <f t="shared" si="4"/>
        <v>0.7</v>
      </c>
      <c r="AE30" s="61">
        <v>3</v>
      </c>
      <c r="AF30" s="61">
        <v>1</v>
      </c>
      <c r="AG30" s="63">
        <f t="shared" si="5"/>
        <v>0.33333333333333331</v>
      </c>
      <c r="AH30" s="61">
        <v>86</v>
      </c>
      <c r="AI30" s="61">
        <v>42</v>
      </c>
      <c r="AJ30" s="63">
        <f t="shared" si="6"/>
        <v>0.48837209302325579</v>
      </c>
      <c r="AK30" s="61">
        <v>5</v>
      </c>
      <c r="AL30" s="61">
        <v>3</v>
      </c>
      <c r="AM30" s="63">
        <f t="shared" si="7"/>
        <v>0.6</v>
      </c>
      <c r="AN30" s="61">
        <v>6</v>
      </c>
      <c r="AO30" s="61">
        <v>3</v>
      </c>
      <c r="AP30" s="63">
        <f t="shared" si="8"/>
        <v>0.5</v>
      </c>
      <c r="AQ30" s="61">
        <v>11</v>
      </c>
      <c r="AR30" s="61">
        <v>2</v>
      </c>
      <c r="AS30" s="63">
        <f t="shared" si="9"/>
        <v>0.18181818181818182</v>
      </c>
      <c r="AT30" s="61">
        <v>5</v>
      </c>
      <c r="AU30" s="61">
        <v>5</v>
      </c>
      <c r="AV30" s="63">
        <f t="shared" si="10"/>
        <v>1</v>
      </c>
      <c r="AW30" s="61">
        <v>2.9226337667487607</v>
      </c>
      <c r="AX30" s="61">
        <v>0</v>
      </c>
      <c r="AY30" s="63">
        <f t="shared" si="11"/>
        <v>0</v>
      </c>
      <c r="AZ30" s="61">
        <v>9</v>
      </c>
      <c r="BA30" s="61">
        <v>2</v>
      </c>
      <c r="BB30" s="63">
        <f t="shared" si="12"/>
        <v>0.22222222222222221</v>
      </c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</row>
    <row r="31" spans="1:87" x14ac:dyDescent="0.25">
      <c r="A31" s="128">
        <v>21205</v>
      </c>
      <c r="B31" s="128">
        <v>7787</v>
      </c>
      <c r="C31" s="129">
        <v>1004938344</v>
      </c>
      <c r="D31" s="128" t="s">
        <v>846</v>
      </c>
      <c r="E31" s="128" t="s">
        <v>546</v>
      </c>
      <c r="F31" s="128" t="s">
        <v>546</v>
      </c>
      <c r="G31" s="128" t="s">
        <v>332</v>
      </c>
      <c r="H31" s="128" t="s">
        <v>332</v>
      </c>
      <c r="I31" s="128" t="s">
        <v>1218</v>
      </c>
      <c r="J31" s="128" t="s">
        <v>313</v>
      </c>
      <c r="K31" s="128" t="s">
        <v>325</v>
      </c>
      <c r="L31" s="128">
        <v>73009</v>
      </c>
      <c r="M31" s="128"/>
      <c r="N31" s="130"/>
      <c r="O31" s="131"/>
      <c r="P31" s="133">
        <v>90045.91502</v>
      </c>
      <c r="Q31" s="61">
        <v>50514.8</v>
      </c>
      <c r="R31" s="63">
        <f t="shared" si="0"/>
        <v>0.56098935736041122</v>
      </c>
      <c r="S31" s="61">
        <v>12881.855339999998</v>
      </c>
      <c r="T31" s="61">
        <v>9388.7099999999991</v>
      </c>
      <c r="U31" s="63">
        <f t="shared" si="1"/>
        <v>0.72883212489172389</v>
      </c>
      <c r="V31" s="61">
        <v>26247.44471</v>
      </c>
      <c r="W31" s="61">
        <v>6646.52</v>
      </c>
      <c r="X31" s="63">
        <f t="shared" si="2"/>
        <v>0.25322541197573212</v>
      </c>
      <c r="Y31" s="61">
        <v>349.07805999999999</v>
      </c>
      <c r="Z31" s="102">
        <v>0</v>
      </c>
      <c r="AA31" s="63">
        <f t="shared" si="3"/>
        <v>0</v>
      </c>
      <c r="AB31" s="61">
        <v>20</v>
      </c>
      <c r="AC31" s="61">
        <v>9</v>
      </c>
      <c r="AD31" s="63">
        <f t="shared" si="4"/>
        <v>0.45</v>
      </c>
      <c r="AE31" s="61">
        <v>3</v>
      </c>
      <c r="AF31" s="61">
        <v>2</v>
      </c>
      <c r="AG31" s="63">
        <f t="shared" si="5"/>
        <v>0.66666666666666663</v>
      </c>
      <c r="AH31" s="61">
        <v>86</v>
      </c>
      <c r="AI31" s="61">
        <v>40</v>
      </c>
      <c r="AJ31" s="63">
        <f t="shared" si="6"/>
        <v>0.46511627906976744</v>
      </c>
      <c r="AK31" s="61">
        <v>5</v>
      </c>
      <c r="AL31" s="61">
        <v>1</v>
      </c>
      <c r="AM31" s="63">
        <f t="shared" si="7"/>
        <v>0.2</v>
      </c>
      <c r="AN31" s="61">
        <v>6</v>
      </c>
      <c r="AO31" s="61">
        <v>4</v>
      </c>
      <c r="AP31" s="63">
        <f t="shared" si="8"/>
        <v>0.66666666666666663</v>
      </c>
      <c r="AQ31" s="61">
        <v>11</v>
      </c>
      <c r="AR31" s="61">
        <v>2</v>
      </c>
      <c r="AS31" s="63">
        <f t="shared" si="9"/>
        <v>0.18181818181818182</v>
      </c>
      <c r="AT31" s="61">
        <v>6</v>
      </c>
      <c r="AU31" s="61">
        <v>2</v>
      </c>
      <c r="AV31" s="63">
        <f t="shared" si="10"/>
        <v>0.33333333333333331</v>
      </c>
      <c r="AW31" s="61">
        <v>2.5829029589998789</v>
      </c>
      <c r="AX31" s="61">
        <v>0</v>
      </c>
      <c r="AY31" s="63">
        <f t="shared" si="11"/>
        <v>0</v>
      </c>
      <c r="AZ31" s="61">
        <v>9</v>
      </c>
      <c r="BA31" s="61">
        <v>2</v>
      </c>
      <c r="BB31" s="63">
        <f t="shared" si="12"/>
        <v>0.22222222222222221</v>
      </c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</row>
    <row r="32" spans="1:87" x14ac:dyDescent="0.25">
      <c r="A32" s="128">
        <v>8842</v>
      </c>
      <c r="B32" s="128">
        <v>7787</v>
      </c>
      <c r="C32" s="129">
        <v>1019831138</v>
      </c>
      <c r="D32" s="128" t="s">
        <v>847</v>
      </c>
      <c r="E32" s="128" t="s">
        <v>546</v>
      </c>
      <c r="F32" s="128" t="s">
        <v>546</v>
      </c>
      <c r="G32" s="128" t="s">
        <v>333</v>
      </c>
      <c r="H32" s="128" t="s">
        <v>333</v>
      </c>
      <c r="I32" s="128" t="s">
        <v>1218</v>
      </c>
      <c r="J32" s="128" t="s">
        <v>313</v>
      </c>
      <c r="K32" s="128" t="s">
        <v>325</v>
      </c>
      <c r="L32" s="128">
        <v>73009</v>
      </c>
      <c r="M32" s="128" t="s">
        <v>1215</v>
      </c>
      <c r="N32" s="130"/>
      <c r="O32" s="131"/>
      <c r="P32" s="132">
        <v>102489.25366</v>
      </c>
      <c r="Q32" s="61">
        <v>150586.15000000002</v>
      </c>
      <c r="R32" s="63">
        <f t="shared" si="0"/>
        <v>1.4692872142435311</v>
      </c>
      <c r="S32" s="61">
        <v>14661.983709999999</v>
      </c>
      <c r="T32" s="61">
        <v>14352.18</v>
      </c>
      <c r="U32" s="63">
        <f t="shared" si="1"/>
        <v>0.97887027320943609</v>
      </c>
      <c r="V32" s="61">
        <v>29874.548060000001</v>
      </c>
      <c r="W32" s="61">
        <v>20013.91</v>
      </c>
      <c r="X32" s="63">
        <f t="shared" si="2"/>
        <v>0.66993180816674081</v>
      </c>
      <c r="Y32" s="61">
        <v>347.89071999999999</v>
      </c>
      <c r="Z32" s="102">
        <v>0</v>
      </c>
      <c r="AA32" s="63">
        <f t="shared" si="3"/>
        <v>0</v>
      </c>
      <c r="AB32" s="61">
        <v>20</v>
      </c>
      <c r="AC32" s="61">
        <v>13</v>
      </c>
      <c r="AD32" s="63">
        <f t="shared" si="4"/>
        <v>0.65</v>
      </c>
      <c r="AE32" s="61">
        <v>3</v>
      </c>
      <c r="AF32" s="61">
        <v>2</v>
      </c>
      <c r="AG32" s="63">
        <f t="shared" si="5"/>
        <v>0.66666666666666663</v>
      </c>
      <c r="AH32" s="61">
        <v>86</v>
      </c>
      <c r="AI32" s="61">
        <v>44</v>
      </c>
      <c r="AJ32" s="63">
        <f t="shared" si="6"/>
        <v>0.51162790697674421</v>
      </c>
      <c r="AK32" s="61">
        <v>5</v>
      </c>
      <c r="AL32" s="61">
        <v>4</v>
      </c>
      <c r="AM32" s="63">
        <f t="shared" si="7"/>
        <v>0.8</v>
      </c>
      <c r="AN32" s="61">
        <v>6</v>
      </c>
      <c r="AO32" s="61">
        <v>0</v>
      </c>
      <c r="AP32" s="63">
        <f t="shared" si="8"/>
        <v>0</v>
      </c>
      <c r="AQ32" s="61">
        <v>11</v>
      </c>
      <c r="AR32" s="61">
        <v>7</v>
      </c>
      <c r="AS32" s="63">
        <f t="shared" si="9"/>
        <v>0.63636363636363635</v>
      </c>
      <c r="AT32" s="61">
        <v>6</v>
      </c>
      <c r="AU32" s="61">
        <v>4</v>
      </c>
      <c r="AV32" s="63">
        <f t="shared" si="10"/>
        <v>0.66666666666666663</v>
      </c>
      <c r="AW32" s="61">
        <v>2.6356152642796178</v>
      </c>
      <c r="AX32" s="61">
        <v>0</v>
      </c>
      <c r="AY32" s="63">
        <f t="shared" si="11"/>
        <v>0</v>
      </c>
      <c r="AZ32" s="61">
        <v>9</v>
      </c>
      <c r="BA32" s="61">
        <v>3</v>
      </c>
      <c r="BB32" s="63">
        <f t="shared" si="12"/>
        <v>0.33333333333333331</v>
      </c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</row>
    <row r="33" spans="1:87" x14ac:dyDescent="0.25">
      <c r="A33" s="206">
        <v>8778</v>
      </c>
      <c r="B33" s="207">
        <v>7787</v>
      </c>
      <c r="C33" s="208">
        <v>1003737390</v>
      </c>
      <c r="D33" s="207" t="s">
        <v>832</v>
      </c>
      <c r="E33" s="207" t="s">
        <v>546</v>
      </c>
      <c r="F33" s="207" t="s">
        <v>546</v>
      </c>
      <c r="G33" s="207" t="s">
        <v>367</v>
      </c>
      <c r="H33" s="207" t="s">
        <v>367</v>
      </c>
      <c r="I33" s="207" t="s">
        <v>1218</v>
      </c>
      <c r="J33" s="207" t="s">
        <v>313</v>
      </c>
      <c r="K33" s="207" t="s">
        <v>325</v>
      </c>
      <c r="L33" s="207">
        <v>73009</v>
      </c>
      <c r="M33" s="207"/>
      <c r="N33" s="209"/>
      <c r="O33" s="210"/>
      <c r="P33" s="211">
        <v>90054.920509999996</v>
      </c>
      <c r="Q33" s="61">
        <v>59644.39</v>
      </c>
      <c r="R33" s="63">
        <f t="shared" si="0"/>
        <v>0.66231128362804881</v>
      </c>
      <c r="S33" s="61">
        <v>12883.143650000002</v>
      </c>
      <c r="T33" s="61">
        <v>9700.8799999999992</v>
      </c>
      <c r="U33" s="63">
        <f t="shared" si="1"/>
        <v>0.75299012908235308</v>
      </c>
      <c r="V33" s="61">
        <v>26250.0697</v>
      </c>
      <c r="W33" s="61">
        <v>23162.94</v>
      </c>
      <c r="X33" s="63">
        <f t="shared" si="2"/>
        <v>0.88239537131590928</v>
      </c>
      <c r="Y33" s="61">
        <v>346.70337999999998</v>
      </c>
      <c r="Z33" s="102">
        <v>0</v>
      </c>
      <c r="AA33" s="63">
        <f t="shared" si="3"/>
        <v>0</v>
      </c>
      <c r="AB33" s="61">
        <v>20</v>
      </c>
      <c r="AC33" s="61">
        <v>14</v>
      </c>
      <c r="AD33" s="63">
        <f t="shared" si="4"/>
        <v>0.7</v>
      </c>
      <c r="AE33" s="61">
        <v>3</v>
      </c>
      <c r="AF33" s="61">
        <v>2</v>
      </c>
      <c r="AG33" s="63">
        <f t="shared" si="5"/>
        <v>0.66666666666666663</v>
      </c>
      <c r="AH33" s="61">
        <v>86</v>
      </c>
      <c r="AI33" s="61">
        <v>52</v>
      </c>
      <c r="AJ33" s="63">
        <f t="shared" si="6"/>
        <v>0.60465116279069764</v>
      </c>
      <c r="AK33" s="61">
        <v>5</v>
      </c>
      <c r="AL33" s="61">
        <v>4</v>
      </c>
      <c r="AM33" s="63">
        <f t="shared" si="7"/>
        <v>0.8</v>
      </c>
      <c r="AN33" s="61">
        <v>6</v>
      </c>
      <c r="AO33" s="61">
        <v>3</v>
      </c>
      <c r="AP33" s="63">
        <f t="shared" si="8"/>
        <v>0.5</v>
      </c>
      <c r="AQ33" s="61">
        <v>11</v>
      </c>
      <c r="AR33" s="61">
        <v>17</v>
      </c>
      <c r="AS33" s="63">
        <f t="shared" si="9"/>
        <v>1.5454545454545454</v>
      </c>
      <c r="AT33" s="61">
        <v>6</v>
      </c>
      <c r="AU33" s="61">
        <v>2</v>
      </c>
      <c r="AV33" s="63">
        <f t="shared" si="10"/>
        <v>0.33333333333333331</v>
      </c>
      <c r="AW33" s="61">
        <v>2.9226337667487607</v>
      </c>
      <c r="AX33" s="61">
        <v>0</v>
      </c>
      <c r="AY33" s="63">
        <f t="shared" si="11"/>
        <v>0</v>
      </c>
      <c r="AZ33" s="61">
        <v>9</v>
      </c>
      <c r="BA33" s="61">
        <v>3</v>
      </c>
      <c r="BB33" s="63">
        <f t="shared" si="12"/>
        <v>0.33333333333333331</v>
      </c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</row>
    <row r="34" spans="1:87" x14ac:dyDescent="0.25">
      <c r="A34" s="128">
        <v>9839</v>
      </c>
      <c r="B34" s="128">
        <v>7787</v>
      </c>
      <c r="C34" s="129">
        <v>1073487082</v>
      </c>
      <c r="D34" s="128" t="s">
        <v>848</v>
      </c>
      <c r="E34" s="128" t="s">
        <v>546</v>
      </c>
      <c r="F34" s="128" t="s">
        <v>546</v>
      </c>
      <c r="G34" s="128" t="s">
        <v>334</v>
      </c>
      <c r="H34" s="128" t="s">
        <v>335</v>
      </c>
      <c r="I34" s="128" t="s">
        <v>1218</v>
      </c>
      <c r="J34" s="128" t="s">
        <v>313</v>
      </c>
      <c r="K34" s="128" t="s">
        <v>325</v>
      </c>
      <c r="L34" s="128">
        <v>73009</v>
      </c>
      <c r="M34" s="128"/>
      <c r="N34" s="130"/>
      <c r="O34" s="131"/>
      <c r="P34" s="132">
        <v>90036.909530000004</v>
      </c>
      <c r="Q34" s="61">
        <v>85623.510000000009</v>
      </c>
      <c r="R34" s="63">
        <f t="shared" si="0"/>
        <v>0.9509823298796205</v>
      </c>
      <c r="S34" s="61">
        <v>12880.56702</v>
      </c>
      <c r="T34" s="61">
        <v>5663.5599999999995</v>
      </c>
      <c r="U34" s="63">
        <f t="shared" si="1"/>
        <v>0.43969803434942256</v>
      </c>
      <c r="V34" s="61">
        <v>26244.819680000001</v>
      </c>
      <c r="W34" s="61">
        <v>15130.779999999999</v>
      </c>
      <c r="X34" s="63">
        <f t="shared" si="2"/>
        <v>0.57652444118450119</v>
      </c>
      <c r="Y34" s="61">
        <v>345.51603999999998</v>
      </c>
      <c r="Z34" s="102">
        <v>0</v>
      </c>
      <c r="AA34" s="63">
        <f t="shared" si="3"/>
        <v>0</v>
      </c>
      <c r="AB34" s="61">
        <v>19</v>
      </c>
      <c r="AC34" s="61">
        <v>12</v>
      </c>
      <c r="AD34" s="63">
        <f t="shared" si="4"/>
        <v>0.63157894736842102</v>
      </c>
      <c r="AE34" s="61">
        <v>3</v>
      </c>
      <c r="AF34" s="61">
        <v>0</v>
      </c>
      <c r="AG34" s="63">
        <f t="shared" si="5"/>
        <v>0</v>
      </c>
      <c r="AH34" s="61">
        <v>86</v>
      </c>
      <c r="AI34" s="61">
        <v>61</v>
      </c>
      <c r="AJ34" s="63">
        <f t="shared" si="6"/>
        <v>0.70930232558139539</v>
      </c>
      <c r="AK34" s="61">
        <v>5</v>
      </c>
      <c r="AL34" s="61">
        <v>4</v>
      </c>
      <c r="AM34" s="63">
        <f t="shared" si="7"/>
        <v>0.8</v>
      </c>
      <c r="AN34" s="61">
        <v>6</v>
      </c>
      <c r="AO34" s="61">
        <v>2</v>
      </c>
      <c r="AP34" s="63">
        <f t="shared" si="8"/>
        <v>0.33333333333333331</v>
      </c>
      <c r="AQ34" s="61">
        <v>11</v>
      </c>
      <c r="AR34" s="61">
        <v>3</v>
      </c>
      <c r="AS34" s="63">
        <f t="shared" si="9"/>
        <v>0.27272727272727271</v>
      </c>
      <c r="AT34" s="61">
        <v>6</v>
      </c>
      <c r="AU34" s="61">
        <v>6</v>
      </c>
      <c r="AV34" s="63">
        <f t="shared" si="10"/>
        <v>1</v>
      </c>
      <c r="AW34" s="61">
        <v>2.6324525260974605</v>
      </c>
      <c r="AX34" s="61">
        <v>0</v>
      </c>
      <c r="AY34" s="63">
        <f t="shared" si="11"/>
        <v>0</v>
      </c>
      <c r="AZ34" s="61">
        <v>9</v>
      </c>
      <c r="BA34" s="61">
        <v>1</v>
      </c>
      <c r="BB34" s="63">
        <f t="shared" si="12"/>
        <v>0.1111111111111111</v>
      </c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</row>
    <row r="35" spans="1:87" x14ac:dyDescent="0.25">
      <c r="A35" s="128">
        <v>11621</v>
      </c>
      <c r="B35" s="128">
        <v>7787</v>
      </c>
      <c r="C35" s="129">
        <v>1067766806</v>
      </c>
      <c r="D35" s="128" t="s">
        <v>849</v>
      </c>
      <c r="E35" s="128" t="s">
        <v>546</v>
      </c>
      <c r="F35" s="128" t="s">
        <v>546</v>
      </c>
      <c r="G35" s="128" t="s">
        <v>444</v>
      </c>
      <c r="H35" s="128" t="s">
        <v>445</v>
      </c>
      <c r="I35" s="128" t="s">
        <v>1218</v>
      </c>
      <c r="J35" s="128" t="s">
        <v>313</v>
      </c>
      <c r="K35" s="128" t="s">
        <v>325</v>
      </c>
      <c r="L35" s="128">
        <v>73009</v>
      </c>
      <c r="M35" s="128" t="s">
        <v>1143</v>
      </c>
      <c r="N35" s="130"/>
      <c r="O35" s="131">
        <v>0.4</v>
      </c>
      <c r="P35" s="133">
        <v>70152.783079999994</v>
      </c>
      <c r="Q35" s="61">
        <v>13215.66</v>
      </c>
      <c r="R35" s="63">
        <f t="shared" si="0"/>
        <v>0.18838397309097893</v>
      </c>
      <c r="S35" s="61">
        <v>10035.96891</v>
      </c>
      <c r="T35" s="61">
        <v>6259.14</v>
      </c>
      <c r="U35" s="63">
        <f t="shared" si="1"/>
        <v>0.623670724384498</v>
      </c>
      <c r="V35" s="61">
        <v>20448.80428</v>
      </c>
      <c r="W35" s="61">
        <v>4607.83</v>
      </c>
      <c r="X35" s="63">
        <f t="shared" si="2"/>
        <v>0.22533493581855535</v>
      </c>
      <c r="Y35" s="61">
        <v>0</v>
      </c>
      <c r="Z35" s="102">
        <v>0</v>
      </c>
      <c r="AA35" s="63" t="e">
        <f t="shared" si="3"/>
        <v>#DIV/0!</v>
      </c>
      <c r="AB35" s="61">
        <v>10</v>
      </c>
      <c r="AC35" s="61">
        <v>0</v>
      </c>
      <c r="AD35" s="63">
        <f t="shared" si="4"/>
        <v>0</v>
      </c>
      <c r="AE35" s="61">
        <v>1</v>
      </c>
      <c r="AF35" s="61">
        <v>0</v>
      </c>
      <c r="AG35" s="63">
        <f t="shared" si="5"/>
        <v>0</v>
      </c>
      <c r="AH35" s="61">
        <v>42</v>
      </c>
      <c r="AI35" s="61">
        <v>29</v>
      </c>
      <c r="AJ35" s="63">
        <f t="shared" si="6"/>
        <v>0.69047619047619047</v>
      </c>
      <c r="AK35" s="61">
        <v>3</v>
      </c>
      <c r="AL35" s="61">
        <v>1</v>
      </c>
      <c r="AM35" s="63">
        <f t="shared" si="7"/>
        <v>0.33333333333333331</v>
      </c>
      <c r="AN35" s="61">
        <v>3</v>
      </c>
      <c r="AO35" s="61">
        <v>3</v>
      </c>
      <c r="AP35" s="63">
        <f t="shared" si="8"/>
        <v>1</v>
      </c>
      <c r="AQ35" s="61">
        <v>6</v>
      </c>
      <c r="AR35" s="61">
        <v>2</v>
      </c>
      <c r="AS35" s="63">
        <f t="shared" si="9"/>
        <v>0.33333333333333331</v>
      </c>
      <c r="AT35" s="61">
        <v>3</v>
      </c>
      <c r="AU35" s="61">
        <v>4</v>
      </c>
      <c r="AV35" s="63">
        <f t="shared" si="10"/>
        <v>1.3333333333333333</v>
      </c>
      <c r="AW35" s="61">
        <v>2.6321889646310588</v>
      </c>
      <c r="AX35" s="61">
        <v>0</v>
      </c>
      <c r="AY35" s="63">
        <f t="shared" si="11"/>
        <v>0</v>
      </c>
      <c r="AZ35" s="61">
        <v>5</v>
      </c>
      <c r="BA35" s="61">
        <v>1</v>
      </c>
      <c r="BB35" s="63">
        <f t="shared" si="12"/>
        <v>0.2</v>
      </c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</row>
    <row r="36" spans="1:87" x14ac:dyDescent="0.25">
      <c r="A36" s="128">
        <v>21141</v>
      </c>
      <c r="B36" s="128">
        <v>19241</v>
      </c>
      <c r="C36" s="129">
        <v>1024520437</v>
      </c>
      <c r="D36" s="128" t="s">
        <v>856</v>
      </c>
      <c r="E36" s="128" t="s">
        <v>541</v>
      </c>
      <c r="F36" s="128" t="s">
        <v>541</v>
      </c>
      <c r="G36" s="128" t="s">
        <v>343</v>
      </c>
      <c r="H36" s="128" t="s">
        <v>343</v>
      </c>
      <c r="I36" s="128" t="s">
        <v>1218</v>
      </c>
      <c r="J36" s="128" t="s">
        <v>313</v>
      </c>
      <c r="K36" s="128" t="s">
        <v>526</v>
      </c>
      <c r="L36" s="128">
        <v>73010</v>
      </c>
      <c r="M36" s="128"/>
      <c r="N36" s="130"/>
      <c r="O36" s="131"/>
      <c r="P36" s="132">
        <v>290192.2218</v>
      </c>
      <c r="Q36" s="61">
        <v>0</v>
      </c>
      <c r="R36" s="63">
        <f t="shared" si="0"/>
        <v>0</v>
      </c>
      <c r="S36" s="61">
        <v>46545.551250000004</v>
      </c>
      <c r="T36" s="61">
        <v>0</v>
      </c>
      <c r="U36" s="63">
        <f t="shared" si="1"/>
        <v>0</v>
      </c>
      <c r="V36" s="61">
        <v>94838.919635190279</v>
      </c>
      <c r="W36" s="61">
        <v>0</v>
      </c>
      <c r="X36" s="63">
        <f t="shared" si="2"/>
        <v>0</v>
      </c>
      <c r="Y36" s="61">
        <v>2000.4070200000001</v>
      </c>
      <c r="Z36" s="102">
        <v>0</v>
      </c>
      <c r="AA36" s="63">
        <f t="shared" si="3"/>
        <v>0</v>
      </c>
      <c r="AB36" s="61">
        <v>65</v>
      </c>
      <c r="AC36" s="61">
        <v>0</v>
      </c>
      <c r="AD36" s="63">
        <f t="shared" si="4"/>
        <v>0</v>
      </c>
      <c r="AE36" s="61">
        <v>9</v>
      </c>
      <c r="AF36" s="61">
        <v>0</v>
      </c>
      <c r="AG36" s="63">
        <f t="shared" si="5"/>
        <v>0</v>
      </c>
      <c r="AH36" s="61">
        <v>270.76146258788276</v>
      </c>
      <c r="AI36" s="61">
        <v>0</v>
      </c>
      <c r="AJ36" s="63">
        <f t="shared" si="6"/>
        <v>0</v>
      </c>
      <c r="AK36" s="61">
        <v>12.735854516074108</v>
      </c>
      <c r="AL36" s="61">
        <v>0</v>
      </c>
      <c r="AM36" s="63">
        <f t="shared" si="7"/>
        <v>0</v>
      </c>
      <c r="AN36" s="61">
        <v>11.540072123097161</v>
      </c>
      <c r="AO36" s="61">
        <v>0</v>
      </c>
      <c r="AP36" s="63">
        <f t="shared" si="8"/>
        <v>0</v>
      </c>
      <c r="AQ36" s="61">
        <v>37.636446551422111</v>
      </c>
      <c r="AR36" s="61">
        <v>0</v>
      </c>
      <c r="AS36" s="63">
        <f t="shared" si="9"/>
        <v>0</v>
      </c>
      <c r="AT36" s="61">
        <v>10</v>
      </c>
      <c r="AU36" s="61">
        <v>0</v>
      </c>
      <c r="AV36" s="63">
        <f t="shared" si="10"/>
        <v>0</v>
      </c>
      <c r="AW36" s="61">
        <v>8.4929845589766142</v>
      </c>
      <c r="AX36" s="61">
        <v>0</v>
      </c>
      <c r="AY36" s="63">
        <f t="shared" si="11"/>
        <v>0</v>
      </c>
      <c r="AZ36" s="61">
        <v>23</v>
      </c>
      <c r="BA36" s="61">
        <v>0</v>
      </c>
      <c r="BB36" s="63">
        <f t="shared" si="12"/>
        <v>0</v>
      </c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</row>
    <row r="37" spans="1:87" x14ac:dyDescent="0.25">
      <c r="A37" s="128">
        <v>3500</v>
      </c>
      <c r="B37" s="128">
        <v>21141</v>
      </c>
      <c r="C37" s="129">
        <v>1060533427</v>
      </c>
      <c r="D37" s="128" t="s">
        <v>858</v>
      </c>
      <c r="E37" s="128" t="s">
        <v>546</v>
      </c>
      <c r="F37" s="128" t="s">
        <v>546</v>
      </c>
      <c r="G37" s="128" t="s">
        <v>347</v>
      </c>
      <c r="H37" s="128" t="s">
        <v>348</v>
      </c>
      <c r="I37" s="128" t="s">
        <v>1218</v>
      </c>
      <c r="J37" s="128" t="s">
        <v>313</v>
      </c>
      <c r="K37" s="128" t="s">
        <v>526</v>
      </c>
      <c r="L37" s="128">
        <v>73010</v>
      </c>
      <c r="M37" s="128" t="s">
        <v>1215</v>
      </c>
      <c r="N37" s="130"/>
      <c r="O37" s="131"/>
      <c r="P37" s="133">
        <v>75510.918030000001</v>
      </c>
      <c r="Q37" s="61">
        <v>32107.83</v>
      </c>
      <c r="R37" s="63">
        <f t="shared" si="0"/>
        <v>0.42520778236656809</v>
      </c>
      <c r="S37" s="61">
        <v>12111.61789</v>
      </c>
      <c r="T37" s="61">
        <v>6867.82</v>
      </c>
      <c r="U37" s="63">
        <f t="shared" si="1"/>
        <v>0.56704397896093139</v>
      </c>
      <c r="V37" s="61">
        <v>24678.035283623693</v>
      </c>
      <c r="W37" s="61">
        <v>11675.610000000002</v>
      </c>
      <c r="X37" s="63">
        <f t="shared" si="2"/>
        <v>0.47311748548102289</v>
      </c>
      <c r="Y37" s="61">
        <v>740.34657000000004</v>
      </c>
      <c r="Z37" s="102">
        <v>0</v>
      </c>
      <c r="AA37" s="63">
        <f t="shared" si="3"/>
        <v>0</v>
      </c>
      <c r="AB37" s="61">
        <v>15</v>
      </c>
      <c r="AC37" s="61">
        <v>4</v>
      </c>
      <c r="AD37" s="63">
        <f t="shared" si="4"/>
        <v>0.26666666666666666</v>
      </c>
      <c r="AE37" s="61">
        <v>3</v>
      </c>
      <c r="AF37" s="61">
        <v>0</v>
      </c>
      <c r="AG37" s="63">
        <f t="shared" si="5"/>
        <v>0</v>
      </c>
      <c r="AH37" s="61">
        <v>81.631786174775954</v>
      </c>
      <c r="AI37" s="61">
        <v>25</v>
      </c>
      <c r="AJ37" s="63">
        <f t="shared" si="6"/>
        <v>0.30625325221322852</v>
      </c>
      <c r="AK37" s="61">
        <v>3.9799545362731585</v>
      </c>
      <c r="AL37" s="61">
        <v>1</v>
      </c>
      <c r="AM37" s="63">
        <f t="shared" si="7"/>
        <v>0.25125915155211875</v>
      </c>
      <c r="AN37" s="61">
        <v>3.6062725384678629</v>
      </c>
      <c r="AO37" s="61">
        <v>1</v>
      </c>
      <c r="AP37" s="63">
        <f t="shared" si="8"/>
        <v>0.27729462743957045</v>
      </c>
      <c r="AQ37" s="61">
        <v>7.1688469621756399</v>
      </c>
      <c r="AR37" s="61">
        <v>2</v>
      </c>
      <c r="AS37" s="63">
        <f t="shared" si="9"/>
        <v>0.27898489262672577</v>
      </c>
      <c r="AT37" s="61">
        <v>1</v>
      </c>
      <c r="AU37" s="61">
        <v>0</v>
      </c>
      <c r="AV37" s="63">
        <f t="shared" si="10"/>
        <v>0</v>
      </c>
      <c r="AW37" s="61">
        <v>2.2099595119573219</v>
      </c>
      <c r="AX37" s="61">
        <v>0</v>
      </c>
      <c r="AY37" s="63">
        <f t="shared" si="11"/>
        <v>0</v>
      </c>
      <c r="AZ37" s="61">
        <v>10</v>
      </c>
      <c r="BA37" s="61">
        <v>6</v>
      </c>
      <c r="BB37" s="63">
        <f t="shared" si="12"/>
        <v>0.6</v>
      </c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</row>
    <row r="38" spans="1:87" x14ac:dyDescent="0.25">
      <c r="A38" s="128">
        <v>3495</v>
      </c>
      <c r="B38" s="128">
        <v>21141</v>
      </c>
      <c r="C38" s="138">
        <v>1017434091</v>
      </c>
      <c r="D38" s="128" t="s">
        <v>851</v>
      </c>
      <c r="E38" s="128" t="s">
        <v>546</v>
      </c>
      <c r="F38" s="128" t="s">
        <v>546</v>
      </c>
      <c r="G38" s="128" t="s">
        <v>340</v>
      </c>
      <c r="H38" s="128" t="s">
        <v>341</v>
      </c>
      <c r="I38" s="128" t="s">
        <v>1218</v>
      </c>
      <c r="J38" s="128" t="s">
        <v>313</v>
      </c>
      <c r="K38" s="128" t="s">
        <v>526</v>
      </c>
      <c r="L38" s="128">
        <v>73010</v>
      </c>
      <c r="M38" s="139" t="s">
        <v>1215</v>
      </c>
      <c r="N38" s="140"/>
      <c r="O38" s="141"/>
      <c r="P38" s="132">
        <v>75510.918030000001</v>
      </c>
      <c r="Q38" s="61">
        <v>29907.829999999998</v>
      </c>
      <c r="R38" s="63">
        <f t="shared" si="0"/>
        <v>0.39607292270129479</v>
      </c>
      <c r="S38" s="61">
        <v>12111.61789</v>
      </c>
      <c r="T38" s="61">
        <v>3129.57</v>
      </c>
      <c r="U38" s="63">
        <f t="shared" si="1"/>
        <v>0.25839405011150002</v>
      </c>
      <c r="V38" s="61">
        <v>24678.035283623693</v>
      </c>
      <c r="W38" s="61">
        <v>7249.5599999999995</v>
      </c>
      <c r="X38" s="63">
        <f t="shared" si="2"/>
        <v>0.29376568744963244</v>
      </c>
      <c r="Y38" s="61">
        <v>700.34657000000004</v>
      </c>
      <c r="Z38" s="102">
        <v>0</v>
      </c>
      <c r="AA38" s="63">
        <f t="shared" si="3"/>
        <v>0</v>
      </c>
      <c r="AB38" s="61">
        <v>15</v>
      </c>
      <c r="AC38" s="61">
        <v>8</v>
      </c>
      <c r="AD38" s="63">
        <f t="shared" si="4"/>
        <v>0.53333333333333333</v>
      </c>
      <c r="AE38" s="61">
        <v>3</v>
      </c>
      <c r="AF38" s="61">
        <v>0</v>
      </c>
      <c r="AG38" s="63">
        <f t="shared" si="5"/>
        <v>0</v>
      </c>
      <c r="AH38" s="61">
        <v>81.631786174775954</v>
      </c>
      <c r="AI38" s="61">
        <v>16</v>
      </c>
      <c r="AJ38" s="63">
        <f t="shared" si="6"/>
        <v>0.19600208141646625</v>
      </c>
      <c r="AK38" s="61">
        <v>3.9799545362731585</v>
      </c>
      <c r="AL38" s="61">
        <v>0</v>
      </c>
      <c r="AM38" s="63">
        <f t="shared" si="7"/>
        <v>0</v>
      </c>
      <c r="AN38" s="61">
        <v>3.6062725384678629</v>
      </c>
      <c r="AO38" s="61">
        <v>1</v>
      </c>
      <c r="AP38" s="63">
        <f t="shared" si="8"/>
        <v>0.27729462743957045</v>
      </c>
      <c r="AQ38" s="61">
        <v>10.75327044326346</v>
      </c>
      <c r="AR38" s="61">
        <v>2</v>
      </c>
      <c r="AS38" s="63">
        <f t="shared" si="9"/>
        <v>0.18598992841781717</v>
      </c>
      <c r="AT38" s="61">
        <v>1</v>
      </c>
      <c r="AU38" s="61">
        <v>0</v>
      </c>
      <c r="AV38" s="63">
        <f t="shared" si="10"/>
        <v>0</v>
      </c>
      <c r="AW38" s="61">
        <v>2.2099595119573219</v>
      </c>
      <c r="AX38" s="61">
        <v>0</v>
      </c>
      <c r="AY38" s="63">
        <f t="shared" si="11"/>
        <v>0</v>
      </c>
      <c r="AZ38" s="61">
        <v>3</v>
      </c>
      <c r="BA38" s="61">
        <v>1</v>
      </c>
      <c r="BB38" s="63">
        <f t="shared" si="12"/>
        <v>0.33333333333333331</v>
      </c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</row>
    <row r="39" spans="1:87" x14ac:dyDescent="0.25">
      <c r="A39" s="213">
        <v>21259</v>
      </c>
      <c r="B39" s="213">
        <v>21141</v>
      </c>
      <c r="C39" s="214">
        <v>1015700162</v>
      </c>
      <c r="D39" s="213" t="s">
        <v>852</v>
      </c>
      <c r="E39" s="213" t="s">
        <v>546</v>
      </c>
      <c r="F39" s="213" t="s">
        <v>546</v>
      </c>
      <c r="G39" s="213" t="s">
        <v>339</v>
      </c>
      <c r="H39" s="213" t="s">
        <v>339</v>
      </c>
      <c r="I39" s="213" t="s">
        <v>1218</v>
      </c>
      <c r="J39" s="213" t="s">
        <v>313</v>
      </c>
      <c r="K39" s="213" t="s">
        <v>526</v>
      </c>
      <c r="L39" s="213">
        <v>73010</v>
      </c>
      <c r="M39" s="215" t="s">
        <v>1221</v>
      </c>
      <c r="N39" s="216"/>
      <c r="O39" s="217">
        <v>0.5</v>
      </c>
      <c r="P39" s="222">
        <v>46430.755490000003</v>
      </c>
      <c r="Q39" s="61">
        <v>48189.58</v>
      </c>
      <c r="R39" s="63">
        <f t="shared" si="0"/>
        <v>1.0378805921083667</v>
      </c>
      <c r="S39" s="61">
        <v>7447.2882</v>
      </c>
      <c r="T39" s="61">
        <v>0</v>
      </c>
      <c r="U39" s="63">
        <f t="shared" si="1"/>
        <v>0</v>
      </c>
      <c r="V39" s="61">
        <v>15174.227133539287</v>
      </c>
      <c r="W39" s="61">
        <v>16893.509999999998</v>
      </c>
      <c r="X39" s="63">
        <f t="shared" si="2"/>
        <v>1.1133028292861529</v>
      </c>
      <c r="Y39" s="61">
        <v>180.03663</v>
      </c>
      <c r="Z39" s="102">
        <v>0</v>
      </c>
      <c r="AA39" s="63">
        <f t="shared" si="3"/>
        <v>0</v>
      </c>
      <c r="AB39" s="61">
        <v>10</v>
      </c>
      <c r="AC39" s="61">
        <v>15</v>
      </c>
      <c r="AD39" s="63">
        <f t="shared" si="4"/>
        <v>1.5</v>
      </c>
      <c r="AE39" s="61">
        <v>1</v>
      </c>
      <c r="AF39" s="61">
        <v>0</v>
      </c>
      <c r="AG39" s="63">
        <f t="shared" si="5"/>
        <v>0</v>
      </c>
      <c r="AH39" s="61">
        <v>35.832630079443618</v>
      </c>
      <c r="AI39" s="61">
        <v>33</v>
      </c>
      <c r="AJ39" s="63">
        <f t="shared" si="6"/>
        <v>0.9209483068040647</v>
      </c>
      <c r="AK39" s="61">
        <v>1.5919818145092635</v>
      </c>
      <c r="AL39" s="61">
        <v>3</v>
      </c>
      <c r="AM39" s="63">
        <f t="shared" si="7"/>
        <v>1.8844436366408905</v>
      </c>
      <c r="AN39" s="61">
        <v>1.4425090153871452</v>
      </c>
      <c r="AO39" s="61">
        <v>4</v>
      </c>
      <c r="AP39" s="63">
        <f t="shared" si="8"/>
        <v>2.7729462743957045</v>
      </c>
      <c r="AQ39" s="61">
        <v>8.9610587027195496</v>
      </c>
      <c r="AR39" s="61">
        <v>3</v>
      </c>
      <c r="AS39" s="63">
        <f t="shared" si="9"/>
        <v>0.33478187115207092</v>
      </c>
      <c r="AT39" s="61">
        <v>4</v>
      </c>
      <c r="AU39" s="61">
        <v>4</v>
      </c>
      <c r="AV39" s="63">
        <f t="shared" si="10"/>
        <v>1</v>
      </c>
      <c r="AW39" s="61">
        <v>1.3588775294947919</v>
      </c>
      <c r="AX39" s="61">
        <v>0</v>
      </c>
      <c r="AY39" s="63">
        <f t="shared" si="11"/>
        <v>0</v>
      </c>
      <c r="AZ39" s="61">
        <v>3</v>
      </c>
      <c r="BA39" s="61">
        <v>3</v>
      </c>
      <c r="BB39" s="63">
        <f t="shared" si="12"/>
        <v>1</v>
      </c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</row>
    <row r="40" spans="1:87" x14ac:dyDescent="0.25">
      <c r="A40" s="206">
        <v>4478</v>
      </c>
      <c r="B40" s="207">
        <v>21141</v>
      </c>
      <c r="C40" s="208">
        <v>1090166685</v>
      </c>
      <c r="D40" s="207" t="s">
        <v>882</v>
      </c>
      <c r="E40" s="207" t="s">
        <v>546</v>
      </c>
      <c r="F40" s="207" t="s">
        <v>546</v>
      </c>
      <c r="G40" s="207" t="s">
        <v>459</v>
      </c>
      <c r="H40" s="207" t="s">
        <v>459</v>
      </c>
      <c r="I40" s="207" t="s">
        <v>1218</v>
      </c>
      <c r="J40" s="207" t="s">
        <v>313</v>
      </c>
      <c r="K40" s="207" t="s">
        <v>526</v>
      </c>
      <c r="L40" s="207">
        <v>73010</v>
      </c>
      <c r="M40" s="207" t="s">
        <v>1143</v>
      </c>
      <c r="N40" s="209"/>
      <c r="O40" s="210">
        <v>0.4</v>
      </c>
      <c r="P40" s="212">
        <v>46372.717040000003</v>
      </c>
      <c r="Q40" s="61">
        <v>52225.240000000005</v>
      </c>
      <c r="R40" s="63">
        <f t="shared" si="0"/>
        <v>1.1262061689193616</v>
      </c>
      <c r="S40" s="61">
        <v>7437.9790899999998</v>
      </c>
      <c r="T40" s="61">
        <v>0</v>
      </c>
      <c r="U40" s="63">
        <f t="shared" si="1"/>
        <v>0</v>
      </c>
      <c r="V40" s="61">
        <v>15155.259337598665</v>
      </c>
      <c r="W40" s="61">
        <v>29261.360000000001</v>
      </c>
      <c r="X40" s="63">
        <f t="shared" si="2"/>
        <v>1.9307726346460814</v>
      </c>
      <c r="Y40" s="61">
        <v>200.04069999999999</v>
      </c>
      <c r="Z40" s="102">
        <v>0</v>
      </c>
      <c r="AA40" s="63">
        <f t="shared" si="3"/>
        <v>0</v>
      </c>
      <c r="AB40" s="61">
        <v>10</v>
      </c>
      <c r="AC40" s="61">
        <v>6</v>
      </c>
      <c r="AD40" s="63">
        <f t="shared" si="4"/>
        <v>0.6</v>
      </c>
      <c r="AE40" s="61">
        <v>1</v>
      </c>
      <c r="AF40" s="61">
        <v>1</v>
      </c>
      <c r="AG40" s="63">
        <f t="shared" si="5"/>
        <v>1</v>
      </c>
      <c r="AH40" s="61">
        <v>35.832630079443618</v>
      </c>
      <c r="AI40" s="61">
        <v>16</v>
      </c>
      <c r="AJ40" s="63">
        <f t="shared" si="6"/>
        <v>0.44652039117772835</v>
      </c>
      <c r="AK40" s="61">
        <v>1.5919818145092635</v>
      </c>
      <c r="AL40" s="61">
        <v>1</v>
      </c>
      <c r="AM40" s="63">
        <f t="shared" si="7"/>
        <v>0.62814787888029688</v>
      </c>
      <c r="AN40" s="61">
        <v>1.4425090153871452</v>
      </c>
      <c r="AO40" s="61">
        <v>0</v>
      </c>
      <c r="AP40" s="63">
        <f t="shared" si="8"/>
        <v>0</v>
      </c>
      <c r="AQ40" s="61">
        <v>5.3766352216317301</v>
      </c>
      <c r="AR40" s="61">
        <v>5</v>
      </c>
      <c r="AS40" s="63">
        <f t="shared" si="9"/>
        <v>0.92994964208908582</v>
      </c>
      <c r="AT40" s="61">
        <v>2</v>
      </c>
      <c r="AU40" s="61">
        <v>0</v>
      </c>
      <c r="AV40" s="63">
        <f t="shared" si="10"/>
        <v>0</v>
      </c>
      <c r="AW40" s="61">
        <v>1.3571789324179322</v>
      </c>
      <c r="AX40" s="61">
        <v>0</v>
      </c>
      <c r="AY40" s="63">
        <f t="shared" si="11"/>
        <v>0</v>
      </c>
      <c r="AZ40" s="61">
        <v>3</v>
      </c>
      <c r="BA40" s="61">
        <v>4</v>
      </c>
      <c r="BB40" s="63">
        <f t="shared" si="12"/>
        <v>1.3333333333333333</v>
      </c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</row>
    <row r="41" spans="1:87" x14ac:dyDescent="0.25">
      <c r="A41" s="128">
        <v>3524</v>
      </c>
      <c r="B41" s="128">
        <v>21141</v>
      </c>
      <c r="C41" s="129">
        <v>1054866429</v>
      </c>
      <c r="D41" s="128" t="s">
        <v>855</v>
      </c>
      <c r="E41" s="128" t="s">
        <v>546</v>
      </c>
      <c r="F41" s="128" t="s">
        <v>546</v>
      </c>
      <c r="G41" s="128" t="s">
        <v>447</v>
      </c>
      <c r="H41" s="128" t="s">
        <v>448</v>
      </c>
      <c r="I41" s="128" t="s">
        <v>1218</v>
      </c>
      <c r="J41" s="128" t="s">
        <v>313</v>
      </c>
      <c r="K41" s="128" t="s">
        <v>526</v>
      </c>
      <c r="L41" s="128">
        <v>73010</v>
      </c>
      <c r="M41" s="128" t="s">
        <v>1143</v>
      </c>
      <c r="N41" s="130"/>
      <c r="O41" s="131">
        <v>0.4</v>
      </c>
      <c r="P41" s="133">
        <v>46366.913200000003</v>
      </c>
      <c r="Q41" s="61">
        <v>39933.050000000003</v>
      </c>
      <c r="R41" s="63">
        <f t="shared" si="0"/>
        <v>0.86124020867535345</v>
      </c>
      <c r="S41" s="61">
        <v>7437.0481799999998</v>
      </c>
      <c r="T41" s="61">
        <v>0</v>
      </c>
      <c r="U41" s="63">
        <f t="shared" si="1"/>
        <v>0</v>
      </c>
      <c r="V41" s="61">
        <v>15153.362576804973</v>
      </c>
      <c r="W41" s="61">
        <v>3570</v>
      </c>
      <c r="X41" s="63">
        <f t="shared" si="2"/>
        <v>0.23559127433963375</v>
      </c>
      <c r="Y41" s="61">
        <v>179.63655</v>
      </c>
      <c r="Z41" s="102">
        <v>0</v>
      </c>
      <c r="AA41" s="63">
        <f t="shared" si="3"/>
        <v>0</v>
      </c>
      <c r="AB41" s="61">
        <v>15</v>
      </c>
      <c r="AC41" s="61">
        <v>14</v>
      </c>
      <c r="AD41" s="63">
        <f t="shared" si="4"/>
        <v>0.93333333333333335</v>
      </c>
      <c r="AE41" s="61">
        <v>1</v>
      </c>
      <c r="AF41" s="61">
        <v>0</v>
      </c>
      <c r="AG41" s="63">
        <f t="shared" si="5"/>
        <v>0</v>
      </c>
      <c r="AH41" s="61">
        <v>35.832630079443618</v>
      </c>
      <c r="AI41" s="61">
        <v>19</v>
      </c>
      <c r="AJ41" s="63">
        <f t="shared" si="6"/>
        <v>0.53024296452355246</v>
      </c>
      <c r="AK41" s="61">
        <v>1.5919818145092635</v>
      </c>
      <c r="AL41" s="61">
        <v>2</v>
      </c>
      <c r="AM41" s="63">
        <f t="shared" si="7"/>
        <v>1.2562957577605938</v>
      </c>
      <c r="AN41" s="61">
        <v>1.4425090153871452</v>
      </c>
      <c r="AO41" s="61">
        <v>1</v>
      </c>
      <c r="AP41" s="63">
        <f t="shared" si="8"/>
        <v>0.69323656859892613</v>
      </c>
      <c r="AQ41" s="61">
        <v>5.3766352216317301</v>
      </c>
      <c r="AR41" s="61">
        <v>3</v>
      </c>
      <c r="AS41" s="63">
        <f t="shared" si="9"/>
        <v>0.55796978525345153</v>
      </c>
      <c r="AT41" s="61">
        <v>2</v>
      </c>
      <c r="AU41" s="61">
        <v>0</v>
      </c>
      <c r="AV41" s="63">
        <f t="shared" si="10"/>
        <v>0</v>
      </c>
      <c r="AW41" s="61">
        <v>1.35700907285658</v>
      </c>
      <c r="AX41" s="61">
        <v>0</v>
      </c>
      <c r="AY41" s="63">
        <f t="shared" si="11"/>
        <v>0</v>
      </c>
      <c r="AZ41" s="61">
        <v>4</v>
      </c>
      <c r="BA41" s="61">
        <v>2</v>
      </c>
      <c r="BB41" s="63">
        <f t="shared" si="12"/>
        <v>0.5</v>
      </c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</row>
    <row r="42" spans="1:87" x14ac:dyDescent="0.25">
      <c r="A42" s="128">
        <v>21227</v>
      </c>
      <c r="B42" s="128">
        <v>19241</v>
      </c>
      <c r="C42" s="129">
        <v>1007893256</v>
      </c>
      <c r="D42" s="128" t="s">
        <v>836</v>
      </c>
      <c r="E42" s="128" t="s">
        <v>541</v>
      </c>
      <c r="F42" s="128" t="s">
        <v>541</v>
      </c>
      <c r="G42" s="128" t="s">
        <v>328</v>
      </c>
      <c r="H42" s="128" t="s">
        <v>328</v>
      </c>
      <c r="I42" s="128" t="s">
        <v>1218</v>
      </c>
      <c r="J42" s="128" t="s">
        <v>313</v>
      </c>
      <c r="K42" s="128" t="s">
        <v>342</v>
      </c>
      <c r="L42" s="128">
        <v>73015</v>
      </c>
      <c r="M42" s="128"/>
      <c r="N42" s="130"/>
      <c r="O42" s="131"/>
      <c r="P42" s="133">
        <v>945975.69313000003</v>
      </c>
      <c r="Q42" s="61">
        <v>0</v>
      </c>
      <c r="R42" s="63">
        <f t="shared" si="0"/>
        <v>0</v>
      </c>
      <c r="S42" s="61">
        <v>145454.84766</v>
      </c>
      <c r="T42" s="61">
        <v>0</v>
      </c>
      <c r="U42" s="63">
        <f t="shared" si="1"/>
        <v>0</v>
      </c>
      <c r="V42" s="61">
        <v>296371.75472000003</v>
      </c>
      <c r="W42" s="61">
        <v>0</v>
      </c>
      <c r="X42" s="63">
        <f t="shared" si="2"/>
        <v>0</v>
      </c>
      <c r="Y42" s="61">
        <v>12113.77195</v>
      </c>
      <c r="Z42" s="102">
        <v>0</v>
      </c>
      <c r="AA42" s="63">
        <f t="shared" si="3"/>
        <v>0</v>
      </c>
      <c r="AB42" s="61">
        <v>198</v>
      </c>
      <c r="AC42" s="61">
        <v>0</v>
      </c>
      <c r="AD42" s="63">
        <f t="shared" si="4"/>
        <v>0</v>
      </c>
      <c r="AE42" s="61">
        <v>24</v>
      </c>
      <c r="AF42" s="61">
        <v>0</v>
      </c>
      <c r="AG42" s="63">
        <f t="shared" si="5"/>
        <v>0</v>
      </c>
      <c r="AH42" s="61">
        <v>861</v>
      </c>
      <c r="AI42" s="61">
        <v>0</v>
      </c>
      <c r="AJ42" s="63">
        <f t="shared" si="6"/>
        <v>0</v>
      </c>
      <c r="AK42" s="61">
        <v>42</v>
      </c>
      <c r="AL42" s="61">
        <v>0</v>
      </c>
      <c r="AM42" s="63">
        <f t="shared" si="7"/>
        <v>0</v>
      </c>
      <c r="AN42" s="61">
        <v>54</v>
      </c>
      <c r="AO42" s="61">
        <v>1</v>
      </c>
      <c r="AP42" s="63">
        <f t="shared" si="8"/>
        <v>1.8518518518518517E-2</v>
      </c>
      <c r="AQ42" s="61">
        <v>117</v>
      </c>
      <c r="AR42" s="61">
        <v>0</v>
      </c>
      <c r="AS42" s="63">
        <f t="shared" si="9"/>
        <v>0</v>
      </c>
      <c r="AT42" s="61">
        <v>58</v>
      </c>
      <c r="AU42" s="61">
        <v>0</v>
      </c>
      <c r="AV42" s="63">
        <f t="shared" si="10"/>
        <v>0</v>
      </c>
      <c r="AW42" s="61">
        <v>27.685638522928496</v>
      </c>
      <c r="AX42" s="61">
        <v>0</v>
      </c>
      <c r="AY42" s="63">
        <f t="shared" si="11"/>
        <v>0</v>
      </c>
      <c r="AZ42" s="61">
        <v>87</v>
      </c>
      <c r="BA42" s="61">
        <v>0</v>
      </c>
      <c r="BB42" s="63">
        <f t="shared" si="12"/>
        <v>0</v>
      </c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</row>
    <row r="43" spans="1:87" x14ac:dyDescent="0.25">
      <c r="A43" s="128">
        <v>4415</v>
      </c>
      <c r="B43" s="128">
        <v>21227</v>
      </c>
      <c r="C43" s="129">
        <v>1041453059</v>
      </c>
      <c r="D43" s="128" t="s">
        <v>834</v>
      </c>
      <c r="E43" s="128" t="s">
        <v>544</v>
      </c>
      <c r="F43" s="128" t="s">
        <v>544</v>
      </c>
      <c r="G43" s="128" t="s">
        <v>440</v>
      </c>
      <c r="H43" s="128" t="s">
        <v>441</v>
      </c>
      <c r="I43" s="128" t="s">
        <v>1218</v>
      </c>
      <c r="J43" s="128" t="s">
        <v>313</v>
      </c>
      <c r="K43" s="128" t="s">
        <v>342</v>
      </c>
      <c r="L43" s="128">
        <v>73015</v>
      </c>
      <c r="M43" s="128"/>
      <c r="N43" s="130"/>
      <c r="O43" s="131"/>
      <c r="P43" s="133">
        <v>945975.69313000003</v>
      </c>
      <c r="Q43" s="61">
        <v>0</v>
      </c>
      <c r="R43" s="63">
        <f t="shared" si="0"/>
        <v>0</v>
      </c>
      <c r="S43" s="61">
        <v>145454.84766</v>
      </c>
      <c r="T43" s="61">
        <v>0</v>
      </c>
      <c r="U43" s="63">
        <f t="shared" si="1"/>
        <v>0</v>
      </c>
      <c r="V43" s="61">
        <v>296371.75472000003</v>
      </c>
      <c r="W43" s="61">
        <v>0</v>
      </c>
      <c r="X43" s="63">
        <f t="shared" si="2"/>
        <v>0</v>
      </c>
      <c r="Y43" s="61">
        <v>12113.77195</v>
      </c>
      <c r="Z43" s="102">
        <v>0</v>
      </c>
      <c r="AA43" s="63">
        <f t="shared" si="3"/>
        <v>0</v>
      </c>
      <c r="AB43" s="61">
        <v>198</v>
      </c>
      <c r="AC43" s="61">
        <v>0</v>
      </c>
      <c r="AD43" s="63">
        <f t="shared" si="4"/>
        <v>0</v>
      </c>
      <c r="AE43" s="61">
        <v>24</v>
      </c>
      <c r="AF43" s="61">
        <v>0</v>
      </c>
      <c r="AG43" s="63">
        <f t="shared" si="5"/>
        <v>0</v>
      </c>
      <c r="AH43" s="61">
        <v>861</v>
      </c>
      <c r="AI43" s="61">
        <v>0</v>
      </c>
      <c r="AJ43" s="63">
        <f t="shared" si="6"/>
        <v>0</v>
      </c>
      <c r="AK43" s="61">
        <v>42</v>
      </c>
      <c r="AL43" s="61">
        <v>0</v>
      </c>
      <c r="AM43" s="63">
        <f t="shared" si="7"/>
        <v>0</v>
      </c>
      <c r="AN43" s="61">
        <v>54</v>
      </c>
      <c r="AO43" s="61">
        <v>3</v>
      </c>
      <c r="AP43" s="63">
        <f t="shared" si="8"/>
        <v>5.5555555555555552E-2</v>
      </c>
      <c r="AQ43" s="61">
        <v>117</v>
      </c>
      <c r="AR43" s="61">
        <v>0</v>
      </c>
      <c r="AS43" s="63">
        <f t="shared" si="9"/>
        <v>0</v>
      </c>
      <c r="AT43" s="61">
        <v>58</v>
      </c>
      <c r="AU43" s="61">
        <v>0</v>
      </c>
      <c r="AV43" s="63">
        <f t="shared" si="10"/>
        <v>0</v>
      </c>
      <c r="AW43" s="61">
        <v>27.685638522928496</v>
      </c>
      <c r="AX43" s="61">
        <v>0</v>
      </c>
      <c r="AY43" s="63">
        <f t="shared" si="11"/>
        <v>0</v>
      </c>
      <c r="AZ43" s="61">
        <v>87</v>
      </c>
      <c r="BA43" s="61">
        <v>0</v>
      </c>
      <c r="BB43" s="63">
        <f t="shared" si="12"/>
        <v>0</v>
      </c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</row>
    <row r="44" spans="1:87" x14ac:dyDescent="0.25">
      <c r="A44" s="128">
        <v>3506</v>
      </c>
      <c r="B44" s="128">
        <v>4415</v>
      </c>
      <c r="C44" s="129">
        <v>1022712143</v>
      </c>
      <c r="D44" s="128" t="s">
        <v>857</v>
      </c>
      <c r="E44" s="128" t="s">
        <v>546</v>
      </c>
      <c r="F44" s="128" t="s">
        <v>546</v>
      </c>
      <c r="G44" s="128" t="s">
        <v>350</v>
      </c>
      <c r="H44" s="128" t="s">
        <v>351</v>
      </c>
      <c r="I44" s="128" t="s">
        <v>1218</v>
      </c>
      <c r="J44" s="128" t="s">
        <v>313</v>
      </c>
      <c r="K44" s="128" t="s">
        <v>342</v>
      </c>
      <c r="L44" s="128">
        <v>73015</v>
      </c>
      <c r="M44" s="128" t="s">
        <v>1143</v>
      </c>
      <c r="N44" s="130"/>
      <c r="O44" s="131">
        <v>0.4</v>
      </c>
      <c r="P44" s="143">
        <v>64554.957929999997</v>
      </c>
      <c r="Q44" s="61">
        <v>67015.680000000022</v>
      </c>
      <c r="R44" s="63">
        <f t="shared" si="0"/>
        <v>1.038118250695296</v>
      </c>
      <c r="S44" s="61">
        <v>9926.0812299999998</v>
      </c>
      <c r="T44" s="61">
        <v>28797.18</v>
      </c>
      <c r="U44" s="63">
        <f t="shared" si="1"/>
        <v>2.9011630403512223</v>
      </c>
      <c r="V44" s="61">
        <v>20224.902499999997</v>
      </c>
      <c r="W44" s="61">
        <v>21725.42</v>
      </c>
      <c r="X44" s="63">
        <f t="shared" si="2"/>
        <v>1.074191581393285</v>
      </c>
      <c r="Y44" s="61">
        <v>353.31835000000001</v>
      </c>
      <c r="Z44" s="102">
        <v>359</v>
      </c>
      <c r="AA44" s="63">
        <f t="shared" si="3"/>
        <v>1.0160808234273708</v>
      </c>
      <c r="AB44" s="61">
        <v>9</v>
      </c>
      <c r="AC44" s="61">
        <v>3</v>
      </c>
      <c r="AD44" s="63">
        <f t="shared" si="4"/>
        <v>0.33333333333333331</v>
      </c>
      <c r="AE44" s="61">
        <v>2</v>
      </c>
      <c r="AF44" s="61">
        <v>1</v>
      </c>
      <c r="AG44" s="63">
        <f t="shared" si="5"/>
        <v>0.5</v>
      </c>
      <c r="AH44" s="61">
        <v>43</v>
      </c>
      <c r="AI44" s="61">
        <v>19</v>
      </c>
      <c r="AJ44" s="63">
        <f t="shared" si="6"/>
        <v>0.44186046511627908</v>
      </c>
      <c r="AK44" s="61">
        <v>2</v>
      </c>
      <c r="AL44" s="61">
        <v>1</v>
      </c>
      <c r="AM44" s="63">
        <f t="shared" si="7"/>
        <v>0.5</v>
      </c>
      <c r="AN44" s="61">
        <v>3</v>
      </c>
      <c r="AO44" s="61">
        <v>5</v>
      </c>
      <c r="AP44" s="63">
        <f t="shared" si="8"/>
        <v>1.6666666666666667</v>
      </c>
      <c r="AQ44" s="61">
        <v>8</v>
      </c>
      <c r="AR44" s="61">
        <v>6</v>
      </c>
      <c r="AS44" s="63">
        <f t="shared" si="9"/>
        <v>0.75</v>
      </c>
      <c r="AT44" s="61">
        <v>2</v>
      </c>
      <c r="AU44" s="61">
        <v>19</v>
      </c>
      <c r="AV44" s="63">
        <f t="shared" si="10"/>
        <v>9.5</v>
      </c>
      <c r="AW44" s="61">
        <v>1.8893141156717073</v>
      </c>
      <c r="AX44" s="61">
        <v>0</v>
      </c>
      <c r="AY44" s="63">
        <f t="shared" si="11"/>
        <v>0</v>
      </c>
      <c r="AZ44" s="61">
        <v>5</v>
      </c>
      <c r="BA44" s="61">
        <v>4</v>
      </c>
      <c r="BB44" s="63">
        <f t="shared" si="12"/>
        <v>0.8</v>
      </c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</row>
    <row r="45" spans="1:87" x14ac:dyDescent="0.25">
      <c r="A45" s="128">
        <v>3752</v>
      </c>
      <c r="B45" s="128">
        <v>4415</v>
      </c>
      <c r="C45" s="129">
        <v>1069090783</v>
      </c>
      <c r="D45" s="128" t="s">
        <v>853</v>
      </c>
      <c r="E45" s="128" t="s">
        <v>546</v>
      </c>
      <c r="F45" s="128" t="s">
        <v>546</v>
      </c>
      <c r="G45" s="128" t="s">
        <v>322</v>
      </c>
      <c r="H45" s="128" t="s">
        <v>323</v>
      </c>
      <c r="I45" s="128" t="s">
        <v>1218</v>
      </c>
      <c r="J45" s="128" t="s">
        <v>313</v>
      </c>
      <c r="K45" s="128" t="s">
        <v>342</v>
      </c>
      <c r="L45" s="128">
        <v>73015</v>
      </c>
      <c r="M45" s="128"/>
      <c r="N45" s="130"/>
      <c r="O45" s="131"/>
      <c r="P45" s="133">
        <v>78752.476450000002</v>
      </c>
      <c r="Q45" s="61">
        <v>36406.089999999997</v>
      </c>
      <c r="R45" s="63">
        <f t="shared" si="0"/>
        <v>0.46228501808592959</v>
      </c>
      <c r="S45" s="61">
        <v>12109.11607</v>
      </c>
      <c r="T45" s="61">
        <v>0</v>
      </c>
      <c r="U45" s="63">
        <f t="shared" si="1"/>
        <v>0</v>
      </c>
      <c r="V45" s="61">
        <v>24672.948579999993</v>
      </c>
      <c r="W45" s="61">
        <v>5323.4800000000005</v>
      </c>
      <c r="X45" s="63">
        <f t="shared" si="2"/>
        <v>0.21576180823054275</v>
      </c>
      <c r="Y45" s="61">
        <v>548.14818000000002</v>
      </c>
      <c r="Z45" s="102">
        <v>0</v>
      </c>
      <c r="AA45" s="63">
        <f t="shared" si="3"/>
        <v>0</v>
      </c>
      <c r="AB45" s="61">
        <v>20</v>
      </c>
      <c r="AC45" s="61">
        <v>3</v>
      </c>
      <c r="AD45" s="63">
        <f t="shared" si="4"/>
        <v>0.15</v>
      </c>
      <c r="AE45" s="61">
        <v>2</v>
      </c>
      <c r="AF45" s="61">
        <v>0</v>
      </c>
      <c r="AG45" s="63">
        <f t="shared" si="5"/>
        <v>0</v>
      </c>
      <c r="AH45" s="61">
        <v>84</v>
      </c>
      <c r="AI45" s="61">
        <v>25</v>
      </c>
      <c r="AJ45" s="63">
        <f t="shared" si="6"/>
        <v>0.29761904761904762</v>
      </c>
      <c r="AK45" s="61">
        <v>4</v>
      </c>
      <c r="AL45" s="61">
        <v>2</v>
      </c>
      <c r="AM45" s="63">
        <f t="shared" si="7"/>
        <v>0.5</v>
      </c>
      <c r="AN45" s="61">
        <v>5</v>
      </c>
      <c r="AO45" s="61">
        <v>1</v>
      </c>
      <c r="AP45" s="63">
        <f t="shared" si="8"/>
        <v>0.2</v>
      </c>
      <c r="AQ45" s="61">
        <v>11</v>
      </c>
      <c r="AR45" s="61">
        <v>2</v>
      </c>
      <c r="AS45" s="63">
        <f t="shared" si="9"/>
        <v>0.18181818181818182</v>
      </c>
      <c r="AT45" s="61">
        <v>5</v>
      </c>
      <c r="AU45" s="61">
        <v>1</v>
      </c>
      <c r="AV45" s="63">
        <f t="shared" si="10"/>
        <v>0.2</v>
      </c>
      <c r="AW45" s="61">
        <v>2.3048294069438753</v>
      </c>
      <c r="AX45" s="61">
        <v>0</v>
      </c>
      <c r="AY45" s="63">
        <f t="shared" si="11"/>
        <v>0</v>
      </c>
      <c r="AZ45" s="61">
        <v>8</v>
      </c>
      <c r="BA45" s="61">
        <v>1</v>
      </c>
      <c r="BB45" s="63">
        <f t="shared" si="12"/>
        <v>0.125</v>
      </c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</row>
    <row r="46" spans="1:87" x14ac:dyDescent="0.25">
      <c r="A46" s="206">
        <v>22168</v>
      </c>
      <c r="B46" s="207">
        <v>4415</v>
      </c>
      <c r="C46" s="208">
        <v>1003593264</v>
      </c>
      <c r="D46" s="207" t="s">
        <v>867</v>
      </c>
      <c r="E46" s="207" t="s">
        <v>546</v>
      </c>
      <c r="F46" s="207" t="s">
        <v>546</v>
      </c>
      <c r="G46" s="207" t="s">
        <v>355</v>
      </c>
      <c r="H46" s="207" t="s">
        <v>355</v>
      </c>
      <c r="I46" s="207" t="s">
        <v>1218</v>
      </c>
      <c r="J46" s="207" t="s">
        <v>313</v>
      </c>
      <c r="K46" s="207" t="s">
        <v>342</v>
      </c>
      <c r="L46" s="207">
        <v>73015</v>
      </c>
      <c r="M46" s="207"/>
      <c r="N46" s="209"/>
      <c r="O46" s="207"/>
      <c r="P46" s="211">
        <v>78744.59332</v>
      </c>
      <c r="Q46" s="61">
        <v>45206.98000000001</v>
      </c>
      <c r="R46" s="63">
        <f t="shared" si="0"/>
        <v>0.5740963041905518</v>
      </c>
      <c r="S46" s="61">
        <v>12107.90395</v>
      </c>
      <c r="T46" s="61">
        <v>0</v>
      </c>
      <c r="U46" s="63">
        <f t="shared" si="1"/>
        <v>0</v>
      </c>
      <c r="V46" s="61">
        <v>24670.478810000004</v>
      </c>
      <c r="W46" s="61">
        <v>8736.52</v>
      </c>
      <c r="X46" s="63">
        <f t="shared" si="2"/>
        <v>0.35412851397349915</v>
      </c>
      <c r="Y46" s="61">
        <v>549.15765999999996</v>
      </c>
      <c r="Z46" s="102">
        <v>0</v>
      </c>
      <c r="AA46" s="63">
        <f t="shared" si="3"/>
        <v>0</v>
      </c>
      <c r="AB46" s="61">
        <v>20</v>
      </c>
      <c r="AC46" s="61">
        <v>5</v>
      </c>
      <c r="AD46" s="63">
        <f t="shared" si="4"/>
        <v>0.25</v>
      </c>
      <c r="AE46" s="61">
        <v>2</v>
      </c>
      <c r="AF46" s="61">
        <v>1</v>
      </c>
      <c r="AG46" s="63">
        <f t="shared" si="5"/>
        <v>0.5</v>
      </c>
      <c r="AH46" s="61">
        <v>84</v>
      </c>
      <c r="AI46" s="61">
        <v>39</v>
      </c>
      <c r="AJ46" s="63">
        <f t="shared" si="6"/>
        <v>0.4642857142857143</v>
      </c>
      <c r="AK46" s="61">
        <v>4</v>
      </c>
      <c r="AL46" s="61">
        <v>1</v>
      </c>
      <c r="AM46" s="63">
        <f t="shared" si="7"/>
        <v>0.25</v>
      </c>
      <c r="AN46" s="61">
        <v>5</v>
      </c>
      <c r="AO46" s="61">
        <v>1</v>
      </c>
      <c r="AP46" s="63">
        <f t="shared" si="8"/>
        <v>0.2</v>
      </c>
      <c r="AQ46" s="61">
        <v>11</v>
      </c>
      <c r="AR46" s="61">
        <v>4</v>
      </c>
      <c r="AS46" s="63">
        <f t="shared" si="9"/>
        <v>0.36363636363636365</v>
      </c>
      <c r="AT46" s="61">
        <v>5</v>
      </c>
      <c r="AU46" s="61">
        <v>0</v>
      </c>
      <c r="AV46" s="63">
        <f t="shared" si="10"/>
        <v>0</v>
      </c>
      <c r="AW46" s="61">
        <v>2.3045986933122311</v>
      </c>
      <c r="AX46" s="61">
        <v>0</v>
      </c>
      <c r="AY46" s="63">
        <f t="shared" si="11"/>
        <v>0</v>
      </c>
      <c r="AZ46" s="61">
        <v>8</v>
      </c>
      <c r="BA46" s="61">
        <v>0</v>
      </c>
      <c r="BB46" s="63">
        <f t="shared" si="12"/>
        <v>0</v>
      </c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</row>
    <row r="47" spans="1:87" x14ac:dyDescent="0.25">
      <c r="A47" s="128">
        <v>9852</v>
      </c>
      <c r="B47" s="128">
        <v>4415</v>
      </c>
      <c r="C47" s="129">
        <v>1074176551</v>
      </c>
      <c r="D47" s="128" t="s">
        <v>863</v>
      </c>
      <c r="E47" s="128" t="s">
        <v>546</v>
      </c>
      <c r="F47" s="128" t="s">
        <v>546</v>
      </c>
      <c r="G47" s="128" t="s">
        <v>349</v>
      </c>
      <c r="H47" s="128" t="s">
        <v>349</v>
      </c>
      <c r="I47" s="128" t="s">
        <v>1218</v>
      </c>
      <c r="J47" s="128" t="s">
        <v>313</v>
      </c>
      <c r="K47" s="128" t="s">
        <v>342</v>
      </c>
      <c r="L47" s="128">
        <v>73015</v>
      </c>
      <c r="M47" s="128" t="s">
        <v>1215</v>
      </c>
      <c r="N47" s="130"/>
      <c r="O47" s="131"/>
      <c r="P47" s="133">
        <v>90989.066200000001</v>
      </c>
      <c r="Q47" s="61">
        <v>78535.670000000013</v>
      </c>
      <c r="R47" s="63">
        <f t="shared" si="0"/>
        <v>0.86313304751774678</v>
      </c>
      <c r="S47" s="61">
        <v>13990.635130000001</v>
      </c>
      <c r="T47" s="61">
        <v>0</v>
      </c>
      <c r="U47" s="63">
        <f t="shared" si="1"/>
        <v>0</v>
      </c>
      <c r="V47" s="61">
        <v>28506.640720000003</v>
      </c>
      <c r="W47" s="61">
        <v>13755.22</v>
      </c>
      <c r="X47" s="63">
        <f t="shared" si="2"/>
        <v>0.4825268657611228</v>
      </c>
      <c r="Y47" s="61">
        <v>550.16714000000002</v>
      </c>
      <c r="Z47" s="102">
        <v>0</v>
      </c>
      <c r="AA47" s="63">
        <f t="shared" si="3"/>
        <v>0</v>
      </c>
      <c r="AB47" s="61">
        <v>20</v>
      </c>
      <c r="AC47" s="61">
        <v>19</v>
      </c>
      <c r="AD47" s="63">
        <f t="shared" si="4"/>
        <v>0.95</v>
      </c>
      <c r="AE47" s="61">
        <v>2</v>
      </c>
      <c r="AF47" s="61">
        <v>0</v>
      </c>
      <c r="AG47" s="63">
        <f t="shared" si="5"/>
        <v>0</v>
      </c>
      <c r="AH47" s="61">
        <v>84</v>
      </c>
      <c r="AI47" s="61">
        <v>45</v>
      </c>
      <c r="AJ47" s="63">
        <f t="shared" si="6"/>
        <v>0.5357142857142857</v>
      </c>
      <c r="AK47" s="61">
        <v>4</v>
      </c>
      <c r="AL47" s="61">
        <v>3</v>
      </c>
      <c r="AM47" s="63">
        <f t="shared" si="7"/>
        <v>0.75</v>
      </c>
      <c r="AN47" s="61">
        <v>5</v>
      </c>
      <c r="AO47" s="61">
        <v>0</v>
      </c>
      <c r="AP47" s="63">
        <f t="shared" si="8"/>
        <v>0</v>
      </c>
      <c r="AQ47" s="61">
        <v>11</v>
      </c>
      <c r="AR47" s="61">
        <v>11</v>
      </c>
      <c r="AS47" s="63">
        <f t="shared" si="9"/>
        <v>1</v>
      </c>
      <c r="AT47" s="61">
        <v>5</v>
      </c>
      <c r="AU47" s="61">
        <v>4</v>
      </c>
      <c r="AV47" s="63">
        <f t="shared" si="10"/>
        <v>0.8</v>
      </c>
      <c r="AW47" s="61">
        <v>2.6629546770033414</v>
      </c>
      <c r="AX47" s="61">
        <v>0</v>
      </c>
      <c r="AY47" s="63">
        <f t="shared" si="11"/>
        <v>0</v>
      </c>
      <c r="AZ47" s="61">
        <v>8</v>
      </c>
      <c r="BA47" s="61">
        <v>1</v>
      </c>
      <c r="BB47" s="63">
        <f t="shared" si="12"/>
        <v>0.125</v>
      </c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</row>
    <row r="48" spans="1:87" x14ac:dyDescent="0.25">
      <c r="A48" s="128">
        <v>9822</v>
      </c>
      <c r="B48" s="128">
        <v>4415</v>
      </c>
      <c r="C48" s="138">
        <v>1076354982</v>
      </c>
      <c r="D48" s="128" t="s">
        <v>877</v>
      </c>
      <c r="E48" s="128" t="s">
        <v>546</v>
      </c>
      <c r="F48" s="128" t="s">
        <v>546</v>
      </c>
      <c r="G48" s="128" t="s">
        <v>360</v>
      </c>
      <c r="H48" s="128" t="s">
        <v>361</v>
      </c>
      <c r="I48" s="128" t="s">
        <v>1218</v>
      </c>
      <c r="J48" s="128" t="s">
        <v>313</v>
      </c>
      <c r="K48" s="128" t="s">
        <v>342</v>
      </c>
      <c r="L48" s="128">
        <v>73015</v>
      </c>
      <c r="M48" s="139" t="s">
        <v>1215</v>
      </c>
      <c r="N48" s="140"/>
      <c r="O48" s="141"/>
      <c r="P48" s="133">
        <v>90989.066200000001</v>
      </c>
      <c r="Q48" s="61">
        <v>38748.710000000006</v>
      </c>
      <c r="R48" s="63">
        <f t="shared" si="0"/>
        <v>0.42586116792129475</v>
      </c>
      <c r="S48" s="61">
        <v>13990.635130000001</v>
      </c>
      <c r="T48" s="61">
        <v>3216.52</v>
      </c>
      <c r="U48" s="63">
        <f t="shared" si="1"/>
        <v>0.22990521660470176</v>
      </c>
      <c r="V48" s="61">
        <v>28506.640720000003</v>
      </c>
      <c r="W48" s="61">
        <v>8637.39</v>
      </c>
      <c r="X48" s="63">
        <f t="shared" si="2"/>
        <v>0.30299571544885973</v>
      </c>
      <c r="Y48" s="61">
        <v>551.17661999999996</v>
      </c>
      <c r="Z48" s="102">
        <v>0</v>
      </c>
      <c r="AA48" s="63">
        <f t="shared" si="3"/>
        <v>0</v>
      </c>
      <c r="AB48" s="61">
        <v>20</v>
      </c>
      <c r="AC48" s="61">
        <v>7</v>
      </c>
      <c r="AD48" s="63">
        <f t="shared" si="4"/>
        <v>0.35</v>
      </c>
      <c r="AE48" s="61">
        <v>2</v>
      </c>
      <c r="AF48" s="61">
        <v>1</v>
      </c>
      <c r="AG48" s="63">
        <f t="shared" si="5"/>
        <v>0.5</v>
      </c>
      <c r="AH48" s="61">
        <v>84</v>
      </c>
      <c r="AI48" s="61">
        <v>44</v>
      </c>
      <c r="AJ48" s="63">
        <f t="shared" si="6"/>
        <v>0.52380952380952384</v>
      </c>
      <c r="AK48" s="61">
        <v>4</v>
      </c>
      <c r="AL48" s="61">
        <v>1</v>
      </c>
      <c r="AM48" s="63">
        <f t="shared" si="7"/>
        <v>0.25</v>
      </c>
      <c r="AN48" s="61">
        <v>5</v>
      </c>
      <c r="AO48" s="61">
        <v>2</v>
      </c>
      <c r="AP48" s="63">
        <f t="shared" si="8"/>
        <v>0.4</v>
      </c>
      <c r="AQ48" s="61">
        <v>11</v>
      </c>
      <c r="AR48" s="61">
        <v>7</v>
      </c>
      <c r="AS48" s="63">
        <f t="shared" si="9"/>
        <v>0.63636363636363635</v>
      </c>
      <c r="AT48" s="61">
        <v>5</v>
      </c>
      <c r="AU48" s="61">
        <v>3</v>
      </c>
      <c r="AV48" s="63">
        <f t="shared" si="10"/>
        <v>0.6</v>
      </c>
      <c r="AW48" s="61">
        <v>2.6629546770033414</v>
      </c>
      <c r="AX48" s="61">
        <v>0</v>
      </c>
      <c r="AY48" s="63">
        <f t="shared" si="11"/>
        <v>0</v>
      </c>
      <c r="AZ48" s="61">
        <v>8</v>
      </c>
      <c r="BA48" s="61">
        <v>0</v>
      </c>
      <c r="BB48" s="63">
        <f t="shared" si="12"/>
        <v>0</v>
      </c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</row>
    <row r="49" spans="1:87" x14ac:dyDescent="0.25">
      <c r="A49" s="128">
        <v>21018</v>
      </c>
      <c r="B49" s="128">
        <v>4415</v>
      </c>
      <c r="C49" s="129">
        <v>1033935568</v>
      </c>
      <c r="D49" s="128" t="s">
        <v>854</v>
      </c>
      <c r="E49" s="128" t="s">
        <v>546</v>
      </c>
      <c r="F49" s="128" t="s">
        <v>546</v>
      </c>
      <c r="G49" s="128" t="s">
        <v>364</v>
      </c>
      <c r="H49" s="128" t="s">
        <v>364</v>
      </c>
      <c r="I49" s="128" t="s">
        <v>1218</v>
      </c>
      <c r="J49" s="128" t="s">
        <v>313</v>
      </c>
      <c r="K49" s="128" t="s">
        <v>342</v>
      </c>
      <c r="L49" s="128">
        <v>73015</v>
      </c>
      <c r="M49" s="128"/>
      <c r="N49" s="130"/>
      <c r="O49" s="131"/>
      <c r="P49" s="133">
        <v>78736.710189999998</v>
      </c>
      <c r="Q49" s="61">
        <v>26369.57</v>
      </c>
      <c r="R49" s="63">
        <f t="shared" si="0"/>
        <v>0.33490820147765182</v>
      </c>
      <c r="S49" s="61">
        <v>12106.69182</v>
      </c>
      <c r="T49" s="61">
        <v>3651.3</v>
      </c>
      <c r="U49" s="63">
        <f t="shared" si="1"/>
        <v>0.30159353639184316</v>
      </c>
      <c r="V49" s="61">
        <v>24668.009040000001</v>
      </c>
      <c r="W49" s="61">
        <v>4427.3900000000003</v>
      </c>
      <c r="X49" s="63">
        <f t="shared" si="2"/>
        <v>0.17947901643869352</v>
      </c>
      <c r="Y49" s="61">
        <v>552.18610000000001</v>
      </c>
      <c r="Z49" s="102">
        <v>0</v>
      </c>
      <c r="AA49" s="63">
        <f t="shared" si="3"/>
        <v>0</v>
      </c>
      <c r="AB49" s="61">
        <v>20</v>
      </c>
      <c r="AC49" s="61">
        <v>14</v>
      </c>
      <c r="AD49" s="63">
        <f t="shared" si="4"/>
        <v>0.7</v>
      </c>
      <c r="AE49" s="61">
        <v>2</v>
      </c>
      <c r="AF49" s="61">
        <v>0</v>
      </c>
      <c r="AG49" s="63">
        <f t="shared" si="5"/>
        <v>0</v>
      </c>
      <c r="AH49" s="61">
        <v>84</v>
      </c>
      <c r="AI49" s="61">
        <v>27</v>
      </c>
      <c r="AJ49" s="63">
        <f t="shared" si="6"/>
        <v>0.32142857142857145</v>
      </c>
      <c r="AK49" s="61">
        <v>4</v>
      </c>
      <c r="AL49" s="61">
        <v>1</v>
      </c>
      <c r="AM49" s="63">
        <f t="shared" si="7"/>
        <v>0.25</v>
      </c>
      <c r="AN49" s="61">
        <v>5</v>
      </c>
      <c r="AO49" s="61">
        <v>0</v>
      </c>
      <c r="AP49" s="63">
        <f t="shared" si="8"/>
        <v>0</v>
      </c>
      <c r="AQ49" s="61">
        <v>11</v>
      </c>
      <c r="AR49" s="61">
        <v>5</v>
      </c>
      <c r="AS49" s="63">
        <f t="shared" si="9"/>
        <v>0.45454545454545453</v>
      </c>
      <c r="AT49" s="61">
        <v>5</v>
      </c>
      <c r="AU49" s="61">
        <v>0</v>
      </c>
      <c r="AV49" s="63">
        <f t="shared" si="10"/>
        <v>0</v>
      </c>
      <c r="AW49" s="61">
        <v>2.3043679796805865</v>
      </c>
      <c r="AX49" s="61">
        <v>0</v>
      </c>
      <c r="AY49" s="63">
        <f t="shared" si="11"/>
        <v>0</v>
      </c>
      <c r="AZ49" s="61">
        <v>8</v>
      </c>
      <c r="BA49" s="61">
        <v>0</v>
      </c>
      <c r="BB49" s="63">
        <f t="shared" si="12"/>
        <v>0</v>
      </c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</row>
    <row r="50" spans="1:87" x14ac:dyDescent="0.25">
      <c r="A50" s="128">
        <v>21233</v>
      </c>
      <c r="B50" s="128">
        <v>4415</v>
      </c>
      <c r="C50" s="129">
        <v>1017611763</v>
      </c>
      <c r="D50" s="128" t="s">
        <v>859</v>
      </c>
      <c r="E50" s="128" t="s">
        <v>546</v>
      </c>
      <c r="F50" s="128" t="s">
        <v>546</v>
      </c>
      <c r="G50" s="128" t="s">
        <v>449</v>
      </c>
      <c r="H50" s="128" t="s">
        <v>449</v>
      </c>
      <c r="I50" s="128" t="s">
        <v>1218</v>
      </c>
      <c r="J50" s="128" t="s">
        <v>313</v>
      </c>
      <c r="K50" s="128" t="s">
        <v>342</v>
      </c>
      <c r="L50" s="128">
        <v>73015</v>
      </c>
      <c r="M50" s="128" t="s">
        <v>1222</v>
      </c>
      <c r="N50" s="130"/>
      <c r="O50" s="131"/>
      <c r="P50" s="133">
        <v>76466.368530000007</v>
      </c>
      <c r="Q50" s="61">
        <v>65538.28</v>
      </c>
      <c r="R50" s="63">
        <f t="shared" si="0"/>
        <v>0.85708634083083735</v>
      </c>
      <c r="S50" s="61">
        <v>11757.600190000001</v>
      </c>
      <c r="T50" s="61">
        <v>1216.52</v>
      </c>
      <c r="U50" s="63">
        <f t="shared" si="1"/>
        <v>0.10346669221110842</v>
      </c>
      <c r="V50" s="61">
        <v>23956.716840000001</v>
      </c>
      <c r="W50" s="61">
        <v>11726.96</v>
      </c>
      <c r="X50" s="63">
        <f t="shared" si="2"/>
        <v>0.48950614052505531</v>
      </c>
      <c r="Y50" s="61">
        <v>553.19559000000004</v>
      </c>
      <c r="Z50" s="102">
        <v>0</v>
      </c>
      <c r="AA50" s="63">
        <f t="shared" si="3"/>
        <v>0</v>
      </c>
      <c r="AB50" s="61">
        <v>20</v>
      </c>
      <c r="AC50" s="61">
        <v>4</v>
      </c>
      <c r="AD50" s="63">
        <f t="shared" si="4"/>
        <v>0.2</v>
      </c>
      <c r="AE50" s="61">
        <v>2</v>
      </c>
      <c r="AF50" s="61">
        <v>0</v>
      </c>
      <c r="AG50" s="63">
        <f t="shared" si="5"/>
        <v>0</v>
      </c>
      <c r="AH50" s="61">
        <v>84</v>
      </c>
      <c r="AI50" s="61">
        <v>19</v>
      </c>
      <c r="AJ50" s="63">
        <f t="shared" si="6"/>
        <v>0.22619047619047619</v>
      </c>
      <c r="AK50" s="61">
        <v>4</v>
      </c>
      <c r="AL50" s="61">
        <v>2</v>
      </c>
      <c r="AM50" s="63">
        <f t="shared" si="7"/>
        <v>0.5</v>
      </c>
      <c r="AN50" s="61">
        <v>5</v>
      </c>
      <c r="AO50" s="61">
        <v>2</v>
      </c>
      <c r="AP50" s="63">
        <f t="shared" si="8"/>
        <v>0.4</v>
      </c>
      <c r="AQ50" s="61">
        <v>9</v>
      </c>
      <c r="AR50" s="61">
        <v>4</v>
      </c>
      <c r="AS50" s="63">
        <f t="shared" si="9"/>
        <v>0.44444444444444442</v>
      </c>
      <c r="AT50" s="61">
        <v>15</v>
      </c>
      <c r="AU50" s="61">
        <v>8</v>
      </c>
      <c r="AV50" s="63">
        <f t="shared" si="10"/>
        <v>0.53333333333333333</v>
      </c>
      <c r="AW50" s="61">
        <v>2.2379224473283434</v>
      </c>
      <c r="AX50" s="61">
        <v>0</v>
      </c>
      <c r="AY50" s="63">
        <f t="shared" si="11"/>
        <v>0</v>
      </c>
      <c r="AZ50" s="61">
        <v>8</v>
      </c>
      <c r="BA50" s="61">
        <v>4</v>
      </c>
      <c r="BB50" s="63">
        <f t="shared" si="12"/>
        <v>0.5</v>
      </c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</row>
    <row r="51" spans="1:87" x14ac:dyDescent="0.25">
      <c r="A51" s="128">
        <v>5852</v>
      </c>
      <c r="B51" s="128">
        <v>4415</v>
      </c>
      <c r="C51" s="129">
        <v>1019895109</v>
      </c>
      <c r="D51" s="128" t="s">
        <v>862</v>
      </c>
      <c r="E51" s="128" t="s">
        <v>546</v>
      </c>
      <c r="F51" s="128" t="s">
        <v>546</v>
      </c>
      <c r="G51" s="128" t="s">
        <v>344</v>
      </c>
      <c r="H51" s="128" t="s">
        <v>345</v>
      </c>
      <c r="I51" s="128" t="s">
        <v>1218</v>
      </c>
      <c r="J51" s="128" t="s">
        <v>313</v>
      </c>
      <c r="K51" s="128" t="s">
        <v>342</v>
      </c>
      <c r="L51" s="128">
        <v>73015</v>
      </c>
      <c r="M51" s="128" t="s">
        <v>1215</v>
      </c>
      <c r="N51" s="130"/>
      <c r="O51" s="131"/>
      <c r="P51" s="133">
        <v>90989.066200000001</v>
      </c>
      <c r="Q51" s="61">
        <v>51940.020000000004</v>
      </c>
      <c r="R51" s="63">
        <f t="shared" si="0"/>
        <v>0.57083803768061969</v>
      </c>
      <c r="S51" s="61">
        <v>13990.635130000001</v>
      </c>
      <c r="T51" s="61">
        <v>8953.91</v>
      </c>
      <c r="U51" s="63">
        <f t="shared" si="1"/>
        <v>0.639993103729809</v>
      </c>
      <c r="V51" s="61">
        <v>28506.640720000003</v>
      </c>
      <c r="W51" s="61">
        <v>18309.999999999996</v>
      </c>
      <c r="X51" s="63">
        <f t="shared" si="2"/>
        <v>0.64230647798335161</v>
      </c>
      <c r="Y51" s="61">
        <v>554.20506999999998</v>
      </c>
      <c r="Z51" s="102">
        <v>0</v>
      </c>
      <c r="AA51" s="63">
        <f t="shared" si="3"/>
        <v>0</v>
      </c>
      <c r="AB51" s="61">
        <v>20</v>
      </c>
      <c r="AC51" s="61">
        <v>14</v>
      </c>
      <c r="AD51" s="63">
        <f t="shared" si="4"/>
        <v>0.7</v>
      </c>
      <c r="AE51" s="61">
        <v>2</v>
      </c>
      <c r="AF51" s="61">
        <v>0</v>
      </c>
      <c r="AG51" s="63">
        <f t="shared" si="5"/>
        <v>0</v>
      </c>
      <c r="AH51" s="61">
        <v>84</v>
      </c>
      <c r="AI51" s="61">
        <v>31</v>
      </c>
      <c r="AJ51" s="63">
        <f t="shared" si="6"/>
        <v>0.36904761904761907</v>
      </c>
      <c r="AK51" s="61">
        <v>4</v>
      </c>
      <c r="AL51" s="61">
        <v>3</v>
      </c>
      <c r="AM51" s="63">
        <f t="shared" si="7"/>
        <v>0.75</v>
      </c>
      <c r="AN51" s="61">
        <v>5</v>
      </c>
      <c r="AO51" s="61">
        <v>5</v>
      </c>
      <c r="AP51" s="63">
        <f t="shared" si="8"/>
        <v>1</v>
      </c>
      <c r="AQ51" s="61">
        <v>12</v>
      </c>
      <c r="AR51" s="61">
        <v>7</v>
      </c>
      <c r="AS51" s="63">
        <f t="shared" si="9"/>
        <v>0.58333333333333337</v>
      </c>
      <c r="AT51" s="61">
        <v>5</v>
      </c>
      <c r="AU51" s="61">
        <v>6</v>
      </c>
      <c r="AV51" s="63">
        <f t="shared" si="10"/>
        <v>1.2</v>
      </c>
      <c r="AW51" s="61">
        <v>2.6629546770033414</v>
      </c>
      <c r="AX51" s="61">
        <v>0</v>
      </c>
      <c r="AY51" s="63">
        <f t="shared" si="11"/>
        <v>0</v>
      </c>
      <c r="AZ51" s="61">
        <v>8</v>
      </c>
      <c r="BA51" s="61">
        <v>0</v>
      </c>
      <c r="BB51" s="63">
        <f t="shared" si="12"/>
        <v>0</v>
      </c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</row>
    <row r="52" spans="1:87" x14ac:dyDescent="0.25">
      <c r="A52" s="213">
        <v>21435</v>
      </c>
      <c r="B52" s="213">
        <v>4415</v>
      </c>
      <c r="C52" s="223">
        <v>1003125992</v>
      </c>
      <c r="D52" s="213" t="s">
        <v>876</v>
      </c>
      <c r="E52" s="213" t="s">
        <v>546</v>
      </c>
      <c r="F52" s="213" t="s">
        <v>546</v>
      </c>
      <c r="G52" s="213" t="s">
        <v>359</v>
      </c>
      <c r="H52" s="213" t="s">
        <v>359</v>
      </c>
      <c r="I52" s="213" t="s">
        <v>1218</v>
      </c>
      <c r="J52" s="213" t="s">
        <v>313</v>
      </c>
      <c r="K52" s="213" t="s">
        <v>342</v>
      </c>
      <c r="L52" s="213">
        <v>73015</v>
      </c>
      <c r="M52" s="213" t="s">
        <v>1149</v>
      </c>
      <c r="N52" s="224"/>
      <c r="O52" s="225"/>
      <c r="P52" s="218">
        <v>75678.05545</v>
      </c>
      <c r="Q52" s="61">
        <v>64161.760000000002</v>
      </c>
      <c r="R52" s="63">
        <f t="shared" si="0"/>
        <v>0.84782516699826227</v>
      </c>
      <c r="S52" s="61">
        <v>11636.38782</v>
      </c>
      <c r="T52" s="61">
        <v>6215.66</v>
      </c>
      <c r="U52" s="63">
        <f t="shared" si="1"/>
        <v>0.53415717112116667</v>
      </c>
      <c r="V52" s="61">
        <v>23709.740360000003</v>
      </c>
      <c r="W52" s="61">
        <v>28221.78</v>
      </c>
      <c r="X52" s="63">
        <f t="shared" si="2"/>
        <v>1.1903032075210795</v>
      </c>
      <c r="Y52" s="61">
        <v>6643.3944300000003</v>
      </c>
      <c r="Z52" s="102">
        <v>115</v>
      </c>
      <c r="AA52" s="63">
        <f t="shared" si="3"/>
        <v>1.7310427856080193E-2</v>
      </c>
      <c r="AB52" s="61">
        <v>11</v>
      </c>
      <c r="AC52" s="61">
        <v>6</v>
      </c>
      <c r="AD52" s="63">
        <f t="shared" si="4"/>
        <v>0.54545454545454541</v>
      </c>
      <c r="AE52" s="61">
        <v>2</v>
      </c>
      <c r="AF52" s="61">
        <v>0</v>
      </c>
      <c r="AG52" s="63">
        <f t="shared" si="5"/>
        <v>0</v>
      </c>
      <c r="AH52" s="61">
        <v>62</v>
      </c>
      <c r="AI52" s="61">
        <v>24</v>
      </c>
      <c r="AJ52" s="63">
        <f t="shared" si="6"/>
        <v>0.38709677419354838</v>
      </c>
      <c r="AK52" s="61">
        <v>4</v>
      </c>
      <c r="AL52" s="61">
        <v>0</v>
      </c>
      <c r="AM52" s="63">
        <f t="shared" si="7"/>
        <v>0</v>
      </c>
      <c r="AN52" s="61">
        <v>5</v>
      </c>
      <c r="AO52" s="61">
        <v>2</v>
      </c>
      <c r="AP52" s="63">
        <f t="shared" si="8"/>
        <v>0.4</v>
      </c>
      <c r="AQ52" s="61">
        <v>7</v>
      </c>
      <c r="AR52" s="61">
        <v>1</v>
      </c>
      <c r="AS52" s="63">
        <f t="shared" si="9"/>
        <v>0.14285714285714285</v>
      </c>
      <c r="AT52" s="61">
        <v>2</v>
      </c>
      <c r="AU52" s="61">
        <v>2</v>
      </c>
      <c r="AV52" s="63">
        <f t="shared" si="10"/>
        <v>1</v>
      </c>
      <c r="AW52" s="61">
        <v>2.2148510818225731</v>
      </c>
      <c r="AX52" s="61">
        <v>0</v>
      </c>
      <c r="AY52" s="63">
        <f t="shared" si="11"/>
        <v>0</v>
      </c>
      <c r="AZ52" s="61">
        <v>8</v>
      </c>
      <c r="BA52" s="61">
        <v>2</v>
      </c>
      <c r="BB52" s="63">
        <f t="shared" si="12"/>
        <v>0.25</v>
      </c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</row>
    <row r="53" spans="1:87" x14ac:dyDescent="0.25">
      <c r="A53" s="206">
        <v>21534</v>
      </c>
      <c r="B53" s="207">
        <v>4415</v>
      </c>
      <c r="C53" s="219">
        <v>1005751506</v>
      </c>
      <c r="D53" s="207" t="s">
        <v>878</v>
      </c>
      <c r="E53" s="207" t="s">
        <v>546</v>
      </c>
      <c r="F53" s="207" t="s">
        <v>546</v>
      </c>
      <c r="G53" s="207" t="s">
        <v>362</v>
      </c>
      <c r="H53" s="207" t="s">
        <v>362</v>
      </c>
      <c r="I53" s="207" t="s">
        <v>1218</v>
      </c>
      <c r="J53" s="207" t="s">
        <v>313</v>
      </c>
      <c r="K53" s="207" t="s">
        <v>342</v>
      </c>
      <c r="L53" s="207">
        <v>73015</v>
      </c>
      <c r="M53" s="220" t="s">
        <v>1215</v>
      </c>
      <c r="N53" s="221"/>
      <c r="O53" s="226"/>
      <c r="P53" s="211">
        <v>90989.066200000001</v>
      </c>
      <c r="Q53" s="61">
        <v>62381.759999999995</v>
      </c>
      <c r="R53" s="63">
        <f t="shared" si="0"/>
        <v>0.68559622166998335</v>
      </c>
      <c r="S53" s="61">
        <v>13990.635130000001</v>
      </c>
      <c r="T53" s="61">
        <v>14440</v>
      </c>
      <c r="U53" s="63">
        <f t="shared" si="1"/>
        <v>1.0321189757165798</v>
      </c>
      <c r="V53" s="61">
        <v>28506.640720000003</v>
      </c>
      <c r="W53" s="61">
        <v>11983.91</v>
      </c>
      <c r="X53" s="63">
        <f t="shared" si="2"/>
        <v>0.42039011603328613</v>
      </c>
      <c r="Y53" s="61">
        <v>555.21455000000003</v>
      </c>
      <c r="Z53" s="102">
        <v>0</v>
      </c>
      <c r="AA53" s="63">
        <f t="shared" si="3"/>
        <v>0</v>
      </c>
      <c r="AB53" s="61">
        <v>20</v>
      </c>
      <c r="AC53" s="61">
        <v>9</v>
      </c>
      <c r="AD53" s="63">
        <f t="shared" si="4"/>
        <v>0.45</v>
      </c>
      <c r="AE53" s="61">
        <v>2</v>
      </c>
      <c r="AF53" s="61">
        <v>0</v>
      </c>
      <c r="AG53" s="63">
        <f t="shared" si="5"/>
        <v>0</v>
      </c>
      <c r="AH53" s="61">
        <v>84</v>
      </c>
      <c r="AI53" s="61">
        <v>21</v>
      </c>
      <c r="AJ53" s="63">
        <f t="shared" si="6"/>
        <v>0.25</v>
      </c>
      <c r="AK53" s="61">
        <v>4</v>
      </c>
      <c r="AL53" s="61">
        <v>3</v>
      </c>
      <c r="AM53" s="63">
        <f t="shared" si="7"/>
        <v>0.75</v>
      </c>
      <c r="AN53" s="61">
        <v>5</v>
      </c>
      <c r="AO53" s="61">
        <v>0</v>
      </c>
      <c r="AP53" s="63">
        <f t="shared" si="8"/>
        <v>0</v>
      </c>
      <c r="AQ53" s="61">
        <v>12</v>
      </c>
      <c r="AR53" s="61">
        <v>3</v>
      </c>
      <c r="AS53" s="63">
        <f t="shared" si="9"/>
        <v>0.25</v>
      </c>
      <c r="AT53" s="61">
        <v>5</v>
      </c>
      <c r="AU53" s="61">
        <v>1</v>
      </c>
      <c r="AV53" s="63">
        <f t="shared" si="10"/>
        <v>0.2</v>
      </c>
      <c r="AW53" s="61">
        <v>2.6629546770033414</v>
      </c>
      <c r="AX53" s="61">
        <v>0</v>
      </c>
      <c r="AY53" s="63">
        <f t="shared" si="11"/>
        <v>0</v>
      </c>
      <c r="AZ53" s="61">
        <v>8</v>
      </c>
      <c r="BA53" s="61">
        <v>2</v>
      </c>
      <c r="BB53" s="63">
        <f t="shared" si="12"/>
        <v>0.25</v>
      </c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</row>
    <row r="54" spans="1:87" x14ac:dyDescent="0.25">
      <c r="A54" s="128">
        <v>6132</v>
      </c>
      <c r="B54" s="128">
        <v>4415</v>
      </c>
      <c r="C54" s="129">
        <v>1073850503</v>
      </c>
      <c r="D54" s="128" t="s">
        <v>860</v>
      </c>
      <c r="E54" s="128" t="s">
        <v>546</v>
      </c>
      <c r="F54" s="128" t="s">
        <v>546</v>
      </c>
      <c r="G54" s="128" t="s">
        <v>454</v>
      </c>
      <c r="H54" s="128" t="s">
        <v>455</v>
      </c>
      <c r="I54" s="128" t="s">
        <v>1218</v>
      </c>
      <c r="J54" s="128" t="s">
        <v>313</v>
      </c>
      <c r="K54" s="128" t="s">
        <v>342</v>
      </c>
      <c r="L54" s="128">
        <v>73015</v>
      </c>
      <c r="M54" s="128" t="s">
        <v>1143</v>
      </c>
      <c r="N54" s="130"/>
      <c r="O54" s="131">
        <v>0.4</v>
      </c>
      <c r="P54" s="132">
        <v>64547.074789999999</v>
      </c>
      <c r="Q54" s="61">
        <v>40337.410000000003</v>
      </c>
      <c r="R54" s="63">
        <f t="shared" si="0"/>
        <v>0.62493010149933714</v>
      </c>
      <c r="S54" s="61">
        <v>9924.8691099999996</v>
      </c>
      <c r="T54" s="61">
        <v>0</v>
      </c>
      <c r="U54" s="63">
        <f t="shared" si="1"/>
        <v>0</v>
      </c>
      <c r="V54" s="61">
        <v>20222.432729999997</v>
      </c>
      <c r="W54" s="61">
        <v>10214.799999999999</v>
      </c>
      <c r="X54" s="63">
        <f t="shared" si="2"/>
        <v>0.50512221434399107</v>
      </c>
      <c r="Y54" s="61">
        <v>352.30887000000001</v>
      </c>
      <c r="Z54" s="102">
        <v>0</v>
      </c>
      <c r="AA54" s="63">
        <f t="shared" si="3"/>
        <v>0</v>
      </c>
      <c r="AB54" s="61">
        <v>9</v>
      </c>
      <c r="AC54" s="61">
        <v>10</v>
      </c>
      <c r="AD54" s="63">
        <f t="shared" si="4"/>
        <v>1.1111111111111112</v>
      </c>
      <c r="AE54" s="61">
        <v>2</v>
      </c>
      <c r="AF54" s="61">
        <v>0</v>
      </c>
      <c r="AG54" s="63">
        <f t="shared" si="5"/>
        <v>0</v>
      </c>
      <c r="AH54" s="61">
        <v>42</v>
      </c>
      <c r="AI54" s="61">
        <v>16</v>
      </c>
      <c r="AJ54" s="63">
        <f t="shared" si="6"/>
        <v>0.38095238095238093</v>
      </c>
      <c r="AK54" s="61">
        <v>2</v>
      </c>
      <c r="AL54" s="61">
        <v>1</v>
      </c>
      <c r="AM54" s="63">
        <f t="shared" si="7"/>
        <v>0.5</v>
      </c>
      <c r="AN54" s="61">
        <v>3</v>
      </c>
      <c r="AO54" s="61">
        <v>0</v>
      </c>
      <c r="AP54" s="63">
        <f t="shared" si="8"/>
        <v>0</v>
      </c>
      <c r="AQ54" s="61">
        <v>7</v>
      </c>
      <c r="AR54" s="61">
        <v>4</v>
      </c>
      <c r="AS54" s="63">
        <f t="shared" si="9"/>
        <v>0.5714285714285714</v>
      </c>
      <c r="AT54" s="61">
        <v>2</v>
      </c>
      <c r="AU54" s="61">
        <v>7</v>
      </c>
      <c r="AV54" s="63">
        <f t="shared" si="10"/>
        <v>3.5</v>
      </c>
      <c r="AW54" s="61">
        <v>1.8890834017473956</v>
      </c>
      <c r="AX54" s="61">
        <v>0</v>
      </c>
      <c r="AY54" s="63">
        <f t="shared" si="11"/>
        <v>0</v>
      </c>
      <c r="AZ54" s="61">
        <v>5</v>
      </c>
      <c r="BA54" s="61">
        <v>0</v>
      </c>
      <c r="BB54" s="63">
        <f t="shared" si="12"/>
        <v>0</v>
      </c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</row>
    <row r="55" spans="1:87" x14ac:dyDescent="0.25">
      <c r="A55" s="128">
        <v>410</v>
      </c>
      <c r="B55" s="128">
        <v>4415</v>
      </c>
      <c r="C55" s="129">
        <v>1044166013</v>
      </c>
      <c r="D55" s="128" t="s">
        <v>864</v>
      </c>
      <c r="E55" s="128" t="s">
        <v>546</v>
      </c>
      <c r="F55" s="128" t="s">
        <v>546</v>
      </c>
      <c r="G55" s="128" t="s">
        <v>450</v>
      </c>
      <c r="H55" s="128" t="s">
        <v>451</v>
      </c>
      <c r="I55" s="128" t="s">
        <v>1218</v>
      </c>
      <c r="J55" s="128" t="s">
        <v>313</v>
      </c>
      <c r="K55" s="128" t="s">
        <v>342</v>
      </c>
      <c r="L55" s="128">
        <v>73015</v>
      </c>
      <c r="M55" s="128" t="s">
        <v>1143</v>
      </c>
      <c r="N55" s="130"/>
      <c r="O55" s="131">
        <v>0.4</v>
      </c>
      <c r="P55" s="133">
        <v>64539.191659999997</v>
      </c>
      <c r="Q55" s="61">
        <v>69193.950000000012</v>
      </c>
      <c r="R55" s="63">
        <f t="shared" si="0"/>
        <v>1.0721229724184</v>
      </c>
      <c r="S55" s="61">
        <v>9923.6569899999995</v>
      </c>
      <c r="T55" s="61">
        <v>320.87</v>
      </c>
      <c r="U55" s="63">
        <f t="shared" si="1"/>
        <v>3.2333846315258423E-2</v>
      </c>
      <c r="V55" s="61">
        <v>20219.962959999997</v>
      </c>
      <c r="W55" s="61">
        <v>4625.6399999999994</v>
      </c>
      <c r="X55" s="63">
        <f t="shared" si="2"/>
        <v>0.22876599769992853</v>
      </c>
      <c r="Y55" s="61">
        <v>351.29939000000002</v>
      </c>
      <c r="Z55" s="102">
        <v>60</v>
      </c>
      <c r="AA55" s="63">
        <f t="shared" si="3"/>
        <v>0.17079448956629273</v>
      </c>
      <c r="AB55" s="61">
        <v>9</v>
      </c>
      <c r="AC55" s="61">
        <v>3</v>
      </c>
      <c r="AD55" s="63">
        <f t="shared" si="4"/>
        <v>0.33333333333333331</v>
      </c>
      <c r="AE55" s="61">
        <v>2</v>
      </c>
      <c r="AF55" s="61">
        <v>1</v>
      </c>
      <c r="AG55" s="63">
        <f t="shared" si="5"/>
        <v>0.5</v>
      </c>
      <c r="AH55" s="61">
        <v>42</v>
      </c>
      <c r="AI55" s="61">
        <v>28</v>
      </c>
      <c r="AJ55" s="63">
        <f t="shared" si="6"/>
        <v>0.66666666666666663</v>
      </c>
      <c r="AK55" s="61">
        <v>2</v>
      </c>
      <c r="AL55" s="61">
        <v>0</v>
      </c>
      <c r="AM55" s="63">
        <f t="shared" si="7"/>
        <v>0</v>
      </c>
      <c r="AN55" s="61">
        <v>3</v>
      </c>
      <c r="AO55" s="61">
        <v>3</v>
      </c>
      <c r="AP55" s="63">
        <f t="shared" si="8"/>
        <v>1</v>
      </c>
      <c r="AQ55" s="61">
        <v>7</v>
      </c>
      <c r="AR55" s="61">
        <v>3</v>
      </c>
      <c r="AS55" s="63">
        <f t="shared" si="9"/>
        <v>0.42857142857142855</v>
      </c>
      <c r="AT55" s="61">
        <v>2</v>
      </c>
      <c r="AU55" s="61">
        <v>1</v>
      </c>
      <c r="AV55" s="63">
        <f t="shared" si="10"/>
        <v>0.5</v>
      </c>
      <c r="AW55" s="61">
        <v>1.8888526881157512</v>
      </c>
      <c r="AX55" s="61">
        <v>0</v>
      </c>
      <c r="AY55" s="63">
        <f t="shared" si="11"/>
        <v>0</v>
      </c>
      <c r="AZ55" s="61">
        <v>5</v>
      </c>
      <c r="BA55" s="61">
        <v>0</v>
      </c>
      <c r="BB55" s="63">
        <f t="shared" si="12"/>
        <v>0</v>
      </c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</row>
    <row r="56" spans="1:87" x14ac:dyDescent="0.25">
      <c r="A56" s="128" t="s">
        <v>972</v>
      </c>
      <c r="B56" s="128">
        <v>19241</v>
      </c>
      <c r="C56" s="129" t="s">
        <v>972</v>
      </c>
      <c r="D56" s="128" t="s">
        <v>973</v>
      </c>
      <c r="E56" s="128" t="s">
        <v>541</v>
      </c>
      <c r="F56" s="128" t="s">
        <v>541</v>
      </c>
      <c r="G56" s="128"/>
      <c r="H56" s="128"/>
      <c r="I56" s="128" t="s">
        <v>1218</v>
      </c>
      <c r="J56" s="128" t="s">
        <v>313</v>
      </c>
      <c r="K56" s="128" t="s">
        <v>1169</v>
      </c>
      <c r="L56" s="128">
        <v>73031</v>
      </c>
      <c r="M56" s="128"/>
      <c r="N56" s="130"/>
      <c r="O56" s="131"/>
      <c r="P56" s="132">
        <v>379591.24952999997</v>
      </c>
      <c r="Q56" s="61">
        <v>0</v>
      </c>
      <c r="R56" s="63">
        <f t="shared" si="0"/>
        <v>0</v>
      </c>
      <c r="S56" s="61">
        <v>52363.745150000002</v>
      </c>
      <c r="T56" s="61">
        <v>0</v>
      </c>
      <c r="U56" s="63">
        <f t="shared" si="1"/>
        <v>0</v>
      </c>
      <c r="V56" s="61">
        <v>106693.78461664262</v>
      </c>
      <c r="W56" s="61">
        <v>0</v>
      </c>
      <c r="X56" s="63">
        <f t="shared" si="2"/>
        <v>0</v>
      </c>
      <c r="Y56" s="61">
        <v>2500.9578999999999</v>
      </c>
      <c r="Z56" s="102">
        <v>0</v>
      </c>
      <c r="AA56" s="63">
        <f t="shared" si="3"/>
        <v>0</v>
      </c>
      <c r="AB56" s="61">
        <v>70</v>
      </c>
      <c r="AC56" s="61">
        <v>0</v>
      </c>
      <c r="AD56" s="63">
        <f t="shared" si="4"/>
        <v>0</v>
      </c>
      <c r="AE56" s="61">
        <v>10</v>
      </c>
      <c r="AF56" s="61">
        <v>0</v>
      </c>
      <c r="AG56" s="63">
        <f t="shared" si="5"/>
        <v>0</v>
      </c>
      <c r="AH56" s="61">
        <v>314.32630079443618</v>
      </c>
      <c r="AI56" s="61">
        <v>0</v>
      </c>
      <c r="AJ56" s="63">
        <f t="shared" si="6"/>
        <v>0</v>
      </c>
      <c r="AK56" s="61">
        <v>12.735854516074108</v>
      </c>
      <c r="AL56" s="61">
        <v>0</v>
      </c>
      <c r="AM56" s="63">
        <f t="shared" si="7"/>
        <v>0</v>
      </c>
      <c r="AN56" s="61">
        <v>14.425090153871452</v>
      </c>
      <c r="AO56" s="61">
        <v>0</v>
      </c>
      <c r="AP56" s="63">
        <f t="shared" si="8"/>
        <v>0</v>
      </c>
      <c r="AQ56" s="61">
        <v>44.805293513597746</v>
      </c>
      <c r="AR56" s="61">
        <v>0</v>
      </c>
      <c r="AS56" s="63">
        <f t="shared" si="9"/>
        <v>0</v>
      </c>
      <c r="AT56" s="61">
        <v>12</v>
      </c>
      <c r="AU56" s="61">
        <v>0</v>
      </c>
      <c r="AV56" s="63">
        <f t="shared" si="10"/>
        <v>0</v>
      </c>
      <c r="AW56" s="61">
        <v>11.109403970182253</v>
      </c>
      <c r="AX56" s="61">
        <v>0</v>
      </c>
      <c r="AY56" s="63">
        <f t="shared" si="11"/>
        <v>0</v>
      </c>
      <c r="AZ56" s="61">
        <v>34</v>
      </c>
      <c r="BA56" s="61">
        <v>0</v>
      </c>
      <c r="BB56" s="63">
        <f t="shared" si="12"/>
        <v>0</v>
      </c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</row>
    <row r="57" spans="1:87" x14ac:dyDescent="0.25">
      <c r="A57" s="122">
        <v>9861</v>
      </c>
      <c r="B57" s="123">
        <v>19241</v>
      </c>
      <c r="C57" s="124">
        <v>1073438556</v>
      </c>
      <c r="D57" s="123" t="s">
        <v>871</v>
      </c>
      <c r="E57" s="123" t="s">
        <v>544</v>
      </c>
      <c r="F57" s="123" t="s">
        <v>544</v>
      </c>
      <c r="G57" s="123" t="s">
        <v>456</v>
      </c>
      <c r="H57" s="123" t="s">
        <v>456</v>
      </c>
      <c r="I57" s="123" t="s">
        <v>1218</v>
      </c>
      <c r="J57" s="123" t="s">
        <v>313</v>
      </c>
      <c r="K57" s="123" t="s">
        <v>1169</v>
      </c>
      <c r="L57" s="123">
        <v>73031</v>
      </c>
      <c r="M57" s="123"/>
      <c r="N57" s="125"/>
      <c r="O57" s="126"/>
      <c r="P57" s="127">
        <v>379591.24952999997</v>
      </c>
      <c r="Q57" s="61">
        <v>0</v>
      </c>
      <c r="R57" s="63">
        <f t="shared" si="0"/>
        <v>0</v>
      </c>
      <c r="S57" s="61">
        <v>52363.745150000002</v>
      </c>
      <c r="T57" s="61">
        <v>0</v>
      </c>
      <c r="U57" s="63">
        <f t="shared" si="1"/>
        <v>0</v>
      </c>
      <c r="V57" s="61">
        <v>106693.78461664262</v>
      </c>
      <c r="W57" s="61">
        <v>0</v>
      </c>
      <c r="X57" s="63">
        <f t="shared" si="2"/>
        <v>0</v>
      </c>
      <c r="Y57" s="61">
        <v>2500.9578999999999</v>
      </c>
      <c r="Z57" s="102">
        <v>0</v>
      </c>
      <c r="AA57" s="63">
        <f t="shared" si="3"/>
        <v>0</v>
      </c>
      <c r="AB57" s="61">
        <v>70</v>
      </c>
      <c r="AC57" s="61">
        <v>0</v>
      </c>
      <c r="AD57" s="63">
        <f t="shared" si="4"/>
        <v>0</v>
      </c>
      <c r="AE57" s="61">
        <v>10</v>
      </c>
      <c r="AF57" s="61">
        <v>0</v>
      </c>
      <c r="AG57" s="63">
        <f t="shared" si="5"/>
        <v>0</v>
      </c>
      <c r="AH57" s="61">
        <v>314.32630079443618</v>
      </c>
      <c r="AI57" s="61">
        <v>1</v>
      </c>
      <c r="AJ57" s="63">
        <f t="shared" si="6"/>
        <v>3.1814073384014473E-3</v>
      </c>
      <c r="AK57" s="61">
        <v>12.735854516074108</v>
      </c>
      <c r="AL57" s="61">
        <v>0</v>
      </c>
      <c r="AM57" s="63">
        <f t="shared" si="7"/>
        <v>0</v>
      </c>
      <c r="AN57" s="61">
        <v>14.425090153871452</v>
      </c>
      <c r="AO57" s="61">
        <v>1</v>
      </c>
      <c r="AP57" s="63">
        <f t="shared" si="8"/>
        <v>6.9323656859892613E-2</v>
      </c>
      <c r="AQ57" s="61">
        <v>44.805293513597746</v>
      </c>
      <c r="AR57" s="61">
        <v>0</v>
      </c>
      <c r="AS57" s="63">
        <f t="shared" si="9"/>
        <v>0</v>
      </c>
      <c r="AT57" s="61">
        <v>12</v>
      </c>
      <c r="AU57" s="61">
        <v>0</v>
      </c>
      <c r="AV57" s="63">
        <f t="shared" si="10"/>
        <v>0</v>
      </c>
      <c r="AW57" s="61">
        <v>11.109403970182253</v>
      </c>
      <c r="AX57" s="61">
        <v>0</v>
      </c>
      <c r="AY57" s="63">
        <f t="shared" si="11"/>
        <v>0</v>
      </c>
      <c r="AZ57" s="61">
        <v>34</v>
      </c>
      <c r="BA57" s="61">
        <v>0</v>
      </c>
      <c r="BB57" s="63">
        <f t="shared" si="12"/>
        <v>0</v>
      </c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</row>
    <row r="58" spans="1:87" x14ac:dyDescent="0.25">
      <c r="A58" s="128">
        <v>21550</v>
      </c>
      <c r="B58" s="128">
        <v>9861</v>
      </c>
      <c r="C58" s="129">
        <v>1004603856</v>
      </c>
      <c r="D58" s="128" t="s">
        <v>868</v>
      </c>
      <c r="E58" s="128" t="s">
        <v>546</v>
      </c>
      <c r="F58" s="128" t="s">
        <v>546</v>
      </c>
      <c r="G58" s="128" t="s">
        <v>353</v>
      </c>
      <c r="H58" s="128" t="s">
        <v>353</v>
      </c>
      <c r="I58" s="128" t="s">
        <v>1218</v>
      </c>
      <c r="J58" s="128" t="s">
        <v>313</v>
      </c>
      <c r="K58" s="128" t="s">
        <v>1169</v>
      </c>
      <c r="L58" s="128">
        <v>73031</v>
      </c>
      <c r="M58" s="128" t="s">
        <v>1215</v>
      </c>
      <c r="N58" s="130"/>
      <c r="O58" s="131"/>
      <c r="P58" s="132">
        <v>72157.133279999995</v>
      </c>
      <c r="Q58" s="61">
        <v>51471.320000000007</v>
      </c>
      <c r="R58" s="63">
        <f t="shared" si="0"/>
        <v>0.71332268426282486</v>
      </c>
      <c r="S58" s="61">
        <v>9953.91158</v>
      </c>
      <c r="T58" s="61">
        <v>0</v>
      </c>
      <c r="U58" s="63">
        <f t="shared" si="1"/>
        <v>0</v>
      </c>
      <c r="V58" s="61">
        <v>20281.5993329499</v>
      </c>
      <c r="W58" s="61">
        <v>5773.0400000000009</v>
      </c>
      <c r="X58" s="63">
        <f t="shared" si="2"/>
        <v>0.28464421889160402</v>
      </c>
      <c r="Y58" s="61">
        <v>538.53959999999995</v>
      </c>
      <c r="Z58" s="102">
        <v>238</v>
      </c>
      <c r="AA58" s="63">
        <f t="shared" si="3"/>
        <v>0.44193593191661307</v>
      </c>
      <c r="AB58" s="61">
        <v>14</v>
      </c>
      <c r="AC58" s="61">
        <v>4</v>
      </c>
      <c r="AD58" s="63">
        <f t="shared" si="4"/>
        <v>0.2857142857142857</v>
      </c>
      <c r="AE58" s="61">
        <v>2</v>
      </c>
      <c r="AF58" s="61">
        <v>1</v>
      </c>
      <c r="AG58" s="63">
        <f t="shared" si="5"/>
        <v>0.5</v>
      </c>
      <c r="AH58" s="61">
        <v>62.665260158887236</v>
      </c>
      <c r="AI58" s="61">
        <v>24</v>
      </c>
      <c r="AJ58" s="63">
        <f t="shared" si="6"/>
        <v>0.38298731927623381</v>
      </c>
      <c r="AK58" s="61">
        <v>2.3879727217638953</v>
      </c>
      <c r="AL58" s="61">
        <v>0</v>
      </c>
      <c r="AM58" s="63">
        <f t="shared" si="7"/>
        <v>0</v>
      </c>
      <c r="AN58" s="61">
        <v>2.8850180307742903</v>
      </c>
      <c r="AO58" s="61">
        <v>1</v>
      </c>
      <c r="AP58" s="63">
        <f t="shared" si="8"/>
        <v>0.34661828429946306</v>
      </c>
      <c r="AQ58" s="61">
        <v>7.1688469621756399</v>
      </c>
      <c r="AR58" s="61">
        <v>6</v>
      </c>
      <c r="AS58" s="63">
        <f t="shared" si="9"/>
        <v>0.8369546778801773</v>
      </c>
      <c r="AT58" s="61">
        <v>2</v>
      </c>
      <c r="AU58" s="61">
        <v>0</v>
      </c>
      <c r="AV58" s="63">
        <f t="shared" si="10"/>
        <v>0</v>
      </c>
      <c r="AW58" s="61">
        <v>2.1118051165045304</v>
      </c>
      <c r="AX58" s="61">
        <v>0</v>
      </c>
      <c r="AY58" s="63">
        <f t="shared" si="11"/>
        <v>0</v>
      </c>
      <c r="AZ58" s="61">
        <v>10</v>
      </c>
      <c r="BA58" s="61">
        <v>0</v>
      </c>
      <c r="BB58" s="63">
        <f t="shared" si="12"/>
        <v>0</v>
      </c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</row>
    <row r="59" spans="1:87" x14ac:dyDescent="0.25">
      <c r="A59" s="128">
        <v>21446</v>
      </c>
      <c r="B59" s="128">
        <v>9861</v>
      </c>
      <c r="C59" s="129">
        <v>1026683472</v>
      </c>
      <c r="D59" s="128" t="s">
        <v>869</v>
      </c>
      <c r="E59" s="128" t="s">
        <v>546</v>
      </c>
      <c r="F59" s="128" t="s">
        <v>546</v>
      </c>
      <c r="G59" s="128" t="s">
        <v>354</v>
      </c>
      <c r="H59" s="128" t="s">
        <v>354</v>
      </c>
      <c r="I59" s="128" t="s">
        <v>1218</v>
      </c>
      <c r="J59" s="128" t="s">
        <v>313</v>
      </c>
      <c r="K59" s="128" t="s">
        <v>1169</v>
      </c>
      <c r="L59" s="128">
        <v>73031</v>
      </c>
      <c r="M59" s="128" t="s">
        <v>1215</v>
      </c>
      <c r="N59" s="130"/>
      <c r="O59" s="131"/>
      <c r="P59" s="133">
        <v>72157.133279999995</v>
      </c>
      <c r="Q59" s="61">
        <v>79403.500000000015</v>
      </c>
      <c r="R59" s="63">
        <f t="shared" si="0"/>
        <v>1.1004248144376949</v>
      </c>
      <c r="S59" s="61">
        <v>9953.91158</v>
      </c>
      <c r="T59" s="61">
        <v>381.74</v>
      </c>
      <c r="U59" s="63">
        <f t="shared" si="1"/>
        <v>3.8350752559126108E-2</v>
      </c>
      <c r="V59" s="61">
        <v>20281.5993329499</v>
      </c>
      <c r="W59" s="61">
        <v>3570</v>
      </c>
      <c r="X59" s="63">
        <f t="shared" si="2"/>
        <v>0.17602162144087449</v>
      </c>
      <c r="Y59" s="61">
        <v>416.82632000000001</v>
      </c>
      <c r="Z59" s="102">
        <v>0</v>
      </c>
      <c r="AA59" s="63">
        <f t="shared" si="3"/>
        <v>0</v>
      </c>
      <c r="AB59" s="61">
        <v>14</v>
      </c>
      <c r="AC59" s="61">
        <v>8</v>
      </c>
      <c r="AD59" s="63">
        <f t="shared" si="4"/>
        <v>0.5714285714285714</v>
      </c>
      <c r="AE59" s="61">
        <v>2</v>
      </c>
      <c r="AF59" s="61">
        <v>1</v>
      </c>
      <c r="AG59" s="63">
        <f t="shared" si="5"/>
        <v>0.5</v>
      </c>
      <c r="AH59" s="61">
        <v>62.665260158887236</v>
      </c>
      <c r="AI59" s="61">
        <v>45</v>
      </c>
      <c r="AJ59" s="63">
        <f t="shared" si="6"/>
        <v>0.71810122364293838</v>
      </c>
      <c r="AK59" s="61">
        <v>2.3879727217638953</v>
      </c>
      <c r="AL59" s="61">
        <v>1</v>
      </c>
      <c r="AM59" s="63">
        <f t="shared" si="7"/>
        <v>0.41876525258686453</v>
      </c>
      <c r="AN59" s="61">
        <v>2.8850180307742903</v>
      </c>
      <c r="AO59" s="61">
        <v>3</v>
      </c>
      <c r="AP59" s="63">
        <f t="shared" si="8"/>
        <v>1.0398548528983891</v>
      </c>
      <c r="AQ59" s="61">
        <v>7.1688469621756399</v>
      </c>
      <c r="AR59" s="61">
        <v>3</v>
      </c>
      <c r="AS59" s="63">
        <f t="shared" si="9"/>
        <v>0.41847733894008865</v>
      </c>
      <c r="AT59" s="61">
        <v>2</v>
      </c>
      <c r="AU59" s="61">
        <v>3</v>
      </c>
      <c r="AV59" s="63">
        <f t="shared" si="10"/>
        <v>1.5</v>
      </c>
      <c r="AW59" s="61">
        <v>2.1118051165045304</v>
      </c>
      <c r="AX59" s="61">
        <v>0</v>
      </c>
      <c r="AY59" s="63">
        <f t="shared" si="11"/>
        <v>0</v>
      </c>
      <c r="AZ59" s="61">
        <v>6</v>
      </c>
      <c r="BA59" s="61">
        <v>1</v>
      </c>
      <c r="BB59" s="63">
        <f t="shared" si="12"/>
        <v>0.16666666666666666</v>
      </c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</row>
    <row r="60" spans="1:87" x14ac:dyDescent="0.25">
      <c r="A60" s="128">
        <v>21511</v>
      </c>
      <c r="B60" s="128">
        <v>9861</v>
      </c>
      <c r="C60" s="129">
        <v>1003732284</v>
      </c>
      <c r="D60" s="128" t="s">
        <v>872</v>
      </c>
      <c r="E60" s="128" t="s">
        <v>546</v>
      </c>
      <c r="F60" s="128" t="s">
        <v>546</v>
      </c>
      <c r="G60" s="128" t="s">
        <v>368</v>
      </c>
      <c r="H60" s="128" t="s">
        <v>368</v>
      </c>
      <c r="I60" s="128" t="s">
        <v>1218</v>
      </c>
      <c r="J60" s="128" t="s">
        <v>313</v>
      </c>
      <c r="K60" s="128" t="s">
        <v>1169</v>
      </c>
      <c r="L60" s="128">
        <v>73031</v>
      </c>
      <c r="M60" s="128" t="s">
        <v>1219</v>
      </c>
      <c r="N60" s="130"/>
      <c r="O60" s="131"/>
      <c r="P60" s="132">
        <v>63258.881730000001</v>
      </c>
      <c r="Q60" s="61">
        <v>13474.789999999999</v>
      </c>
      <c r="R60" s="63">
        <f t="shared" si="0"/>
        <v>0.21301024664825352</v>
      </c>
      <c r="S60" s="61">
        <v>8726.41813</v>
      </c>
      <c r="T60" s="61">
        <v>1216.52</v>
      </c>
      <c r="U60" s="63">
        <f t="shared" si="1"/>
        <v>0.13940656772081583</v>
      </c>
      <c r="V60" s="61">
        <v>17780.519204684886</v>
      </c>
      <c r="W60" s="61">
        <v>3480</v>
      </c>
      <c r="X60" s="63">
        <f t="shared" si="2"/>
        <v>0.19571981897373811</v>
      </c>
      <c r="Y60" s="61">
        <v>416.40949000000001</v>
      </c>
      <c r="Z60" s="102">
        <v>0</v>
      </c>
      <c r="AA60" s="63">
        <f t="shared" si="3"/>
        <v>0</v>
      </c>
      <c r="AB60" s="61">
        <v>14</v>
      </c>
      <c r="AC60" s="61">
        <v>6</v>
      </c>
      <c r="AD60" s="63">
        <f t="shared" si="4"/>
        <v>0.42857142857142855</v>
      </c>
      <c r="AE60" s="61">
        <v>2</v>
      </c>
      <c r="AF60" s="61">
        <v>0</v>
      </c>
      <c r="AG60" s="63">
        <f t="shared" si="5"/>
        <v>0</v>
      </c>
      <c r="AH60" s="61">
        <v>62.665260158887236</v>
      </c>
      <c r="AI60" s="61">
        <v>33</v>
      </c>
      <c r="AJ60" s="63">
        <f t="shared" si="6"/>
        <v>0.52660756400482145</v>
      </c>
      <c r="AK60" s="61">
        <v>2.3879727217638953</v>
      </c>
      <c r="AL60" s="61">
        <v>0</v>
      </c>
      <c r="AM60" s="63">
        <f t="shared" si="7"/>
        <v>0</v>
      </c>
      <c r="AN60" s="61">
        <v>2.8850180307742903</v>
      </c>
      <c r="AO60" s="61">
        <v>3</v>
      </c>
      <c r="AP60" s="63">
        <f t="shared" si="8"/>
        <v>1.0398548528983891</v>
      </c>
      <c r="AQ60" s="61">
        <v>13.441588054079325</v>
      </c>
      <c r="AR60" s="61">
        <v>4</v>
      </c>
      <c r="AS60" s="63">
        <f t="shared" si="9"/>
        <v>0.29758388546850745</v>
      </c>
      <c r="AT60" s="61">
        <v>2</v>
      </c>
      <c r="AU60" s="61">
        <v>0</v>
      </c>
      <c r="AV60" s="63">
        <f t="shared" si="10"/>
        <v>0</v>
      </c>
      <c r="AW60" s="61">
        <v>1.8513821715086987</v>
      </c>
      <c r="AX60" s="61">
        <v>0</v>
      </c>
      <c r="AY60" s="63">
        <f t="shared" si="11"/>
        <v>0</v>
      </c>
      <c r="AZ60" s="61">
        <v>6</v>
      </c>
      <c r="BA60" s="61">
        <v>0</v>
      </c>
      <c r="BB60" s="63">
        <f t="shared" si="12"/>
        <v>0</v>
      </c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</row>
    <row r="61" spans="1:87" x14ac:dyDescent="0.25">
      <c r="A61" s="213">
        <v>5147</v>
      </c>
      <c r="B61" s="213">
        <v>9861</v>
      </c>
      <c r="C61" s="223">
        <v>1060515499</v>
      </c>
      <c r="D61" s="213" t="s">
        <v>840</v>
      </c>
      <c r="E61" s="213" t="s">
        <v>546</v>
      </c>
      <c r="F61" s="213" t="s">
        <v>546</v>
      </c>
      <c r="G61" s="213" t="s">
        <v>320</v>
      </c>
      <c r="H61" s="213" t="s">
        <v>320</v>
      </c>
      <c r="I61" s="213" t="s">
        <v>1218</v>
      </c>
      <c r="J61" s="213" t="s">
        <v>313</v>
      </c>
      <c r="K61" s="213" t="s">
        <v>1169</v>
      </c>
      <c r="L61" s="213">
        <v>73031</v>
      </c>
      <c r="M61" s="213"/>
      <c r="N61" s="224"/>
      <c r="O61" s="225"/>
      <c r="P61" s="218">
        <v>63265.208259999999</v>
      </c>
      <c r="Q61" s="61">
        <v>40967.840000000004</v>
      </c>
      <c r="R61" s="63">
        <f t="shared" si="0"/>
        <v>0.64755718232421111</v>
      </c>
      <c r="S61" s="61">
        <v>8727.290860000001</v>
      </c>
      <c r="T61" s="61">
        <v>0</v>
      </c>
      <c r="U61" s="63">
        <f t="shared" si="1"/>
        <v>0</v>
      </c>
      <c r="V61" s="61">
        <v>17782.297421422285</v>
      </c>
      <c r="W61" s="61">
        <v>12909.15</v>
      </c>
      <c r="X61" s="63">
        <f t="shared" si="2"/>
        <v>0.725955127960484</v>
      </c>
      <c r="Y61" s="61">
        <v>412.65805</v>
      </c>
      <c r="Z61" s="102">
        <v>0</v>
      </c>
      <c r="AA61" s="63">
        <f t="shared" si="3"/>
        <v>0</v>
      </c>
      <c r="AB61" s="61">
        <v>14</v>
      </c>
      <c r="AC61" s="61">
        <v>2</v>
      </c>
      <c r="AD61" s="63">
        <f t="shared" si="4"/>
        <v>0.14285714285714285</v>
      </c>
      <c r="AE61" s="61">
        <v>2</v>
      </c>
      <c r="AF61" s="61">
        <v>0</v>
      </c>
      <c r="AG61" s="63">
        <f t="shared" si="5"/>
        <v>0</v>
      </c>
      <c r="AH61" s="61">
        <v>62.665260158887236</v>
      </c>
      <c r="AI61" s="61">
        <v>23</v>
      </c>
      <c r="AJ61" s="63">
        <f t="shared" si="6"/>
        <v>0.36702951430639075</v>
      </c>
      <c r="AK61" s="61">
        <v>2.3879727217638953</v>
      </c>
      <c r="AL61" s="61">
        <v>1</v>
      </c>
      <c r="AM61" s="63">
        <f t="shared" si="7"/>
        <v>0.41876525258686453</v>
      </c>
      <c r="AN61" s="61">
        <v>2.8850180307742903</v>
      </c>
      <c r="AO61" s="61">
        <v>0</v>
      </c>
      <c r="AP61" s="63">
        <f t="shared" si="8"/>
        <v>0</v>
      </c>
      <c r="AQ61" s="61">
        <v>5.3766352216317301</v>
      </c>
      <c r="AR61" s="61">
        <v>5</v>
      </c>
      <c r="AS61" s="63">
        <f t="shared" si="9"/>
        <v>0.92994964208908582</v>
      </c>
      <c r="AT61" s="61">
        <v>2</v>
      </c>
      <c r="AU61" s="61">
        <v>0</v>
      </c>
      <c r="AV61" s="63">
        <f t="shared" si="10"/>
        <v>0</v>
      </c>
      <c r="AW61" s="61">
        <v>1.8515673285100427</v>
      </c>
      <c r="AX61" s="61">
        <v>0</v>
      </c>
      <c r="AY61" s="63">
        <f t="shared" si="11"/>
        <v>0</v>
      </c>
      <c r="AZ61" s="61">
        <v>6</v>
      </c>
      <c r="BA61" s="61">
        <v>0</v>
      </c>
      <c r="BB61" s="63">
        <f t="shared" si="12"/>
        <v>0</v>
      </c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</row>
    <row r="62" spans="1:87" x14ac:dyDescent="0.25">
      <c r="A62" s="206">
        <v>21569</v>
      </c>
      <c r="B62" s="207">
        <v>9861</v>
      </c>
      <c r="C62" s="219">
        <v>1002391686</v>
      </c>
      <c r="D62" s="207" t="s">
        <v>873</v>
      </c>
      <c r="E62" s="207" t="s">
        <v>546</v>
      </c>
      <c r="F62" s="207" t="s">
        <v>546</v>
      </c>
      <c r="G62" s="207" t="s">
        <v>458</v>
      </c>
      <c r="H62" s="207" t="s">
        <v>458</v>
      </c>
      <c r="I62" s="207" t="s">
        <v>1218</v>
      </c>
      <c r="J62" s="207" t="s">
        <v>313</v>
      </c>
      <c r="K62" s="207" t="s">
        <v>1169</v>
      </c>
      <c r="L62" s="207">
        <v>73031</v>
      </c>
      <c r="M62" s="220" t="s">
        <v>1143</v>
      </c>
      <c r="N62" s="221"/>
      <c r="O62" s="226">
        <v>0.4</v>
      </c>
      <c r="P62" s="211">
        <v>54408.079100000003</v>
      </c>
      <c r="Q62" s="61">
        <v>34340.01</v>
      </c>
      <c r="R62" s="63">
        <f t="shared" si="0"/>
        <v>0.63115644896935907</v>
      </c>
      <c r="S62" s="61">
        <v>7505.4701399999994</v>
      </c>
      <c r="T62" s="61">
        <v>3216.52</v>
      </c>
      <c r="U62" s="63">
        <f t="shared" si="1"/>
        <v>0.42855676459995884</v>
      </c>
      <c r="V62" s="61">
        <v>15292.77581170839</v>
      </c>
      <c r="W62" s="61">
        <v>10149.58</v>
      </c>
      <c r="X62" s="63">
        <f t="shared" si="2"/>
        <v>0.66368461324263461</v>
      </c>
      <c r="Y62" s="61">
        <v>358.47063000000003</v>
      </c>
      <c r="Z62" s="102">
        <v>0</v>
      </c>
      <c r="AA62" s="63">
        <f t="shared" si="3"/>
        <v>0</v>
      </c>
      <c r="AB62" s="61">
        <v>7</v>
      </c>
      <c r="AC62" s="61">
        <v>10</v>
      </c>
      <c r="AD62" s="63">
        <f t="shared" si="4"/>
        <v>1.4285714285714286</v>
      </c>
      <c r="AE62" s="61">
        <v>1</v>
      </c>
      <c r="AF62" s="61">
        <v>0</v>
      </c>
      <c r="AG62" s="63">
        <f t="shared" si="5"/>
        <v>0</v>
      </c>
      <c r="AH62" s="61">
        <v>31.832630079443618</v>
      </c>
      <c r="AI62" s="61">
        <v>39</v>
      </c>
      <c r="AJ62" s="63">
        <f t="shared" si="6"/>
        <v>1.2251579559297809</v>
      </c>
      <c r="AK62" s="61">
        <v>1.5919818145092635</v>
      </c>
      <c r="AL62" s="61">
        <v>0</v>
      </c>
      <c r="AM62" s="63">
        <f t="shared" si="7"/>
        <v>0</v>
      </c>
      <c r="AN62" s="61">
        <v>1.4425090153871452</v>
      </c>
      <c r="AO62" s="61">
        <v>1</v>
      </c>
      <c r="AP62" s="63">
        <f t="shared" si="8"/>
        <v>0.69323656859892613</v>
      </c>
      <c r="AQ62" s="61">
        <v>4.4805293513597748</v>
      </c>
      <c r="AR62" s="61">
        <v>2</v>
      </c>
      <c r="AS62" s="63">
        <f t="shared" si="9"/>
        <v>0.44637582820276123</v>
      </c>
      <c r="AT62" s="61">
        <v>2</v>
      </c>
      <c r="AU62" s="61">
        <v>0</v>
      </c>
      <c r="AV62" s="63">
        <f t="shared" si="10"/>
        <v>0</v>
      </c>
      <c r="AW62" s="61">
        <v>1.5923479024132765</v>
      </c>
      <c r="AX62" s="61">
        <v>0</v>
      </c>
      <c r="AY62" s="63">
        <f t="shared" si="11"/>
        <v>0</v>
      </c>
      <c r="AZ62" s="61">
        <v>3</v>
      </c>
      <c r="BA62" s="61">
        <v>3</v>
      </c>
      <c r="BB62" s="63">
        <f t="shared" si="12"/>
        <v>1</v>
      </c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</row>
    <row r="63" spans="1:87" x14ac:dyDescent="0.25">
      <c r="A63" s="128">
        <v>6638</v>
      </c>
      <c r="B63" s="128">
        <v>9861</v>
      </c>
      <c r="C63" s="138">
        <v>1049989674</v>
      </c>
      <c r="D63" s="128" t="s">
        <v>874</v>
      </c>
      <c r="E63" s="128" t="s">
        <v>546</v>
      </c>
      <c r="F63" s="128" t="s">
        <v>546</v>
      </c>
      <c r="G63" s="128" t="s">
        <v>457</v>
      </c>
      <c r="H63" s="128" t="s">
        <v>457</v>
      </c>
      <c r="I63" s="128" t="s">
        <v>1218</v>
      </c>
      <c r="J63" s="128" t="s">
        <v>313</v>
      </c>
      <c r="K63" s="128" t="s">
        <v>1169</v>
      </c>
      <c r="L63" s="128">
        <v>73031</v>
      </c>
      <c r="M63" s="139" t="s">
        <v>1143</v>
      </c>
      <c r="N63" s="140"/>
      <c r="O63" s="141">
        <v>0.4</v>
      </c>
      <c r="P63" s="132">
        <v>54344.813889999998</v>
      </c>
      <c r="Q63" s="61">
        <v>22689.57</v>
      </c>
      <c r="R63" s="63">
        <f t="shared" si="0"/>
        <v>0.41751122831934312</v>
      </c>
      <c r="S63" s="61">
        <v>7496.7428500000005</v>
      </c>
      <c r="T63" s="61">
        <v>3651.3</v>
      </c>
      <c r="U63" s="63">
        <f t="shared" si="1"/>
        <v>0.48705151998110752</v>
      </c>
      <c r="V63" s="61">
        <v>15274.993529629002</v>
      </c>
      <c r="W63" s="61">
        <v>738.26</v>
      </c>
      <c r="X63" s="63">
        <f t="shared" si="2"/>
        <v>4.8331280701886539E-2</v>
      </c>
      <c r="Y63" s="61">
        <v>358.05381</v>
      </c>
      <c r="Z63" s="102">
        <v>0</v>
      </c>
      <c r="AA63" s="63">
        <f t="shared" si="3"/>
        <v>0</v>
      </c>
      <c r="AB63" s="61">
        <v>7</v>
      </c>
      <c r="AC63" s="61">
        <v>5</v>
      </c>
      <c r="AD63" s="63">
        <f t="shared" si="4"/>
        <v>0.7142857142857143</v>
      </c>
      <c r="AE63" s="61">
        <v>1</v>
      </c>
      <c r="AF63" s="61">
        <v>0</v>
      </c>
      <c r="AG63" s="63">
        <f t="shared" si="5"/>
        <v>0</v>
      </c>
      <c r="AH63" s="61">
        <v>31.832630079443618</v>
      </c>
      <c r="AI63" s="61">
        <v>29</v>
      </c>
      <c r="AJ63" s="63">
        <f t="shared" si="6"/>
        <v>0.91101489030676008</v>
      </c>
      <c r="AK63" s="61">
        <v>1.5919818145092635</v>
      </c>
      <c r="AL63" s="61">
        <v>0</v>
      </c>
      <c r="AM63" s="63">
        <f t="shared" si="7"/>
        <v>0</v>
      </c>
      <c r="AN63" s="61">
        <v>1.4425090153871452</v>
      </c>
      <c r="AO63" s="61">
        <v>1</v>
      </c>
      <c r="AP63" s="63">
        <f t="shared" si="8"/>
        <v>0.69323656859892613</v>
      </c>
      <c r="AQ63" s="61">
        <v>7.1688469621756399</v>
      </c>
      <c r="AR63" s="61">
        <v>0</v>
      </c>
      <c r="AS63" s="63">
        <f t="shared" si="9"/>
        <v>0</v>
      </c>
      <c r="AT63" s="61">
        <v>2</v>
      </c>
      <c r="AU63" s="61">
        <v>0</v>
      </c>
      <c r="AV63" s="63">
        <f t="shared" si="10"/>
        <v>0</v>
      </c>
      <c r="AW63" s="61">
        <v>1.5904963350338421</v>
      </c>
      <c r="AX63" s="61">
        <v>0</v>
      </c>
      <c r="AY63" s="63">
        <f t="shared" si="11"/>
        <v>0</v>
      </c>
      <c r="AZ63" s="61">
        <v>3</v>
      </c>
      <c r="BA63" s="61">
        <v>0</v>
      </c>
      <c r="BB63" s="63">
        <f t="shared" si="12"/>
        <v>0</v>
      </c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</row>
    <row r="64" spans="1:87" x14ac:dyDescent="0.25">
      <c r="A64" s="128">
        <v>19282</v>
      </c>
      <c r="B64" s="128">
        <v>12877</v>
      </c>
      <c r="C64" s="138">
        <v>1004947477</v>
      </c>
      <c r="D64" s="128" t="s">
        <v>629</v>
      </c>
      <c r="E64" s="128" t="s">
        <v>537</v>
      </c>
      <c r="F64" s="128" t="s">
        <v>537</v>
      </c>
      <c r="G64" s="128" t="s">
        <v>111</v>
      </c>
      <c r="H64" s="128" t="s">
        <v>111</v>
      </c>
      <c r="I64" s="128" t="s">
        <v>1218</v>
      </c>
      <c r="J64" s="128" t="s">
        <v>112</v>
      </c>
      <c r="K64" s="128" t="s">
        <v>538</v>
      </c>
      <c r="L64" s="128" t="s">
        <v>539</v>
      </c>
      <c r="M64" s="139"/>
      <c r="N64" s="140"/>
      <c r="O64" s="141"/>
      <c r="P64" s="133">
        <v>4669514</v>
      </c>
      <c r="Q64" s="61">
        <v>0</v>
      </c>
      <c r="R64" s="63">
        <f t="shared" si="0"/>
        <v>0</v>
      </c>
      <c r="S64" s="61">
        <v>621974</v>
      </c>
      <c r="T64" s="61">
        <v>0</v>
      </c>
      <c r="U64" s="63">
        <f t="shared" si="1"/>
        <v>0</v>
      </c>
      <c r="V64" s="61">
        <v>1257421.8498842521</v>
      </c>
      <c r="W64" s="61">
        <v>0</v>
      </c>
      <c r="X64" s="63">
        <f t="shared" si="2"/>
        <v>0</v>
      </c>
      <c r="Y64" s="61">
        <v>74034</v>
      </c>
      <c r="Z64" s="102">
        <v>0</v>
      </c>
      <c r="AA64" s="63">
        <f t="shared" si="3"/>
        <v>0</v>
      </c>
      <c r="AB64" s="61">
        <v>1081</v>
      </c>
      <c r="AC64" s="61">
        <v>0</v>
      </c>
      <c r="AD64" s="63">
        <f t="shared" si="4"/>
        <v>0</v>
      </c>
      <c r="AE64" s="61">
        <v>157</v>
      </c>
      <c r="AF64" s="61">
        <v>0</v>
      </c>
      <c r="AG64" s="63">
        <f t="shared" si="5"/>
        <v>0</v>
      </c>
      <c r="AH64" s="61">
        <v>5981.295353118092</v>
      </c>
      <c r="AI64" s="61">
        <v>0</v>
      </c>
      <c r="AJ64" s="63">
        <f t="shared" si="6"/>
        <v>0</v>
      </c>
      <c r="AK64" s="61">
        <v>241.98123580540803</v>
      </c>
      <c r="AL64" s="61">
        <v>0</v>
      </c>
      <c r="AM64" s="63">
        <f t="shared" si="7"/>
        <v>0</v>
      </c>
      <c r="AN64" s="61">
        <v>232.24395147733037</v>
      </c>
      <c r="AO64" s="61">
        <v>0</v>
      </c>
      <c r="AP64" s="63">
        <f t="shared" si="8"/>
        <v>0</v>
      </c>
      <c r="AQ64" s="61">
        <v>427.44250011972252</v>
      </c>
      <c r="AR64" s="61">
        <v>0</v>
      </c>
      <c r="AS64" s="63">
        <f t="shared" si="9"/>
        <v>0</v>
      </c>
      <c r="AT64" s="61">
        <v>338</v>
      </c>
      <c r="AU64" s="61">
        <v>0</v>
      </c>
      <c r="AV64" s="63">
        <f t="shared" si="10"/>
        <v>0</v>
      </c>
      <c r="AW64" s="61">
        <v>136.66152060842427</v>
      </c>
      <c r="AX64" s="61">
        <v>0</v>
      </c>
      <c r="AY64" s="63">
        <f t="shared" si="11"/>
        <v>0</v>
      </c>
      <c r="AZ64" s="61">
        <v>420</v>
      </c>
      <c r="BA64" s="61">
        <v>0</v>
      </c>
      <c r="BB64" s="63">
        <f t="shared" si="12"/>
        <v>0</v>
      </c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</row>
    <row r="65" spans="1:87" x14ac:dyDescent="0.25">
      <c r="A65" s="128">
        <v>19271</v>
      </c>
      <c r="B65" s="128">
        <v>19282</v>
      </c>
      <c r="C65" s="138">
        <v>1012641120</v>
      </c>
      <c r="D65" s="128" t="s">
        <v>644</v>
      </c>
      <c r="E65" s="128" t="s">
        <v>541</v>
      </c>
      <c r="F65" s="128" t="s">
        <v>541</v>
      </c>
      <c r="G65" s="128" t="s">
        <v>134</v>
      </c>
      <c r="H65" s="128" t="s">
        <v>134</v>
      </c>
      <c r="I65" s="128" t="s">
        <v>1218</v>
      </c>
      <c r="J65" s="128" t="s">
        <v>112</v>
      </c>
      <c r="K65" s="128" t="s">
        <v>509</v>
      </c>
      <c r="L65" s="128">
        <v>3000</v>
      </c>
      <c r="M65" s="139"/>
      <c r="N65" s="140"/>
      <c r="O65" s="141"/>
      <c r="P65" s="132">
        <v>747126</v>
      </c>
      <c r="Q65" s="61">
        <v>0</v>
      </c>
      <c r="R65" s="63">
        <f t="shared" si="0"/>
        <v>0</v>
      </c>
      <c r="S65" s="61">
        <v>99512</v>
      </c>
      <c r="T65" s="61">
        <v>0</v>
      </c>
      <c r="U65" s="63">
        <f t="shared" si="1"/>
        <v>0</v>
      </c>
      <c r="V65" s="61">
        <v>201221.25121188423</v>
      </c>
      <c r="W65" s="61">
        <v>0</v>
      </c>
      <c r="X65" s="63">
        <f t="shared" si="2"/>
        <v>0</v>
      </c>
      <c r="Y65" s="61">
        <v>11108</v>
      </c>
      <c r="Z65" s="102">
        <v>0</v>
      </c>
      <c r="AA65" s="63">
        <f t="shared" si="3"/>
        <v>0</v>
      </c>
      <c r="AB65" s="61">
        <v>172</v>
      </c>
      <c r="AC65" s="61">
        <v>0</v>
      </c>
      <c r="AD65" s="63">
        <f t="shared" si="4"/>
        <v>0</v>
      </c>
      <c r="AE65" s="61">
        <v>27</v>
      </c>
      <c r="AF65" s="61">
        <v>0</v>
      </c>
      <c r="AG65" s="63">
        <f t="shared" si="5"/>
        <v>0</v>
      </c>
      <c r="AH65" s="61">
        <v>951.30098365440631</v>
      </c>
      <c r="AI65" s="61">
        <v>0</v>
      </c>
      <c r="AJ65" s="63">
        <f t="shared" si="6"/>
        <v>0</v>
      </c>
      <c r="AK65" s="61">
        <v>35.81959082645843</v>
      </c>
      <c r="AL65" s="61">
        <v>0</v>
      </c>
      <c r="AM65" s="63">
        <f t="shared" si="7"/>
        <v>0</v>
      </c>
      <c r="AN65" s="61">
        <v>38.226488907759347</v>
      </c>
      <c r="AO65" s="61">
        <v>0</v>
      </c>
      <c r="AP65" s="63">
        <f t="shared" si="8"/>
        <v>0</v>
      </c>
      <c r="AQ65" s="61">
        <v>66.311834400124667</v>
      </c>
      <c r="AR65" s="61">
        <v>0</v>
      </c>
      <c r="AS65" s="63">
        <f t="shared" si="9"/>
        <v>0</v>
      </c>
      <c r="AT65" s="61">
        <v>51</v>
      </c>
      <c r="AU65" s="61">
        <v>0</v>
      </c>
      <c r="AV65" s="63">
        <f t="shared" si="10"/>
        <v>0</v>
      </c>
      <c r="AW65" s="61">
        <v>21.865953340345396</v>
      </c>
      <c r="AX65" s="61">
        <v>0</v>
      </c>
      <c r="AY65" s="63">
        <f t="shared" si="11"/>
        <v>0</v>
      </c>
      <c r="AZ65" s="61">
        <v>70</v>
      </c>
      <c r="BA65" s="61">
        <v>0</v>
      </c>
      <c r="BB65" s="63">
        <f t="shared" si="12"/>
        <v>0</v>
      </c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</row>
    <row r="66" spans="1:87" x14ac:dyDescent="0.25">
      <c r="A66" s="128">
        <v>21117</v>
      </c>
      <c r="B66" s="128">
        <v>19271</v>
      </c>
      <c r="C66" s="138">
        <v>1007820903</v>
      </c>
      <c r="D66" s="128" t="s">
        <v>715</v>
      </c>
      <c r="E66" s="128" t="s">
        <v>544</v>
      </c>
      <c r="F66" s="128" t="s">
        <v>544</v>
      </c>
      <c r="G66" s="128" t="s">
        <v>232</v>
      </c>
      <c r="H66" s="128" t="s">
        <v>232</v>
      </c>
      <c r="I66" s="128" t="s">
        <v>1218</v>
      </c>
      <c r="J66" s="128" t="s">
        <v>112</v>
      </c>
      <c r="K66" s="128" t="s">
        <v>509</v>
      </c>
      <c r="L66" s="128">
        <v>3000</v>
      </c>
      <c r="M66" s="139"/>
      <c r="N66" s="140"/>
      <c r="O66" s="131"/>
      <c r="P66" s="133">
        <v>381036</v>
      </c>
      <c r="Q66" s="61">
        <v>0</v>
      </c>
      <c r="R66" s="63">
        <f t="shared" si="0"/>
        <v>0</v>
      </c>
      <c r="S66" s="61">
        <v>55274</v>
      </c>
      <c r="T66" s="61">
        <v>0</v>
      </c>
      <c r="U66" s="63">
        <f t="shared" si="1"/>
        <v>0</v>
      </c>
      <c r="V66" s="61">
        <v>100734.31705083903</v>
      </c>
      <c r="W66" s="61">
        <v>0</v>
      </c>
      <c r="X66" s="63">
        <f t="shared" si="2"/>
        <v>0</v>
      </c>
      <c r="Y66" s="61">
        <v>4998</v>
      </c>
      <c r="Z66" s="102">
        <v>0</v>
      </c>
      <c r="AA66" s="63">
        <f t="shared" si="3"/>
        <v>0</v>
      </c>
      <c r="AB66" s="61">
        <v>88</v>
      </c>
      <c r="AC66" s="61">
        <v>0</v>
      </c>
      <c r="AD66" s="63">
        <f t="shared" si="4"/>
        <v>0</v>
      </c>
      <c r="AE66" s="61">
        <v>14</v>
      </c>
      <c r="AF66" s="61">
        <v>0</v>
      </c>
      <c r="AG66" s="63">
        <f t="shared" si="5"/>
        <v>0</v>
      </c>
      <c r="AH66" s="61">
        <v>486.05006987486934</v>
      </c>
      <c r="AI66" s="61">
        <v>0</v>
      </c>
      <c r="AJ66" s="63">
        <f t="shared" si="6"/>
        <v>0</v>
      </c>
      <c r="AK66" s="61">
        <v>18.307790866856529</v>
      </c>
      <c r="AL66" s="61">
        <v>0</v>
      </c>
      <c r="AM66" s="63">
        <f t="shared" si="7"/>
        <v>0</v>
      </c>
      <c r="AN66" s="61">
        <v>19.47387170772646</v>
      </c>
      <c r="AO66" s="61">
        <v>0</v>
      </c>
      <c r="AP66" s="63">
        <f t="shared" si="8"/>
        <v>0</v>
      </c>
      <c r="AQ66" s="61">
        <v>28.67538784870256</v>
      </c>
      <c r="AR66" s="61">
        <v>0</v>
      </c>
      <c r="AS66" s="63">
        <f t="shared" si="9"/>
        <v>0</v>
      </c>
      <c r="AT66" s="61">
        <v>18</v>
      </c>
      <c r="AU66" s="61">
        <v>2</v>
      </c>
      <c r="AV66" s="63">
        <f t="shared" si="10"/>
        <v>0.1111111111111111</v>
      </c>
      <c r="AW66" s="61">
        <v>11.151687127729257</v>
      </c>
      <c r="AX66" s="61">
        <v>0</v>
      </c>
      <c r="AY66" s="63">
        <f t="shared" si="11"/>
        <v>0</v>
      </c>
      <c r="AZ66" s="61">
        <v>36</v>
      </c>
      <c r="BA66" s="61">
        <v>0</v>
      </c>
      <c r="BB66" s="63">
        <f t="shared" si="12"/>
        <v>0</v>
      </c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</row>
    <row r="67" spans="1:87" x14ac:dyDescent="0.25">
      <c r="A67" s="128">
        <v>12147</v>
      </c>
      <c r="B67" s="128">
        <v>21117</v>
      </c>
      <c r="C67" s="138">
        <v>1083311546</v>
      </c>
      <c r="D67" s="128" t="s">
        <v>642</v>
      </c>
      <c r="E67" s="128" t="s">
        <v>546</v>
      </c>
      <c r="F67" s="128" t="s">
        <v>546</v>
      </c>
      <c r="G67" s="128" t="s">
        <v>374</v>
      </c>
      <c r="H67" s="128" t="s">
        <v>374</v>
      </c>
      <c r="I67" s="128" t="s">
        <v>1218</v>
      </c>
      <c r="J67" s="128" t="s">
        <v>112</v>
      </c>
      <c r="K67" s="128" t="s">
        <v>509</v>
      </c>
      <c r="L67" s="128">
        <v>3000</v>
      </c>
      <c r="M67" s="139" t="s">
        <v>1148</v>
      </c>
      <c r="N67" s="140"/>
      <c r="O67" s="131">
        <v>0.5</v>
      </c>
      <c r="P67" s="132">
        <v>72398</v>
      </c>
      <c r="Q67" s="61">
        <v>75444.36</v>
      </c>
      <c r="R67" s="63">
        <f t="shared" si="0"/>
        <v>1.0420779579546395</v>
      </c>
      <c r="S67" s="61">
        <v>10321</v>
      </c>
      <c r="T67" s="61">
        <v>0</v>
      </c>
      <c r="U67" s="63">
        <f t="shared" si="1"/>
        <v>0</v>
      </c>
      <c r="V67" s="61">
        <v>15573.891759502525</v>
      </c>
      <c r="W67" s="61">
        <v>32615.200000000001</v>
      </c>
      <c r="X67" s="63">
        <f t="shared" si="2"/>
        <v>2.094222850887582</v>
      </c>
      <c r="Y67" s="61">
        <v>555</v>
      </c>
      <c r="Z67" s="102">
        <v>0</v>
      </c>
      <c r="AA67" s="63">
        <f t="shared" si="3"/>
        <v>0</v>
      </c>
      <c r="AB67" s="61">
        <v>12</v>
      </c>
      <c r="AC67" s="61">
        <v>3</v>
      </c>
      <c r="AD67" s="63">
        <f t="shared" si="4"/>
        <v>0.25</v>
      </c>
      <c r="AE67" s="61">
        <v>2</v>
      </c>
      <c r="AF67" s="61">
        <v>1</v>
      </c>
      <c r="AG67" s="63">
        <f t="shared" si="5"/>
        <v>0.5</v>
      </c>
      <c r="AH67" s="61">
        <v>57.531364222442129</v>
      </c>
      <c r="AI67" s="61">
        <v>31</v>
      </c>
      <c r="AJ67" s="63">
        <f t="shared" si="6"/>
        <v>0.53883651846217406</v>
      </c>
      <c r="AK67" s="61">
        <v>2.3879727217638953</v>
      </c>
      <c r="AL67" s="61">
        <v>1</v>
      </c>
      <c r="AM67" s="63">
        <f t="shared" si="7"/>
        <v>0.41876525258686453</v>
      </c>
      <c r="AN67" s="61">
        <v>2.1637635230807177</v>
      </c>
      <c r="AO67" s="61">
        <v>3</v>
      </c>
      <c r="AP67" s="63">
        <f t="shared" si="8"/>
        <v>1.3864731371978523</v>
      </c>
      <c r="AQ67" s="61">
        <v>3.5844234810878199</v>
      </c>
      <c r="AR67" s="61">
        <v>1</v>
      </c>
      <c r="AS67" s="63">
        <f t="shared" si="9"/>
        <v>0.27898489262672577</v>
      </c>
      <c r="AT67" s="61">
        <v>2</v>
      </c>
      <c r="AU67" s="61">
        <v>7</v>
      </c>
      <c r="AV67" s="63">
        <f t="shared" si="10"/>
        <v>3.5</v>
      </c>
      <c r="AW67" s="61">
        <v>2.1188545037039619</v>
      </c>
      <c r="AX67" s="61">
        <v>0</v>
      </c>
      <c r="AY67" s="63">
        <f t="shared" si="11"/>
        <v>0</v>
      </c>
      <c r="AZ67" s="61">
        <v>4</v>
      </c>
      <c r="BA67" s="61">
        <v>5</v>
      </c>
      <c r="BB67" s="63">
        <f t="shared" si="12"/>
        <v>1.25</v>
      </c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</row>
    <row r="68" spans="1:87" x14ac:dyDescent="0.25">
      <c r="A68" s="128">
        <v>10220</v>
      </c>
      <c r="B68" s="128">
        <v>21117</v>
      </c>
      <c r="C68" s="138">
        <v>1071206393</v>
      </c>
      <c r="D68" s="128" t="s">
        <v>640</v>
      </c>
      <c r="E68" s="128" t="s">
        <v>546</v>
      </c>
      <c r="F68" s="128" t="s">
        <v>546</v>
      </c>
      <c r="G68" s="128" t="s">
        <v>131</v>
      </c>
      <c r="H68" s="128" t="s">
        <v>132</v>
      </c>
      <c r="I68" s="128" t="s">
        <v>1218</v>
      </c>
      <c r="J68" s="128" t="s">
        <v>112</v>
      </c>
      <c r="K68" s="128" t="s">
        <v>509</v>
      </c>
      <c r="L68" s="128">
        <v>3000</v>
      </c>
      <c r="M68" s="128" t="s">
        <v>1215</v>
      </c>
      <c r="N68" s="130"/>
      <c r="O68" s="131"/>
      <c r="P68" s="133">
        <v>80017</v>
      </c>
      <c r="Q68" s="61">
        <v>6981.74</v>
      </c>
      <c r="R68" s="63">
        <f t="shared" ref="R68:R131" si="13">Q68/P68</f>
        <v>8.7253208693152701E-2</v>
      </c>
      <c r="S68" s="61">
        <v>11644</v>
      </c>
      <c r="T68" s="61">
        <v>0</v>
      </c>
      <c r="U68" s="63">
        <f t="shared" ref="U68:U131" si="14">T68/S68</f>
        <v>0</v>
      </c>
      <c r="V68" s="61">
        <v>25146.664483446209</v>
      </c>
      <c r="W68" s="61">
        <v>5600.87</v>
      </c>
      <c r="X68" s="63">
        <f t="shared" ref="X68:X131" si="15">W68/V68</f>
        <v>0.22272814765103321</v>
      </c>
      <c r="Y68" s="61">
        <v>444</v>
      </c>
      <c r="Z68" s="102">
        <v>0</v>
      </c>
      <c r="AA68" s="63">
        <f t="shared" ref="AA68:AA131" si="16">Z68/Y68</f>
        <v>0</v>
      </c>
      <c r="AB68" s="61">
        <v>19</v>
      </c>
      <c r="AC68" s="61">
        <v>6</v>
      </c>
      <c r="AD68" s="63">
        <f t="shared" ref="AD68:AD131" si="17">AC68/AB68</f>
        <v>0.31578947368421051</v>
      </c>
      <c r="AE68" s="61">
        <v>3</v>
      </c>
      <c r="AF68" s="61">
        <v>1</v>
      </c>
      <c r="AG68" s="63">
        <f t="shared" ref="AG68:AG131" si="18">AF68/AE68</f>
        <v>0.33333333333333331</v>
      </c>
      <c r="AH68" s="61">
        <v>107.12967641310681</v>
      </c>
      <c r="AI68" s="61">
        <v>18</v>
      </c>
      <c r="AJ68" s="63">
        <f t="shared" ref="AJ68:AJ131" si="19">AI68/AH68</f>
        <v>0.16802066992706594</v>
      </c>
      <c r="AK68" s="61">
        <v>3.9799545362731585</v>
      </c>
      <c r="AL68" s="61">
        <v>1</v>
      </c>
      <c r="AM68" s="63">
        <f t="shared" ref="AM68:AM131" si="20">AL68/AK68</f>
        <v>0.25125915155211875</v>
      </c>
      <c r="AN68" s="61">
        <v>4.3275270461614355</v>
      </c>
      <c r="AO68" s="61">
        <v>3</v>
      </c>
      <c r="AP68" s="63">
        <f t="shared" ref="AP68:AP131" si="21">AO68/AN68</f>
        <v>0.69323656859892613</v>
      </c>
      <c r="AQ68" s="61">
        <v>6.2727410919036846</v>
      </c>
      <c r="AR68" s="61">
        <v>3</v>
      </c>
      <c r="AS68" s="63">
        <f t="shared" ref="AS68:AS131" si="22">AR68/AQ68</f>
        <v>0.47825981593152989</v>
      </c>
      <c r="AT68" s="61">
        <v>4</v>
      </c>
      <c r="AU68" s="61">
        <v>0</v>
      </c>
      <c r="AV68" s="63">
        <f t="shared" ref="AV68:AV131" si="23">AU68/AT68</f>
        <v>0</v>
      </c>
      <c r="AW68" s="61">
        <v>2.3418379074405355</v>
      </c>
      <c r="AX68" s="61">
        <v>0</v>
      </c>
      <c r="AY68" s="63">
        <f t="shared" ref="AY68:AY131" si="24">AX68/AW68</f>
        <v>0</v>
      </c>
      <c r="AZ68" s="61">
        <v>8</v>
      </c>
      <c r="BA68" s="61">
        <v>0</v>
      </c>
      <c r="BB68" s="63">
        <f t="shared" ref="BB68:BB131" si="25">BA68/AZ68</f>
        <v>0</v>
      </c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</row>
    <row r="69" spans="1:87" x14ac:dyDescent="0.25">
      <c r="A69" s="128">
        <v>10438</v>
      </c>
      <c r="B69" s="128">
        <v>21117</v>
      </c>
      <c r="C69" s="129">
        <v>1068795028</v>
      </c>
      <c r="D69" s="128" t="s">
        <v>635</v>
      </c>
      <c r="E69" s="128" t="s">
        <v>546</v>
      </c>
      <c r="F69" s="128" t="s">
        <v>546</v>
      </c>
      <c r="G69" s="128" t="s">
        <v>375</v>
      </c>
      <c r="H69" s="128" t="s">
        <v>375</v>
      </c>
      <c r="I69" s="128" t="s">
        <v>1218</v>
      </c>
      <c r="J69" s="128" t="s">
        <v>112</v>
      </c>
      <c r="K69" s="128" t="s">
        <v>509</v>
      </c>
      <c r="L69" s="128">
        <v>3000</v>
      </c>
      <c r="M69" s="128"/>
      <c r="N69" s="130"/>
      <c r="O69" s="131"/>
      <c r="P69" s="132">
        <v>76207</v>
      </c>
      <c r="Q69" s="61">
        <v>86139.199999999997</v>
      </c>
      <c r="R69" s="63">
        <f t="shared" si="13"/>
        <v>1.1303318592780189</v>
      </c>
      <c r="S69" s="61">
        <v>12793</v>
      </c>
      <c r="T69" s="61">
        <v>0</v>
      </c>
      <c r="U69" s="63">
        <f t="shared" si="14"/>
        <v>0</v>
      </c>
      <c r="V69" s="61">
        <v>21467.780804670376</v>
      </c>
      <c r="W69" s="61">
        <v>18486.52</v>
      </c>
      <c r="X69" s="63">
        <f t="shared" si="15"/>
        <v>0.86112859862898383</v>
      </c>
      <c r="Y69" s="61">
        <v>1222</v>
      </c>
      <c r="Z69" s="102">
        <v>0</v>
      </c>
      <c r="AA69" s="63">
        <f t="shared" si="16"/>
        <v>0</v>
      </c>
      <c r="AB69" s="61">
        <v>19</v>
      </c>
      <c r="AC69" s="61">
        <v>5</v>
      </c>
      <c r="AD69" s="63">
        <f t="shared" si="17"/>
        <v>0.26315789473684209</v>
      </c>
      <c r="AE69" s="61">
        <v>3</v>
      </c>
      <c r="AF69" s="61">
        <v>0</v>
      </c>
      <c r="AG69" s="63">
        <f t="shared" si="18"/>
        <v>0</v>
      </c>
      <c r="AH69" s="61">
        <v>107.12967641310681</v>
      </c>
      <c r="AI69" s="61">
        <v>60</v>
      </c>
      <c r="AJ69" s="63">
        <f t="shared" si="19"/>
        <v>0.56006889975688645</v>
      </c>
      <c r="AK69" s="61">
        <v>3.9799545362731585</v>
      </c>
      <c r="AL69" s="61">
        <v>1</v>
      </c>
      <c r="AM69" s="63">
        <f t="shared" si="20"/>
        <v>0.25125915155211875</v>
      </c>
      <c r="AN69" s="61">
        <v>4.3275270461614355</v>
      </c>
      <c r="AO69" s="61">
        <v>14</v>
      </c>
      <c r="AP69" s="63">
        <f t="shared" si="21"/>
        <v>3.2351039867949885</v>
      </c>
      <c r="AQ69" s="61">
        <v>6.2727410919036846</v>
      </c>
      <c r="AR69" s="61">
        <v>3</v>
      </c>
      <c r="AS69" s="63">
        <f t="shared" si="22"/>
        <v>0.47825981593152989</v>
      </c>
      <c r="AT69" s="61">
        <v>4</v>
      </c>
      <c r="AU69" s="61">
        <v>2</v>
      </c>
      <c r="AV69" s="63">
        <f t="shared" si="23"/>
        <v>0.5</v>
      </c>
      <c r="AW69" s="61">
        <v>2.23033157219492</v>
      </c>
      <c r="AX69" s="61">
        <v>0</v>
      </c>
      <c r="AY69" s="63">
        <f t="shared" si="24"/>
        <v>0</v>
      </c>
      <c r="AZ69" s="61">
        <v>8</v>
      </c>
      <c r="BA69" s="61">
        <v>4</v>
      </c>
      <c r="BB69" s="63">
        <f t="shared" si="25"/>
        <v>0.5</v>
      </c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</row>
    <row r="70" spans="1:87" x14ac:dyDescent="0.25">
      <c r="A70" s="213">
        <v>10435</v>
      </c>
      <c r="B70" s="213">
        <v>21117</v>
      </c>
      <c r="C70" s="214">
        <v>1066643220</v>
      </c>
      <c r="D70" s="213" t="s">
        <v>692</v>
      </c>
      <c r="E70" s="213" t="s">
        <v>546</v>
      </c>
      <c r="F70" s="213" t="s">
        <v>546</v>
      </c>
      <c r="G70" s="213" t="s">
        <v>186</v>
      </c>
      <c r="H70" s="213" t="s">
        <v>187</v>
      </c>
      <c r="I70" s="213" t="s">
        <v>1218</v>
      </c>
      <c r="J70" s="213" t="s">
        <v>112</v>
      </c>
      <c r="K70" s="213" t="s">
        <v>509</v>
      </c>
      <c r="L70" s="213">
        <v>3000</v>
      </c>
      <c r="M70" s="215"/>
      <c r="N70" s="216"/>
      <c r="O70" s="217"/>
      <c r="P70" s="222">
        <v>80017</v>
      </c>
      <c r="Q70" s="61">
        <v>30196.54</v>
      </c>
      <c r="R70" s="63">
        <f t="shared" si="13"/>
        <v>0.3773765574815352</v>
      </c>
      <c r="S70" s="61">
        <v>10847</v>
      </c>
      <c r="T70" s="61">
        <v>5172.17</v>
      </c>
      <c r="U70" s="63">
        <f t="shared" si="14"/>
        <v>0.47682953812113948</v>
      </c>
      <c r="V70" s="61">
        <v>21701.253602630102</v>
      </c>
      <c r="W70" s="61">
        <v>9896.1</v>
      </c>
      <c r="X70" s="63">
        <f t="shared" si="15"/>
        <v>0.45601513079413225</v>
      </c>
      <c r="Y70" s="61">
        <v>1333</v>
      </c>
      <c r="Z70" s="102">
        <v>0</v>
      </c>
      <c r="AA70" s="63">
        <f t="shared" si="16"/>
        <v>0</v>
      </c>
      <c r="AB70" s="61">
        <v>19</v>
      </c>
      <c r="AC70" s="61">
        <v>12</v>
      </c>
      <c r="AD70" s="63">
        <f t="shared" si="17"/>
        <v>0.63157894736842102</v>
      </c>
      <c r="AE70" s="61">
        <v>3</v>
      </c>
      <c r="AF70" s="61">
        <v>0</v>
      </c>
      <c r="AG70" s="63">
        <f t="shared" si="18"/>
        <v>0</v>
      </c>
      <c r="AH70" s="61">
        <v>107.12967641310681</v>
      </c>
      <c r="AI70" s="61">
        <v>75</v>
      </c>
      <c r="AJ70" s="63">
        <f t="shared" si="19"/>
        <v>0.70008612469610809</v>
      </c>
      <c r="AK70" s="61">
        <v>3.9799545362731585</v>
      </c>
      <c r="AL70" s="61">
        <v>2</v>
      </c>
      <c r="AM70" s="63">
        <f t="shared" si="20"/>
        <v>0.50251830310423751</v>
      </c>
      <c r="AN70" s="61">
        <v>4.3275270461614355</v>
      </c>
      <c r="AO70" s="61">
        <v>0</v>
      </c>
      <c r="AP70" s="63">
        <f t="shared" si="21"/>
        <v>0</v>
      </c>
      <c r="AQ70" s="61">
        <v>6.2727410919036846</v>
      </c>
      <c r="AR70" s="61">
        <v>1</v>
      </c>
      <c r="AS70" s="63">
        <f t="shared" si="22"/>
        <v>0.1594199386438433</v>
      </c>
      <c r="AT70" s="61">
        <v>4</v>
      </c>
      <c r="AU70" s="61">
        <v>1</v>
      </c>
      <c r="AV70" s="63">
        <f t="shared" si="23"/>
        <v>0.25</v>
      </c>
      <c r="AW70" s="61">
        <v>2.3418379074405355</v>
      </c>
      <c r="AX70" s="61">
        <v>0</v>
      </c>
      <c r="AY70" s="63">
        <f t="shared" si="24"/>
        <v>0</v>
      </c>
      <c r="AZ70" s="61">
        <v>8</v>
      </c>
      <c r="BA70" s="61">
        <v>0</v>
      </c>
      <c r="BB70" s="63">
        <f t="shared" si="25"/>
        <v>0</v>
      </c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</row>
    <row r="71" spans="1:87" x14ac:dyDescent="0.25">
      <c r="A71" s="206">
        <v>10619</v>
      </c>
      <c r="B71" s="207">
        <v>21117</v>
      </c>
      <c r="C71" s="219">
        <v>1071216921</v>
      </c>
      <c r="D71" s="207" t="s">
        <v>1190</v>
      </c>
      <c r="E71" s="207" t="s">
        <v>546</v>
      </c>
      <c r="F71" s="207" t="s">
        <v>546</v>
      </c>
      <c r="G71" s="207" t="s">
        <v>1191</v>
      </c>
      <c r="H71" s="207" t="s">
        <v>1191</v>
      </c>
      <c r="I71" s="207" t="s">
        <v>1218</v>
      </c>
      <c r="J71" s="207" t="s">
        <v>112</v>
      </c>
      <c r="K71" s="207" t="s">
        <v>509</v>
      </c>
      <c r="L71" s="207">
        <v>3000</v>
      </c>
      <c r="M71" s="220"/>
      <c r="N71" s="221"/>
      <c r="O71" s="226"/>
      <c r="P71" s="212">
        <v>72397</v>
      </c>
      <c r="Q71" s="61">
        <v>76511.33</v>
      </c>
      <c r="R71" s="63">
        <f t="shared" si="13"/>
        <v>1.0568301172700527</v>
      </c>
      <c r="S71" s="61">
        <v>9669</v>
      </c>
      <c r="T71" s="61">
        <v>4455.3600000000006</v>
      </c>
      <c r="U71" s="63">
        <f t="shared" si="14"/>
        <v>0.46078808563450208</v>
      </c>
      <c r="V71" s="61">
        <v>16844.726400589825</v>
      </c>
      <c r="W71" s="61">
        <v>10306.379999999999</v>
      </c>
      <c r="X71" s="63">
        <f t="shared" si="15"/>
        <v>0.61184609087145025</v>
      </c>
      <c r="Y71" s="61">
        <v>1444</v>
      </c>
      <c r="Z71" s="102">
        <v>0</v>
      </c>
      <c r="AA71" s="63">
        <f t="shared" si="16"/>
        <v>0</v>
      </c>
      <c r="AB71" s="61">
        <v>19</v>
      </c>
      <c r="AC71" s="61">
        <v>7</v>
      </c>
      <c r="AD71" s="63">
        <f t="shared" si="17"/>
        <v>0.36842105263157893</v>
      </c>
      <c r="AE71" s="61">
        <v>3</v>
      </c>
      <c r="AF71" s="61">
        <v>2</v>
      </c>
      <c r="AG71" s="63">
        <f t="shared" si="18"/>
        <v>0.66666666666666663</v>
      </c>
      <c r="AH71" s="61">
        <v>107.12967641310681</v>
      </c>
      <c r="AI71" s="61">
        <v>57</v>
      </c>
      <c r="AJ71" s="63">
        <f t="shared" si="19"/>
        <v>0.5320654547690421</v>
      </c>
      <c r="AK71" s="61">
        <v>3.9799545362731585</v>
      </c>
      <c r="AL71" s="61">
        <v>5</v>
      </c>
      <c r="AM71" s="63">
        <f t="shared" si="20"/>
        <v>1.2562957577605938</v>
      </c>
      <c r="AN71" s="61">
        <v>4.3275270461614355</v>
      </c>
      <c r="AO71" s="61">
        <v>1</v>
      </c>
      <c r="AP71" s="63">
        <f t="shared" si="21"/>
        <v>0.23107885619964202</v>
      </c>
      <c r="AQ71" s="61">
        <v>6.2727410919036846</v>
      </c>
      <c r="AR71" s="61">
        <v>8</v>
      </c>
      <c r="AS71" s="63">
        <f t="shared" si="22"/>
        <v>1.2753595091507464</v>
      </c>
      <c r="AT71" s="61">
        <v>4</v>
      </c>
      <c r="AU71" s="61">
        <v>6</v>
      </c>
      <c r="AV71" s="63">
        <f t="shared" si="23"/>
        <v>1.5</v>
      </c>
      <c r="AW71" s="61">
        <v>2.1188252369493039</v>
      </c>
      <c r="AX71" s="61">
        <v>0</v>
      </c>
      <c r="AY71" s="63">
        <f t="shared" si="24"/>
        <v>0</v>
      </c>
      <c r="AZ71" s="61">
        <v>8</v>
      </c>
      <c r="BA71" s="61">
        <v>4</v>
      </c>
      <c r="BB71" s="63">
        <f t="shared" si="25"/>
        <v>0.5</v>
      </c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</row>
    <row r="72" spans="1:87" x14ac:dyDescent="0.25">
      <c r="A72" s="128">
        <v>9944</v>
      </c>
      <c r="B72" s="128">
        <v>19271</v>
      </c>
      <c r="C72" s="144">
        <v>1077458253</v>
      </c>
      <c r="D72" s="128" t="s">
        <v>690</v>
      </c>
      <c r="E72" s="128" t="s">
        <v>544</v>
      </c>
      <c r="F72" s="128" t="s">
        <v>544</v>
      </c>
      <c r="G72" s="128" t="s">
        <v>183</v>
      </c>
      <c r="H72" s="128" t="s">
        <v>184</v>
      </c>
      <c r="I72" s="128" t="s">
        <v>1218</v>
      </c>
      <c r="J72" s="128" t="s">
        <v>112</v>
      </c>
      <c r="K72" s="128" t="s">
        <v>509</v>
      </c>
      <c r="L72" s="128">
        <v>3000</v>
      </c>
      <c r="M72" s="145"/>
      <c r="N72" s="146"/>
      <c r="O72" s="147"/>
      <c r="P72" s="133">
        <v>366090</v>
      </c>
      <c r="Q72" s="61">
        <v>0</v>
      </c>
      <c r="R72" s="63">
        <f t="shared" si="13"/>
        <v>0</v>
      </c>
      <c r="S72" s="61">
        <v>44238</v>
      </c>
      <c r="T72" s="61">
        <v>0</v>
      </c>
      <c r="U72" s="63">
        <f t="shared" si="14"/>
        <v>0</v>
      </c>
      <c r="V72" s="61">
        <v>100486.9341610452</v>
      </c>
      <c r="W72" s="61">
        <v>0</v>
      </c>
      <c r="X72" s="63">
        <f t="shared" si="15"/>
        <v>0</v>
      </c>
      <c r="Y72" s="61">
        <v>6110</v>
      </c>
      <c r="Z72" s="102">
        <v>0</v>
      </c>
      <c r="AA72" s="63">
        <f t="shared" si="16"/>
        <v>0</v>
      </c>
      <c r="AB72" s="61">
        <v>84</v>
      </c>
      <c r="AC72" s="61">
        <v>0</v>
      </c>
      <c r="AD72" s="63">
        <f t="shared" si="17"/>
        <v>0</v>
      </c>
      <c r="AE72" s="61">
        <v>13</v>
      </c>
      <c r="AF72" s="61">
        <v>0</v>
      </c>
      <c r="AG72" s="63">
        <f t="shared" si="18"/>
        <v>0</v>
      </c>
      <c r="AH72" s="61">
        <v>465.25091377953703</v>
      </c>
      <c r="AI72" s="61">
        <v>0</v>
      </c>
      <c r="AJ72" s="63">
        <f t="shared" si="19"/>
        <v>0</v>
      </c>
      <c r="AK72" s="61">
        <v>17.511799959601898</v>
      </c>
      <c r="AL72" s="61">
        <v>0</v>
      </c>
      <c r="AM72" s="63">
        <f t="shared" si="20"/>
        <v>0</v>
      </c>
      <c r="AN72" s="61">
        <v>18.752617200032887</v>
      </c>
      <c r="AO72" s="61">
        <v>0</v>
      </c>
      <c r="AP72" s="63">
        <f t="shared" si="21"/>
        <v>0</v>
      </c>
      <c r="AQ72" s="61">
        <v>37.636446551422111</v>
      </c>
      <c r="AR72" s="61">
        <v>0</v>
      </c>
      <c r="AS72" s="63">
        <f t="shared" si="22"/>
        <v>0</v>
      </c>
      <c r="AT72" s="61">
        <v>33</v>
      </c>
      <c r="AU72" s="61">
        <v>0</v>
      </c>
      <c r="AV72" s="63">
        <f t="shared" si="23"/>
        <v>0</v>
      </c>
      <c r="AW72" s="61">
        <v>10.71426621261614</v>
      </c>
      <c r="AX72" s="61">
        <v>0</v>
      </c>
      <c r="AY72" s="63">
        <f t="shared" si="24"/>
        <v>0</v>
      </c>
      <c r="AZ72" s="61">
        <v>34</v>
      </c>
      <c r="BA72" s="61">
        <v>0</v>
      </c>
      <c r="BB72" s="63">
        <f t="shared" si="25"/>
        <v>0</v>
      </c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</row>
    <row r="73" spans="1:87" x14ac:dyDescent="0.25">
      <c r="A73" s="128">
        <v>10624</v>
      </c>
      <c r="B73" s="128">
        <v>9944</v>
      </c>
      <c r="C73" s="129">
        <v>1046800189</v>
      </c>
      <c r="D73" s="128" t="s">
        <v>632</v>
      </c>
      <c r="E73" s="128" t="s">
        <v>546</v>
      </c>
      <c r="F73" s="128" t="s">
        <v>546</v>
      </c>
      <c r="G73" s="128" t="s">
        <v>117</v>
      </c>
      <c r="H73" s="128" t="s">
        <v>117</v>
      </c>
      <c r="I73" s="128" t="s">
        <v>1218</v>
      </c>
      <c r="J73" s="128" t="s">
        <v>112</v>
      </c>
      <c r="K73" s="128" t="s">
        <v>509</v>
      </c>
      <c r="L73" s="128">
        <v>3000</v>
      </c>
      <c r="M73" s="128" t="s">
        <v>1219</v>
      </c>
      <c r="N73" s="130"/>
      <c r="O73" s="131">
        <v>0.2</v>
      </c>
      <c r="P73" s="132">
        <v>73218</v>
      </c>
      <c r="Q73" s="61">
        <v>70347.850000000006</v>
      </c>
      <c r="R73" s="63">
        <f t="shared" si="13"/>
        <v>0.96079993990548784</v>
      </c>
      <c r="S73" s="61">
        <v>8326</v>
      </c>
      <c r="T73" s="61">
        <v>3225.22</v>
      </c>
      <c r="U73" s="63">
        <f t="shared" si="14"/>
        <v>0.38736728320922409</v>
      </c>
      <c r="V73" s="61">
        <v>18641.369986131602</v>
      </c>
      <c r="W73" s="61">
        <v>32050.46</v>
      </c>
      <c r="X73" s="63">
        <f t="shared" si="15"/>
        <v>1.719318913998499</v>
      </c>
      <c r="Y73" s="61">
        <v>1000</v>
      </c>
      <c r="Z73" s="102">
        <v>0</v>
      </c>
      <c r="AA73" s="63">
        <f t="shared" si="16"/>
        <v>0</v>
      </c>
      <c r="AB73" s="61">
        <v>16</v>
      </c>
      <c r="AC73" s="61">
        <v>11</v>
      </c>
      <c r="AD73" s="63">
        <f t="shared" si="17"/>
        <v>0.6875</v>
      </c>
      <c r="AE73" s="61">
        <v>2</v>
      </c>
      <c r="AF73" s="61">
        <v>0</v>
      </c>
      <c r="AG73" s="63">
        <f t="shared" si="18"/>
        <v>0</v>
      </c>
      <c r="AH73" s="61">
        <v>87.297046333663189</v>
      </c>
      <c r="AI73" s="61">
        <v>59</v>
      </c>
      <c r="AJ73" s="63">
        <f t="shared" si="19"/>
        <v>0.67585333614258403</v>
      </c>
      <c r="AK73" s="61">
        <v>3.1839636290185269</v>
      </c>
      <c r="AL73" s="61">
        <v>2</v>
      </c>
      <c r="AM73" s="63">
        <f t="shared" si="20"/>
        <v>0.62814787888029688</v>
      </c>
      <c r="AN73" s="61">
        <v>3.6062725384678629</v>
      </c>
      <c r="AO73" s="61">
        <v>1</v>
      </c>
      <c r="AP73" s="63">
        <f t="shared" si="21"/>
        <v>0.27729462743957045</v>
      </c>
      <c r="AQ73" s="61">
        <v>16.12990566489519</v>
      </c>
      <c r="AR73" s="61">
        <v>6</v>
      </c>
      <c r="AS73" s="63">
        <f t="shared" si="22"/>
        <v>0.37197985683563434</v>
      </c>
      <c r="AT73" s="61">
        <v>19</v>
      </c>
      <c r="AU73" s="61">
        <v>6</v>
      </c>
      <c r="AV73" s="63">
        <f t="shared" si="23"/>
        <v>0.31578947368421051</v>
      </c>
      <c r="AW73" s="61">
        <v>2.1428532425232278</v>
      </c>
      <c r="AX73" s="61">
        <v>0</v>
      </c>
      <c r="AY73" s="63">
        <f t="shared" si="24"/>
        <v>0</v>
      </c>
      <c r="AZ73" s="61">
        <v>6</v>
      </c>
      <c r="BA73" s="61">
        <v>4</v>
      </c>
      <c r="BB73" s="63">
        <f t="shared" si="25"/>
        <v>0.66666666666666663</v>
      </c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</row>
    <row r="74" spans="1:87" x14ac:dyDescent="0.25">
      <c r="A74" s="128">
        <v>9849</v>
      </c>
      <c r="B74" s="128">
        <v>9944</v>
      </c>
      <c r="C74" s="138">
        <v>1030960825</v>
      </c>
      <c r="D74" s="128" t="s">
        <v>643</v>
      </c>
      <c r="E74" s="128" t="s">
        <v>546</v>
      </c>
      <c r="F74" s="128" t="s">
        <v>546</v>
      </c>
      <c r="G74" s="128" t="s">
        <v>376</v>
      </c>
      <c r="H74" s="128" t="s">
        <v>376</v>
      </c>
      <c r="I74" s="128" t="s">
        <v>1218</v>
      </c>
      <c r="J74" s="128" t="s">
        <v>112</v>
      </c>
      <c r="K74" s="128" t="s">
        <v>509</v>
      </c>
      <c r="L74" s="128">
        <v>3000</v>
      </c>
      <c r="M74" s="139" t="s">
        <v>1202</v>
      </c>
      <c r="N74" s="140"/>
      <c r="O74" s="141">
        <v>0.5</v>
      </c>
      <c r="P74" s="133">
        <v>65896</v>
      </c>
      <c r="Q74" s="61">
        <v>17850.45</v>
      </c>
      <c r="R74" s="63">
        <f t="shared" si="13"/>
        <v>0.27088821779774191</v>
      </c>
      <c r="S74" s="61">
        <v>7778</v>
      </c>
      <c r="T74" s="61">
        <v>0</v>
      </c>
      <c r="U74" s="63">
        <f t="shared" si="14"/>
        <v>0</v>
      </c>
      <c r="V74" s="61">
        <v>15377.151226743315</v>
      </c>
      <c r="W74" s="61">
        <v>7839.57</v>
      </c>
      <c r="X74" s="63">
        <f t="shared" si="15"/>
        <v>0.50981939921132713</v>
      </c>
      <c r="Y74" s="61">
        <v>555</v>
      </c>
      <c r="Z74" s="102">
        <v>0</v>
      </c>
      <c r="AA74" s="63">
        <f t="shared" si="16"/>
        <v>0</v>
      </c>
      <c r="AB74" s="61">
        <v>11</v>
      </c>
      <c r="AC74" s="61">
        <v>5</v>
      </c>
      <c r="AD74" s="63">
        <f t="shared" si="17"/>
        <v>0.45454545454545453</v>
      </c>
      <c r="AE74" s="61">
        <v>2</v>
      </c>
      <c r="AF74" s="61">
        <v>0</v>
      </c>
      <c r="AG74" s="63">
        <f t="shared" si="18"/>
        <v>0</v>
      </c>
      <c r="AH74" s="61">
        <v>56.564838206553404</v>
      </c>
      <c r="AI74" s="61">
        <v>20</v>
      </c>
      <c r="AJ74" s="63">
        <f t="shared" si="19"/>
        <v>0.35357654391174181</v>
      </c>
      <c r="AK74" s="61">
        <v>2.3879727217638953</v>
      </c>
      <c r="AL74" s="61">
        <v>1</v>
      </c>
      <c r="AM74" s="63">
        <f t="shared" si="20"/>
        <v>0.41876525258686453</v>
      </c>
      <c r="AN74" s="61">
        <v>2.1637635230807177</v>
      </c>
      <c r="AO74" s="61">
        <v>1</v>
      </c>
      <c r="AP74" s="63">
        <f t="shared" si="21"/>
        <v>0.46215771239928405</v>
      </c>
      <c r="AQ74" s="61">
        <v>3.5844234810878199</v>
      </c>
      <c r="AR74" s="61">
        <v>2</v>
      </c>
      <c r="AS74" s="63">
        <f t="shared" si="22"/>
        <v>0.55796978525345153</v>
      </c>
      <c r="AT74" s="61">
        <v>2</v>
      </c>
      <c r="AU74" s="61">
        <v>1</v>
      </c>
      <c r="AV74" s="63">
        <f t="shared" si="23"/>
        <v>0.5</v>
      </c>
      <c r="AW74" s="61">
        <v>1.9285620649199737</v>
      </c>
      <c r="AX74" s="61">
        <v>0</v>
      </c>
      <c r="AY74" s="63">
        <f t="shared" si="24"/>
        <v>0</v>
      </c>
      <c r="AZ74" s="61">
        <v>4</v>
      </c>
      <c r="BA74" s="61">
        <v>0</v>
      </c>
      <c r="BB74" s="63">
        <f t="shared" si="25"/>
        <v>0</v>
      </c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</row>
    <row r="75" spans="1:87" x14ac:dyDescent="0.25">
      <c r="A75" s="128">
        <v>9818</v>
      </c>
      <c r="B75" s="128">
        <v>9944</v>
      </c>
      <c r="C75" s="129">
        <v>1080205246</v>
      </c>
      <c r="D75" s="128" t="s">
        <v>638</v>
      </c>
      <c r="E75" s="128" t="s">
        <v>546</v>
      </c>
      <c r="F75" s="128" t="s">
        <v>546</v>
      </c>
      <c r="G75" s="128" t="s">
        <v>127</v>
      </c>
      <c r="H75" s="128" t="s">
        <v>128</v>
      </c>
      <c r="I75" s="128" t="s">
        <v>1218</v>
      </c>
      <c r="J75" s="128" t="s">
        <v>112</v>
      </c>
      <c r="K75" s="128" t="s">
        <v>509</v>
      </c>
      <c r="L75" s="128">
        <v>3000</v>
      </c>
      <c r="M75" s="128" t="s">
        <v>1215</v>
      </c>
      <c r="N75" s="130"/>
      <c r="O75" s="131"/>
      <c r="P75" s="132">
        <v>80540</v>
      </c>
      <c r="Q75" s="61">
        <v>42193.920000000006</v>
      </c>
      <c r="R75" s="63">
        <f t="shared" si="13"/>
        <v>0.52388775763595741</v>
      </c>
      <c r="S75" s="61">
        <v>8956</v>
      </c>
      <c r="T75" s="61">
        <v>2520.87</v>
      </c>
      <c r="U75" s="63">
        <f t="shared" si="14"/>
        <v>0.28147275569450647</v>
      </c>
      <c r="V75" s="61">
        <v>22859.780804670376</v>
      </c>
      <c r="W75" s="61">
        <v>6384.7300000000005</v>
      </c>
      <c r="X75" s="63">
        <f t="shared" si="15"/>
        <v>0.27929970346415423</v>
      </c>
      <c r="Y75" s="61">
        <v>2111</v>
      </c>
      <c r="Z75" s="102">
        <v>952</v>
      </c>
      <c r="AA75" s="63">
        <f t="shared" si="16"/>
        <v>0.4509711037423022</v>
      </c>
      <c r="AB75" s="61">
        <v>19</v>
      </c>
      <c r="AC75" s="61">
        <v>11</v>
      </c>
      <c r="AD75" s="63">
        <f t="shared" si="17"/>
        <v>0.57894736842105265</v>
      </c>
      <c r="AE75" s="61">
        <v>3</v>
      </c>
      <c r="AF75" s="61">
        <v>0</v>
      </c>
      <c r="AG75" s="63">
        <f t="shared" si="18"/>
        <v>0</v>
      </c>
      <c r="AH75" s="61">
        <v>107.12967641310681</v>
      </c>
      <c r="AI75" s="61">
        <v>52</v>
      </c>
      <c r="AJ75" s="63">
        <f t="shared" si="19"/>
        <v>0.48539304645596826</v>
      </c>
      <c r="AK75" s="61">
        <v>3.9799545362731585</v>
      </c>
      <c r="AL75" s="61">
        <v>2</v>
      </c>
      <c r="AM75" s="63">
        <f t="shared" si="20"/>
        <v>0.50251830310423751</v>
      </c>
      <c r="AN75" s="61">
        <v>4.3275270461614355</v>
      </c>
      <c r="AO75" s="61">
        <v>5</v>
      </c>
      <c r="AP75" s="63">
        <f t="shared" si="21"/>
        <v>1.1553942809982101</v>
      </c>
      <c r="AQ75" s="61">
        <v>4.4805293513597748</v>
      </c>
      <c r="AR75" s="61">
        <v>3</v>
      </c>
      <c r="AS75" s="63">
        <f t="shared" si="22"/>
        <v>0.66956374230414184</v>
      </c>
      <c r="AT75" s="61">
        <v>3</v>
      </c>
      <c r="AU75" s="61">
        <v>1</v>
      </c>
      <c r="AV75" s="63">
        <f t="shared" si="23"/>
        <v>0.33333333333333331</v>
      </c>
      <c r="AW75" s="61">
        <v>2.3571444201264824</v>
      </c>
      <c r="AX75" s="61">
        <v>0</v>
      </c>
      <c r="AY75" s="63">
        <f t="shared" si="24"/>
        <v>0</v>
      </c>
      <c r="AZ75" s="61">
        <v>8</v>
      </c>
      <c r="BA75" s="61">
        <v>1</v>
      </c>
      <c r="BB75" s="63">
        <f t="shared" si="25"/>
        <v>0.125</v>
      </c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</row>
    <row r="76" spans="1:87" x14ac:dyDescent="0.25">
      <c r="A76" s="206">
        <v>12103</v>
      </c>
      <c r="B76" s="207">
        <v>9944</v>
      </c>
      <c r="C76" s="208">
        <v>1075286219</v>
      </c>
      <c r="D76" s="207" t="s">
        <v>641</v>
      </c>
      <c r="E76" s="207" t="s">
        <v>546</v>
      </c>
      <c r="F76" s="207" t="s">
        <v>546</v>
      </c>
      <c r="G76" s="207" t="s">
        <v>133</v>
      </c>
      <c r="H76" s="207" t="s">
        <v>133</v>
      </c>
      <c r="I76" s="207" t="s">
        <v>1218</v>
      </c>
      <c r="J76" s="207" t="s">
        <v>112</v>
      </c>
      <c r="K76" s="207" t="s">
        <v>509</v>
      </c>
      <c r="L76" s="207">
        <v>3000</v>
      </c>
      <c r="M76" s="207" t="s">
        <v>1215</v>
      </c>
      <c r="N76" s="209"/>
      <c r="O76" s="210"/>
      <c r="P76" s="211">
        <v>73218</v>
      </c>
      <c r="Q76" s="61">
        <v>72700</v>
      </c>
      <c r="R76" s="63">
        <f t="shared" si="13"/>
        <v>0.99292523696358814</v>
      </c>
      <c r="S76" s="61">
        <v>10499</v>
      </c>
      <c r="T76" s="61">
        <v>5215.66</v>
      </c>
      <c r="U76" s="63">
        <f t="shared" si="14"/>
        <v>0.4967768358891323</v>
      </c>
      <c r="V76" s="61">
        <v>22866.664483446209</v>
      </c>
      <c r="W76" s="61">
        <v>5760</v>
      </c>
      <c r="X76" s="63">
        <f t="shared" si="15"/>
        <v>0.25189506778174048</v>
      </c>
      <c r="Y76" s="61">
        <v>1666</v>
      </c>
      <c r="Z76" s="102">
        <v>419</v>
      </c>
      <c r="AA76" s="63">
        <f t="shared" si="16"/>
        <v>0.25150060024009602</v>
      </c>
      <c r="AB76" s="61">
        <v>19</v>
      </c>
      <c r="AC76" s="61">
        <v>11</v>
      </c>
      <c r="AD76" s="63">
        <f t="shared" si="17"/>
        <v>0.57894736842105265</v>
      </c>
      <c r="AE76" s="61">
        <v>3</v>
      </c>
      <c r="AF76" s="61">
        <v>2</v>
      </c>
      <c r="AG76" s="63">
        <f t="shared" si="18"/>
        <v>0.66666666666666663</v>
      </c>
      <c r="AH76" s="61">
        <v>107.12967641310681</v>
      </c>
      <c r="AI76" s="61">
        <v>67</v>
      </c>
      <c r="AJ76" s="63">
        <f t="shared" si="19"/>
        <v>0.6254102713951899</v>
      </c>
      <c r="AK76" s="61">
        <v>3.9799545362731585</v>
      </c>
      <c r="AL76" s="61">
        <v>1</v>
      </c>
      <c r="AM76" s="63">
        <f t="shared" si="20"/>
        <v>0.25125915155211875</v>
      </c>
      <c r="AN76" s="61">
        <v>4.3275270461614355</v>
      </c>
      <c r="AO76" s="61">
        <v>4</v>
      </c>
      <c r="AP76" s="63">
        <f t="shared" si="21"/>
        <v>0.9243154247985681</v>
      </c>
      <c r="AQ76" s="61">
        <v>7.1688469621756399</v>
      </c>
      <c r="AR76" s="61">
        <v>2</v>
      </c>
      <c r="AS76" s="63">
        <f t="shared" si="22"/>
        <v>0.27898489262672577</v>
      </c>
      <c r="AT76" s="61">
        <v>5</v>
      </c>
      <c r="AU76" s="61">
        <v>2</v>
      </c>
      <c r="AV76" s="63">
        <f t="shared" si="23"/>
        <v>0.4</v>
      </c>
      <c r="AW76" s="61">
        <v>2.1428532425232278</v>
      </c>
      <c r="AX76" s="61">
        <v>0</v>
      </c>
      <c r="AY76" s="63">
        <f t="shared" si="24"/>
        <v>0</v>
      </c>
      <c r="AZ76" s="61">
        <v>8</v>
      </c>
      <c r="BA76" s="61">
        <v>3</v>
      </c>
      <c r="BB76" s="63">
        <f t="shared" si="25"/>
        <v>0.375</v>
      </c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</row>
    <row r="77" spans="1:87" x14ac:dyDescent="0.25">
      <c r="A77" s="128">
        <v>1265</v>
      </c>
      <c r="B77" s="128">
        <v>9944</v>
      </c>
      <c r="C77" s="129">
        <v>1053742787</v>
      </c>
      <c r="D77" s="128" t="s">
        <v>633</v>
      </c>
      <c r="E77" s="128" t="s">
        <v>546</v>
      </c>
      <c r="F77" s="128" t="s">
        <v>546</v>
      </c>
      <c r="G77" s="128" t="s">
        <v>121</v>
      </c>
      <c r="H77" s="128" t="s">
        <v>122</v>
      </c>
      <c r="I77" s="128" t="s">
        <v>1218</v>
      </c>
      <c r="J77" s="128" t="s">
        <v>112</v>
      </c>
      <c r="K77" s="128" t="s">
        <v>509</v>
      </c>
      <c r="L77" s="128">
        <v>3000</v>
      </c>
      <c r="M77" s="128"/>
      <c r="N77" s="130"/>
      <c r="O77" s="131"/>
      <c r="P77" s="132">
        <v>73218</v>
      </c>
      <c r="Q77" s="61">
        <v>62230.45</v>
      </c>
      <c r="R77" s="63">
        <f t="shared" si="13"/>
        <v>0.84993375945805671</v>
      </c>
      <c r="S77" s="61">
        <v>8679</v>
      </c>
      <c r="T77" s="61">
        <v>0</v>
      </c>
      <c r="U77" s="63">
        <f t="shared" si="14"/>
        <v>0</v>
      </c>
      <c r="V77" s="61">
        <v>20741.967660053702</v>
      </c>
      <c r="W77" s="61">
        <v>10448.64</v>
      </c>
      <c r="X77" s="63">
        <f t="shared" si="15"/>
        <v>0.50374391529510987</v>
      </c>
      <c r="Y77" s="61">
        <v>778</v>
      </c>
      <c r="Z77" s="102">
        <v>0</v>
      </c>
      <c r="AA77" s="63">
        <f t="shared" si="16"/>
        <v>0</v>
      </c>
      <c r="AB77" s="61">
        <v>19</v>
      </c>
      <c r="AC77" s="61">
        <v>11</v>
      </c>
      <c r="AD77" s="63">
        <f t="shared" si="17"/>
        <v>0.57894736842105265</v>
      </c>
      <c r="AE77" s="61">
        <v>3</v>
      </c>
      <c r="AF77" s="61">
        <v>4</v>
      </c>
      <c r="AG77" s="63">
        <f t="shared" si="18"/>
        <v>1.3333333333333333</v>
      </c>
      <c r="AH77" s="61">
        <v>107.12967641310681</v>
      </c>
      <c r="AI77" s="61">
        <v>39</v>
      </c>
      <c r="AJ77" s="63">
        <f t="shared" si="19"/>
        <v>0.36404478484197622</v>
      </c>
      <c r="AK77" s="61">
        <v>3.9799545362731585</v>
      </c>
      <c r="AL77" s="61">
        <v>0</v>
      </c>
      <c r="AM77" s="63">
        <f t="shared" si="20"/>
        <v>0</v>
      </c>
      <c r="AN77" s="61">
        <v>4.3275270461614355</v>
      </c>
      <c r="AO77" s="61">
        <v>6</v>
      </c>
      <c r="AP77" s="63">
        <f t="shared" si="21"/>
        <v>1.3864731371978523</v>
      </c>
      <c r="AQ77" s="61">
        <v>6.2727410919036846</v>
      </c>
      <c r="AR77" s="61">
        <v>8</v>
      </c>
      <c r="AS77" s="63">
        <f t="shared" si="22"/>
        <v>1.2753595091507464</v>
      </c>
      <c r="AT77" s="61">
        <v>4</v>
      </c>
      <c r="AU77" s="61">
        <v>3</v>
      </c>
      <c r="AV77" s="63">
        <f t="shared" si="23"/>
        <v>0.75</v>
      </c>
      <c r="AW77" s="61">
        <v>2.1428532425232278</v>
      </c>
      <c r="AX77" s="61">
        <v>0</v>
      </c>
      <c r="AY77" s="63">
        <f t="shared" si="24"/>
        <v>0</v>
      </c>
      <c r="AZ77" s="61">
        <v>8</v>
      </c>
      <c r="BA77" s="61">
        <v>2</v>
      </c>
      <c r="BB77" s="63">
        <f t="shared" si="25"/>
        <v>0.25</v>
      </c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</row>
    <row r="78" spans="1:87" x14ac:dyDescent="0.25">
      <c r="A78" s="128">
        <v>21708</v>
      </c>
      <c r="B78" s="128">
        <v>19282</v>
      </c>
      <c r="C78" s="138">
        <v>1020043491</v>
      </c>
      <c r="D78" s="128" t="s">
        <v>630</v>
      </c>
      <c r="E78" s="128" t="s">
        <v>541</v>
      </c>
      <c r="F78" s="128" t="s">
        <v>541</v>
      </c>
      <c r="G78" s="128" t="s">
        <v>113</v>
      </c>
      <c r="H78" s="128" t="s">
        <v>113</v>
      </c>
      <c r="I78" s="128" t="s">
        <v>1218</v>
      </c>
      <c r="J78" s="128" t="s">
        <v>112</v>
      </c>
      <c r="K78" s="128" t="s">
        <v>135</v>
      </c>
      <c r="L78" s="128">
        <v>13006</v>
      </c>
      <c r="M78" s="139"/>
      <c r="N78" s="140"/>
      <c r="O78" s="141"/>
      <c r="P78" s="133">
        <v>700427</v>
      </c>
      <c r="Q78" s="61">
        <v>0</v>
      </c>
      <c r="R78" s="63">
        <f t="shared" si="13"/>
        <v>0</v>
      </c>
      <c r="S78" s="61">
        <v>93292</v>
      </c>
      <c r="T78" s="61">
        <v>0</v>
      </c>
      <c r="U78" s="63">
        <f t="shared" si="14"/>
        <v>0</v>
      </c>
      <c r="V78" s="61">
        <v>188617.29254814665</v>
      </c>
      <c r="W78" s="61">
        <v>0</v>
      </c>
      <c r="X78" s="63">
        <f t="shared" si="15"/>
        <v>0</v>
      </c>
      <c r="Y78" s="61">
        <v>10365</v>
      </c>
      <c r="Z78" s="102">
        <v>0</v>
      </c>
      <c r="AA78" s="63">
        <f t="shared" si="16"/>
        <v>0</v>
      </c>
      <c r="AB78" s="61">
        <v>165</v>
      </c>
      <c r="AC78" s="61">
        <v>0</v>
      </c>
      <c r="AD78" s="63">
        <f t="shared" si="17"/>
        <v>0</v>
      </c>
      <c r="AE78" s="61">
        <v>25</v>
      </c>
      <c r="AF78" s="61">
        <v>0</v>
      </c>
      <c r="AG78" s="63">
        <f t="shared" si="18"/>
        <v>0</v>
      </c>
      <c r="AH78" s="61">
        <v>894.7696194319642</v>
      </c>
      <c r="AI78" s="61">
        <v>0</v>
      </c>
      <c r="AJ78" s="63">
        <f t="shared" si="19"/>
        <v>0</v>
      </c>
      <c r="AK78" s="61">
        <v>38.207563548222325</v>
      </c>
      <c r="AL78" s="61">
        <v>0</v>
      </c>
      <c r="AM78" s="63">
        <f t="shared" si="20"/>
        <v>0</v>
      </c>
      <c r="AN78" s="61">
        <v>35.341470876985056</v>
      </c>
      <c r="AO78" s="61">
        <v>0</v>
      </c>
      <c r="AP78" s="63">
        <f t="shared" si="21"/>
        <v>0</v>
      </c>
      <c r="AQ78" s="61">
        <v>64.519622659580762</v>
      </c>
      <c r="AR78" s="61">
        <v>0</v>
      </c>
      <c r="AS78" s="63">
        <f t="shared" si="22"/>
        <v>0</v>
      </c>
      <c r="AT78" s="61">
        <v>47</v>
      </c>
      <c r="AU78" s="61">
        <v>0</v>
      </c>
      <c r="AV78" s="63">
        <f t="shared" si="23"/>
        <v>0</v>
      </c>
      <c r="AW78" s="61">
        <v>20.499225164588175</v>
      </c>
      <c r="AX78" s="61">
        <v>0</v>
      </c>
      <c r="AY78" s="63">
        <f t="shared" si="24"/>
        <v>0</v>
      </c>
      <c r="AZ78" s="61">
        <v>65</v>
      </c>
      <c r="BA78" s="61">
        <v>0</v>
      </c>
      <c r="BB78" s="63">
        <f t="shared" si="25"/>
        <v>0</v>
      </c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</row>
    <row r="79" spans="1:87" x14ac:dyDescent="0.25">
      <c r="A79" s="128">
        <v>2862</v>
      </c>
      <c r="B79" s="128">
        <v>21708</v>
      </c>
      <c r="C79" s="129">
        <v>1060785159</v>
      </c>
      <c r="D79" s="128" t="s">
        <v>645</v>
      </c>
      <c r="E79" s="128" t="s">
        <v>544</v>
      </c>
      <c r="F79" s="128" t="s">
        <v>544</v>
      </c>
      <c r="G79" s="128" t="s">
        <v>136</v>
      </c>
      <c r="H79" s="128" t="s">
        <v>137</v>
      </c>
      <c r="I79" s="128" t="s">
        <v>1218</v>
      </c>
      <c r="J79" s="128" t="s">
        <v>112</v>
      </c>
      <c r="K79" s="128" t="s">
        <v>135</v>
      </c>
      <c r="L79" s="128">
        <v>13006</v>
      </c>
      <c r="M79" s="128"/>
      <c r="N79" s="130"/>
      <c r="O79" s="131"/>
      <c r="P79" s="132">
        <v>387438</v>
      </c>
      <c r="Q79" s="61">
        <v>0</v>
      </c>
      <c r="R79" s="63">
        <f t="shared" si="13"/>
        <v>0</v>
      </c>
      <c r="S79" s="61">
        <v>50324</v>
      </c>
      <c r="T79" s="61">
        <v>0</v>
      </c>
      <c r="U79" s="63">
        <f t="shared" si="14"/>
        <v>0</v>
      </c>
      <c r="V79" s="61">
        <v>108177.55813016632</v>
      </c>
      <c r="W79" s="61">
        <v>0</v>
      </c>
      <c r="X79" s="63">
        <f t="shared" si="15"/>
        <v>0</v>
      </c>
      <c r="Y79" s="61">
        <v>7567</v>
      </c>
      <c r="Z79" s="102">
        <v>0</v>
      </c>
      <c r="AA79" s="63">
        <f t="shared" si="16"/>
        <v>0</v>
      </c>
      <c r="AB79" s="61">
        <v>96</v>
      </c>
      <c r="AC79" s="61">
        <v>0</v>
      </c>
      <c r="AD79" s="63">
        <f t="shared" si="17"/>
        <v>0</v>
      </c>
      <c r="AE79" s="61">
        <v>14</v>
      </c>
      <c r="AF79" s="61">
        <v>0</v>
      </c>
      <c r="AG79" s="63">
        <f t="shared" si="18"/>
        <v>0</v>
      </c>
      <c r="AH79" s="61">
        <v>521.78227800197919</v>
      </c>
      <c r="AI79" s="61">
        <v>0</v>
      </c>
      <c r="AJ79" s="63">
        <f t="shared" si="19"/>
        <v>0</v>
      </c>
      <c r="AK79" s="61">
        <v>22.287745403129687</v>
      </c>
      <c r="AL79" s="61">
        <v>0</v>
      </c>
      <c r="AM79" s="63">
        <f t="shared" si="20"/>
        <v>0</v>
      </c>
      <c r="AN79" s="61">
        <v>20.916380723113605</v>
      </c>
      <c r="AO79" s="61">
        <v>0</v>
      </c>
      <c r="AP79" s="63">
        <f t="shared" si="21"/>
        <v>0</v>
      </c>
      <c r="AQ79" s="61">
        <v>43.013081773053841</v>
      </c>
      <c r="AR79" s="61">
        <v>0</v>
      </c>
      <c r="AS79" s="63">
        <f t="shared" si="22"/>
        <v>0</v>
      </c>
      <c r="AT79" s="61">
        <v>33</v>
      </c>
      <c r="AU79" s="61">
        <v>0</v>
      </c>
      <c r="AV79" s="63">
        <f t="shared" si="23"/>
        <v>0</v>
      </c>
      <c r="AW79" s="61">
        <v>11.33905289104748</v>
      </c>
      <c r="AX79" s="61">
        <v>0</v>
      </c>
      <c r="AY79" s="63">
        <f t="shared" si="24"/>
        <v>0</v>
      </c>
      <c r="AZ79" s="61">
        <v>38</v>
      </c>
      <c r="BA79" s="61">
        <v>0</v>
      </c>
      <c r="BB79" s="63">
        <f t="shared" si="25"/>
        <v>0</v>
      </c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</row>
    <row r="80" spans="1:87" x14ac:dyDescent="0.25">
      <c r="A80" s="128">
        <v>7783</v>
      </c>
      <c r="B80" s="139">
        <v>2862</v>
      </c>
      <c r="C80" s="138">
        <v>1107914770</v>
      </c>
      <c r="D80" s="128" t="s">
        <v>655</v>
      </c>
      <c r="E80" s="128" t="s">
        <v>546</v>
      </c>
      <c r="F80" s="128" t="s">
        <v>546</v>
      </c>
      <c r="G80" s="128" t="s">
        <v>155</v>
      </c>
      <c r="H80" s="128" t="s">
        <v>156</v>
      </c>
      <c r="I80" s="128" t="s">
        <v>1218</v>
      </c>
      <c r="J80" s="128" t="s">
        <v>112</v>
      </c>
      <c r="K80" s="128" t="s">
        <v>135</v>
      </c>
      <c r="L80" s="128">
        <v>13006</v>
      </c>
      <c r="M80" s="139" t="s">
        <v>1219</v>
      </c>
      <c r="N80" s="140"/>
      <c r="O80" s="141">
        <v>0.2</v>
      </c>
      <c r="P80" s="133">
        <v>73613</v>
      </c>
      <c r="Q80" s="61">
        <v>5825.22</v>
      </c>
      <c r="R80" s="63">
        <f t="shared" si="13"/>
        <v>7.9133033567440531E-2</v>
      </c>
      <c r="S80" s="61">
        <v>9001</v>
      </c>
      <c r="T80" s="61">
        <v>0</v>
      </c>
      <c r="U80" s="63">
        <f t="shared" si="14"/>
        <v>0</v>
      </c>
      <c r="V80" s="61">
        <v>22682.68744671698</v>
      </c>
      <c r="W80" s="61">
        <v>4396.9599999999991</v>
      </c>
      <c r="X80" s="63">
        <f t="shared" si="15"/>
        <v>0.19384651886284318</v>
      </c>
      <c r="Y80" s="61">
        <v>311</v>
      </c>
      <c r="Z80" s="102">
        <v>480</v>
      </c>
      <c r="AA80" s="63">
        <f t="shared" si="16"/>
        <v>1.5434083601286173</v>
      </c>
      <c r="AB80" s="61">
        <v>18</v>
      </c>
      <c r="AC80" s="61">
        <v>1</v>
      </c>
      <c r="AD80" s="63">
        <f t="shared" si="17"/>
        <v>5.5555555555555552E-2</v>
      </c>
      <c r="AE80" s="61">
        <v>2</v>
      </c>
      <c r="AF80" s="61">
        <v>2</v>
      </c>
      <c r="AG80" s="63">
        <f t="shared" si="18"/>
        <v>1</v>
      </c>
      <c r="AH80" s="61">
        <v>100.16315039721809</v>
      </c>
      <c r="AI80" s="61">
        <v>4</v>
      </c>
      <c r="AJ80" s="63">
        <f t="shared" si="19"/>
        <v>3.9934846139894328E-2</v>
      </c>
      <c r="AK80" s="61">
        <v>3.9799545362731585</v>
      </c>
      <c r="AL80" s="61">
        <v>0</v>
      </c>
      <c r="AM80" s="63">
        <f t="shared" si="20"/>
        <v>0</v>
      </c>
      <c r="AN80" s="61">
        <v>4.3275270461614355</v>
      </c>
      <c r="AO80" s="61">
        <v>0</v>
      </c>
      <c r="AP80" s="63">
        <f t="shared" si="21"/>
        <v>0</v>
      </c>
      <c r="AQ80" s="61">
        <v>8.9610587027195496</v>
      </c>
      <c r="AR80" s="61">
        <v>1</v>
      </c>
      <c r="AS80" s="63">
        <f t="shared" si="22"/>
        <v>0.11159395705069031</v>
      </c>
      <c r="AT80" s="61">
        <v>19</v>
      </c>
      <c r="AU80" s="61">
        <v>0</v>
      </c>
      <c r="AV80" s="63">
        <f t="shared" si="23"/>
        <v>0</v>
      </c>
      <c r="AW80" s="61">
        <v>2.1544136106129965</v>
      </c>
      <c r="AX80" s="61">
        <v>0</v>
      </c>
      <c r="AY80" s="63">
        <f t="shared" si="24"/>
        <v>0</v>
      </c>
      <c r="AZ80" s="61">
        <v>6</v>
      </c>
      <c r="BA80" s="61">
        <v>1</v>
      </c>
      <c r="BB80" s="63">
        <f t="shared" si="25"/>
        <v>0.16666666666666666</v>
      </c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</row>
    <row r="81" spans="1:87" x14ac:dyDescent="0.25">
      <c r="A81" s="213">
        <v>3502</v>
      </c>
      <c r="B81" s="215">
        <v>2862</v>
      </c>
      <c r="C81" s="214">
        <v>1007585415</v>
      </c>
      <c r="D81" s="213" t="s">
        <v>648</v>
      </c>
      <c r="E81" s="213" t="s">
        <v>546</v>
      </c>
      <c r="F81" s="213" t="s">
        <v>546</v>
      </c>
      <c r="G81" s="213" t="s">
        <v>146</v>
      </c>
      <c r="H81" s="213" t="s">
        <v>147</v>
      </c>
      <c r="I81" s="213" t="s">
        <v>1218</v>
      </c>
      <c r="J81" s="213" t="s">
        <v>112</v>
      </c>
      <c r="K81" s="213" t="s">
        <v>135</v>
      </c>
      <c r="L81" s="213">
        <v>13006</v>
      </c>
      <c r="M81" s="215" t="s">
        <v>1215</v>
      </c>
      <c r="N81" s="216"/>
      <c r="O81" s="217"/>
      <c r="P81" s="218">
        <v>85236</v>
      </c>
      <c r="Q81" s="61">
        <v>3600</v>
      </c>
      <c r="R81" s="63">
        <f t="shared" si="13"/>
        <v>4.2235675066873153E-2</v>
      </c>
      <c r="S81" s="61">
        <v>10430</v>
      </c>
      <c r="T81" s="61">
        <v>2781.74</v>
      </c>
      <c r="U81" s="63">
        <f t="shared" si="14"/>
        <v>0.26670565675934799</v>
      </c>
      <c r="V81" s="61">
        <v>24445.60425259675</v>
      </c>
      <c r="W81" s="61">
        <v>1806.52</v>
      </c>
      <c r="X81" s="63">
        <f t="shared" si="15"/>
        <v>7.3899584617880792E-2</v>
      </c>
      <c r="Y81" s="61">
        <v>829</v>
      </c>
      <c r="Z81" s="102">
        <v>320</v>
      </c>
      <c r="AA81" s="63">
        <f t="shared" si="16"/>
        <v>0.38600723763570566</v>
      </c>
      <c r="AB81" s="61">
        <v>22</v>
      </c>
      <c r="AC81" s="61">
        <v>10</v>
      </c>
      <c r="AD81" s="63">
        <f t="shared" si="17"/>
        <v>0.45454545454545453</v>
      </c>
      <c r="AE81" s="61">
        <v>3</v>
      </c>
      <c r="AF81" s="61">
        <v>1</v>
      </c>
      <c r="AG81" s="63">
        <f t="shared" si="18"/>
        <v>0.33333333333333331</v>
      </c>
      <c r="AH81" s="61">
        <v>119.02925446077298</v>
      </c>
      <c r="AI81" s="61">
        <v>19</v>
      </c>
      <c r="AJ81" s="63">
        <f t="shared" si="19"/>
        <v>0.15962462409828501</v>
      </c>
      <c r="AK81" s="61">
        <v>5.5719363507824218</v>
      </c>
      <c r="AL81" s="61">
        <v>0</v>
      </c>
      <c r="AM81" s="63">
        <f t="shared" si="20"/>
        <v>0</v>
      </c>
      <c r="AN81" s="61">
        <v>5.048781553855008</v>
      </c>
      <c r="AO81" s="61">
        <v>0</v>
      </c>
      <c r="AP81" s="63">
        <f t="shared" si="21"/>
        <v>0</v>
      </c>
      <c r="AQ81" s="61">
        <v>8.0649528324475952</v>
      </c>
      <c r="AR81" s="61">
        <v>1</v>
      </c>
      <c r="AS81" s="63">
        <f t="shared" si="22"/>
        <v>0.12399328561187811</v>
      </c>
      <c r="AT81" s="61">
        <v>7</v>
      </c>
      <c r="AU81" s="61">
        <v>1</v>
      </c>
      <c r="AV81" s="63">
        <f t="shared" si="23"/>
        <v>0.14285714285714285</v>
      </c>
      <c r="AW81" s="61">
        <v>2.494581099998769</v>
      </c>
      <c r="AX81" s="61">
        <v>0</v>
      </c>
      <c r="AY81" s="63">
        <f t="shared" si="24"/>
        <v>0</v>
      </c>
      <c r="AZ81" s="61">
        <v>9</v>
      </c>
      <c r="BA81" s="61">
        <v>0</v>
      </c>
      <c r="BB81" s="63">
        <f t="shared" si="25"/>
        <v>0</v>
      </c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</row>
    <row r="82" spans="1:87" x14ac:dyDescent="0.25">
      <c r="A82" s="206">
        <v>5976</v>
      </c>
      <c r="B82" s="207">
        <v>2862</v>
      </c>
      <c r="C82" s="208">
        <v>1071607582</v>
      </c>
      <c r="D82" s="207" t="s">
        <v>646</v>
      </c>
      <c r="E82" s="207" t="s">
        <v>546</v>
      </c>
      <c r="F82" s="207" t="s">
        <v>546</v>
      </c>
      <c r="G82" s="207" t="s">
        <v>140</v>
      </c>
      <c r="H82" s="207" t="s">
        <v>141</v>
      </c>
      <c r="I82" s="207" t="s">
        <v>1218</v>
      </c>
      <c r="J82" s="207" t="s">
        <v>112</v>
      </c>
      <c r="K82" s="207" t="s">
        <v>135</v>
      </c>
      <c r="L82" s="207">
        <v>13006</v>
      </c>
      <c r="M82" s="207"/>
      <c r="N82" s="209"/>
      <c r="O82" s="210"/>
      <c r="P82" s="211">
        <v>81362</v>
      </c>
      <c r="Q82" s="61">
        <v>0</v>
      </c>
      <c r="R82" s="63">
        <f t="shared" si="13"/>
        <v>0</v>
      </c>
      <c r="S82" s="61">
        <v>12618</v>
      </c>
      <c r="T82" s="61">
        <v>0</v>
      </c>
      <c r="U82" s="63">
        <f t="shared" si="14"/>
        <v>0</v>
      </c>
      <c r="V82" s="61">
        <v>23107.058514939974</v>
      </c>
      <c r="W82" s="61">
        <v>0</v>
      </c>
      <c r="X82" s="63">
        <f t="shared" si="15"/>
        <v>0</v>
      </c>
      <c r="Y82" s="61">
        <v>726</v>
      </c>
      <c r="Z82" s="102">
        <v>0</v>
      </c>
      <c r="AA82" s="63">
        <f t="shared" si="16"/>
        <v>0</v>
      </c>
      <c r="AB82" s="61">
        <v>22</v>
      </c>
      <c r="AC82" s="61">
        <v>2</v>
      </c>
      <c r="AD82" s="63">
        <f t="shared" si="17"/>
        <v>9.0909090909090912E-2</v>
      </c>
      <c r="AE82" s="61">
        <v>3</v>
      </c>
      <c r="AF82" s="61">
        <v>1</v>
      </c>
      <c r="AG82" s="63">
        <f t="shared" si="18"/>
        <v>0.33333333333333331</v>
      </c>
      <c r="AH82" s="61">
        <v>119.02925446077298</v>
      </c>
      <c r="AI82" s="61">
        <v>0</v>
      </c>
      <c r="AJ82" s="63">
        <f t="shared" si="19"/>
        <v>0</v>
      </c>
      <c r="AK82" s="61">
        <v>5.5719363507824218</v>
      </c>
      <c r="AL82" s="61">
        <v>0</v>
      </c>
      <c r="AM82" s="63">
        <f t="shared" si="20"/>
        <v>0</v>
      </c>
      <c r="AN82" s="61">
        <v>5.048781553855008</v>
      </c>
      <c r="AO82" s="61">
        <v>0</v>
      </c>
      <c r="AP82" s="63">
        <f t="shared" si="21"/>
        <v>0</v>
      </c>
      <c r="AQ82" s="61">
        <v>8.9610587027195496</v>
      </c>
      <c r="AR82" s="61">
        <v>0</v>
      </c>
      <c r="AS82" s="63">
        <f t="shared" si="22"/>
        <v>0</v>
      </c>
      <c r="AT82" s="61">
        <v>0</v>
      </c>
      <c r="AU82" s="61">
        <v>0</v>
      </c>
      <c r="AV82" s="63" t="e">
        <f t="shared" si="23"/>
        <v>#DIV/0!</v>
      </c>
      <c r="AW82" s="61">
        <v>2.3812016924550639</v>
      </c>
      <c r="AX82" s="61">
        <v>0</v>
      </c>
      <c r="AY82" s="63">
        <f t="shared" si="24"/>
        <v>0</v>
      </c>
      <c r="AZ82" s="61">
        <v>9</v>
      </c>
      <c r="BA82" s="61">
        <v>0</v>
      </c>
      <c r="BB82" s="63">
        <f t="shared" si="25"/>
        <v>0</v>
      </c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</row>
    <row r="83" spans="1:87" x14ac:dyDescent="0.25">
      <c r="A83" s="128">
        <v>21014</v>
      </c>
      <c r="B83" s="139">
        <v>2862</v>
      </c>
      <c r="C83" s="138">
        <v>1068952017</v>
      </c>
      <c r="D83" s="128" t="s">
        <v>650</v>
      </c>
      <c r="E83" s="128" t="s">
        <v>546</v>
      </c>
      <c r="F83" s="128" t="s">
        <v>546</v>
      </c>
      <c r="G83" s="128" t="s">
        <v>148</v>
      </c>
      <c r="H83" s="128" t="s">
        <v>148</v>
      </c>
      <c r="I83" s="128" t="s">
        <v>1218</v>
      </c>
      <c r="J83" s="128" t="s">
        <v>112</v>
      </c>
      <c r="K83" s="128" t="s">
        <v>135</v>
      </c>
      <c r="L83" s="148">
        <v>13006</v>
      </c>
      <c r="M83" s="139"/>
      <c r="N83" s="140"/>
      <c r="O83" s="141"/>
      <c r="P83" s="132">
        <v>89111</v>
      </c>
      <c r="Q83" s="61">
        <v>0</v>
      </c>
      <c r="R83" s="63">
        <f t="shared" si="13"/>
        <v>0</v>
      </c>
      <c r="S83" s="61">
        <v>13172</v>
      </c>
      <c r="T83" s="61">
        <v>0</v>
      </c>
      <c r="U83" s="63">
        <f t="shared" si="14"/>
        <v>0</v>
      </c>
      <c r="V83" s="61">
        <v>25505.769466624748</v>
      </c>
      <c r="W83" s="61">
        <v>4711.3099999999995</v>
      </c>
      <c r="X83" s="63">
        <f t="shared" si="15"/>
        <v>0.18471546236489453</v>
      </c>
      <c r="Y83" s="61">
        <v>933</v>
      </c>
      <c r="Z83" s="102">
        <v>0</v>
      </c>
      <c r="AA83" s="63">
        <f t="shared" si="16"/>
        <v>0</v>
      </c>
      <c r="AB83" s="61">
        <v>22</v>
      </c>
      <c r="AC83" s="61">
        <v>0</v>
      </c>
      <c r="AD83" s="63">
        <f t="shared" si="17"/>
        <v>0</v>
      </c>
      <c r="AE83" s="61">
        <v>4</v>
      </c>
      <c r="AF83" s="61">
        <v>0</v>
      </c>
      <c r="AG83" s="63">
        <f t="shared" si="18"/>
        <v>0</v>
      </c>
      <c r="AH83" s="61">
        <v>119.02925446077298</v>
      </c>
      <c r="AI83" s="61">
        <v>3</v>
      </c>
      <c r="AJ83" s="63">
        <f t="shared" si="19"/>
        <v>2.5203888015518684E-2</v>
      </c>
      <c r="AK83" s="61">
        <v>5.5719363507824218</v>
      </c>
      <c r="AL83" s="61">
        <v>0</v>
      </c>
      <c r="AM83" s="63">
        <f t="shared" si="20"/>
        <v>0</v>
      </c>
      <c r="AN83" s="61">
        <v>5.048781553855008</v>
      </c>
      <c r="AO83" s="61">
        <v>0</v>
      </c>
      <c r="AP83" s="63">
        <f t="shared" si="21"/>
        <v>0</v>
      </c>
      <c r="AQ83" s="61">
        <v>8.0649528324475952</v>
      </c>
      <c r="AR83" s="61">
        <v>0</v>
      </c>
      <c r="AS83" s="63">
        <f t="shared" si="22"/>
        <v>0</v>
      </c>
      <c r="AT83" s="61">
        <v>7</v>
      </c>
      <c r="AU83" s="61">
        <v>2</v>
      </c>
      <c r="AV83" s="63">
        <f t="shared" si="23"/>
        <v>0.2857142857142857</v>
      </c>
      <c r="AW83" s="61">
        <v>2.6079897742971316</v>
      </c>
      <c r="AX83" s="61">
        <v>0</v>
      </c>
      <c r="AY83" s="63">
        <f t="shared" si="24"/>
        <v>0</v>
      </c>
      <c r="AZ83" s="61">
        <v>9</v>
      </c>
      <c r="BA83" s="61">
        <v>0</v>
      </c>
      <c r="BB83" s="63">
        <f t="shared" si="25"/>
        <v>0</v>
      </c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</row>
    <row r="84" spans="1:87" x14ac:dyDescent="0.25">
      <c r="A84" s="128">
        <v>21662</v>
      </c>
      <c r="B84" s="128">
        <v>2862</v>
      </c>
      <c r="C84" s="129">
        <v>1060270921</v>
      </c>
      <c r="D84" s="128" t="s">
        <v>639</v>
      </c>
      <c r="E84" s="128" t="s">
        <v>546</v>
      </c>
      <c r="F84" s="128" t="s">
        <v>546</v>
      </c>
      <c r="G84" s="128" t="s">
        <v>176</v>
      </c>
      <c r="H84" s="128" t="s">
        <v>176</v>
      </c>
      <c r="I84" s="128" t="s">
        <v>1218</v>
      </c>
      <c r="J84" s="128" t="s">
        <v>112</v>
      </c>
      <c r="K84" s="128" t="s">
        <v>135</v>
      </c>
      <c r="L84" s="128">
        <v>13006</v>
      </c>
      <c r="M84" s="128" t="s">
        <v>1149</v>
      </c>
      <c r="N84" s="130"/>
      <c r="O84" s="131">
        <v>0.5</v>
      </c>
      <c r="P84" s="132">
        <v>58116</v>
      </c>
      <c r="Q84" s="61">
        <v>0</v>
      </c>
      <c r="R84" s="63">
        <f t="shared" si="13"/>
        <v>0</v>
      </c>
      <c r="S84" s="61">
        <v>5103</v>
      </c>
      <c r="T84" s="61">
        <v>0</v>
      </c>
      <c r="U84" s="63">
        <f t="shared" si="14"/>
        <v>0</v>
      </c>
      <c r="V84" s="61">
        <v>12436.438449287858</v>
      </c>
      <c r="W84" s="61">
        <v>0</v>
      </c>
      <c r="X84" s="63">
        <f t="shared" si="15"/>
        <v>0</v>
      </c>
      <c r="Y84" s="61">
        <v>4768</v>
      </c>
      <c r="Z84" s="102">
        <v>120</v>
      </c>
      <c r="AA84" s="63">
        <f t="shared" si="16"/>
        <v>2.5167785234899327E-2</v>
      </c>
      <c r="AB84" s="61">
        <v>12</v>
      </c>
      <c r="AC84" s="61">
        <v>1</v>
      </c>
      <c r="AD84" s="63">
        <f t="shared" si="17"/>
        <v>8.3333333333333329E-2</v>
      </c>
      <c r="AE84" s="61">
        <v>2</v>
      </c>
      <c r="AF84" s="61">
        <v>0</v>
      </c>
      <c r="AG84" s="63">
        <f t="shared" si="18"/>
        <v>0</v>
      </c>
      <c r="AH84" s="61">
        <v>64.531364222442122</v>
      </c>
      <c r="AI84" s="61">
        <v>0</v>
      </c>
      <c r="AJ84" s="63">
        <f t="shared" si="19"/>
        <v>0</v>
      </c>
      <c r="AK84" s="61">
        <v>1.5919818145092635</v>
      </c>
      <c r="AL84" s="61">
        <v>0</v>
      </c>
      <c r="AM84" s="63">
        <f t="shared" si="20"/>
        <v>0</v>
      </c>
      <c r="AN84" s="61">
        <v>1.4425090153871452</v>
      </c>
      <c r="AO84" s="61">
        <v>0</v>
      </c>
      <c r="AP84" s="63">
        <f t="shared" si="21"/>
        <v>0</v>
      </c>
      <c r="AQ84" s="61">
        <v>8.9610587027195496</v>
      </c>
      <c r="AR84" s="61">
        <v>0</v>
      </c>
      <c r="AS84" s="63">
        <f t="shared" si="22"/>
        <v>0</v>
      </c>
      <c r="AT84" s="61">
        <v>0</v>
      </c>
      <c r="AU84" s="61">
        <v>0</v>
      </c>
      <c r="AV84" s="63" t="e">
        <f t="shared" si="23"/>
        <v>#DIV/0!</v>
      </c>
      <c r="AW84" s="61">
        <v>1.7008667136835194</v>
      </c>
      <c r="AX84" s="61">
        <v>0</v>
      </c>
      <c r="AY84" s="63">
        <f t="shared" si="24"/>
        <v>0</v>
      </c>
      <c r="AZ84" s="61">
        <v>5</v>
      </c>
      <c r="BA84" s="61">
        <v>0</v>
      </c>
      <c r="BB84" s="63">
        <f t="shared" si="25"/>
        <v>0</v>
      </c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</row>
    <row r="85" spans="1:87" x14ac:dyDescent="0.25">
      <c r="A85" s="128">
        <v>10652</v>
      </c>
      <c r="B85" s="139">
        <v>21708</v>
      </c>
      <c r="C85" s="128">
        <v>1073487306</v>
      </c>
      <c r="D85" s="128" t="s">
        <v>649</v>
      </c>
      <c r="E85" s="128" t="s">
        <v>544</v>
      </c>
      <c r="F85" s="128" t="s">
        <v>544</v>
      </c>
      <c r="G85" s="128" t="s">
        <v>115</v>
      </c>
      <c r="H85" s="128" t="s">
        <v>116</v>
      </c>
      <c r="I85" s="128" t="s">
        <v>1218</v>
      </c>
      <c r="J85" s="128" t="s">
        <v>112</v>
      </c>
      <c r="K85" s="128" t="s">
        <v>135</v>
      </c>
      <c r="L85" s="148">
        <v>13006</v>
      </c>
      <c r="M85" s="128"/>
      <c r="N85" s="130"/>
      <c r="O85" s="131"/>
      <c r="P85" s="132">
        <v>312989</v>
      </c>
      <c r="Q85" s="61">
        <v>0</v>
      </c>
      <c r="R85" s="63">
        <f t="shared" si="13"/>
        <v>0</v>
      </c>
      <c r="S85" s="61">
        <v>42968</v>
      </c>
      <c r="T85" s="61">
        <v>0</v>
      </c>
      <c r="U85" s="63">
        <f t="shared" si="14"/>
        <v>0</v>
      </c>
      <c r="V85" s="61">
        <v>80439.734417980348</v>
      </c>
      <c r="W85" s="61">
        <v>0</v>
      </c>
      <c r="X85" s="63">
        <f t="shared" si="15"/>
        <v>0</v>
      </c>
      <c r="Y85" s="61">
        <v>2798</v>
      </c>
      <c r="Z85" s="102">
        <v>0</v>
      </c>
      <c r="AA85" s="63">
        <f t="shared" si="16"/>
        <v>0</v>
      </c>
      <c r="AB85" s="61">
        <v>69</v>
      </c>
      <c r="AC85" s="61">
        <v>0</v>
      </c>
      <c r="AD85" s="63">
        <f t="shared" si="17"/>
        <v>0</v>
      </c>
      <c r="AE85" s="61">
        <v>11</v>
      </c>
      <c r="AF85" s="61">
        <v>0</v>
      </c>
      <c r="AG85" s="63">
        <f t="shared" si="18"/>
        <v>0</v>
      </c>
      <c r="AH85" s="61">
        <v>372.98734142998512</v>
      </c>
      <c r="AI85" s="61">
        <v>0</v>
      </c>
      <c r="AJ85" s="63">
        <f t="shared" si="19"/>
        <v>0</v>
      </c>
      <c r="AK85" s="61">
        <v>15.919818145092634</v>
      </c>
      <c r="AL85" s="61">
        <v>0</v>
      </c>
      <c r="AM85" s="63">
        <f t="shared" si="20"/>
        <v>0</v>
      </c>
      <c r="AN85" s="61">
        <v>14.425090153871452</v>
      </c>
      <c r="AO85" s="61">
        <v>0</v>
      </c>
      <c r="AP85" s="63">
        <f t="shared" si="21"/>
        <v>0</v>
      </c>
      <c r="AQ85" s="61">
        <v>21.506540886526921</v>
      </c>
      <c r="AR85" s="61">
        <v>0</v>
      </c>
      <c r="AS85" s="63">
        <f t="shared" si="22"/>
        <v>0</v>
      </c>
      <c r="AT85" s="61">
        <v>14</v>
      </c>
      <c r="AU85" s="61">
        <v>0</v>
      </c>
      <c r="AV85" s="63">
        <f t="shared" si="23"/>
        <v>0</v>
      </c>
      <c r="AW85" s="61">
        <v>9.1601722735406952</v>
      </c>
      <c r="AX85" s="61">
        <v>0</v>
      </c>
      <c r="AY85" s="63">
        <f t="shared" si="24"/>
        <v>0</v>
      </c>
      <c r="AZ85" s="61">
        <v>27</v>
      </c>
      <c r="BA85" s="61">
        <v>0</v>
      </c>
      <c r="BB85" s="63">
        <f t="shared" si="25"/>
        <v>0</v>
      </c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</row>
    <row r="86" spans="1:87" x14ac:dyDescent="0.25">
      <c r="A86" s="128">
        <v>8914</v>
      </c>
      <c r="B86" s="128">
        <v>10652</v>
      </c>
      <c r="C86" s="129">
        <v>1061804017</v>
      </c>
      <c r="D86" s="128" t="s">
        <v>647</v>
      </c>
      <c r="E86" s="128" t="s">
        <v>546</v>
      </c>
      <c r="F86" s="128" t="s">
        <v>546</v>
      </c>
      <c r="G86" s="128" t="s">
        <v>379</v>
      </c>
      <c r="H86" s="128" t="s">
        <v>380</v>
      </c>
      <c r="I86" s="128" t="s">
        <v>1218</v>
      </c>
      <c r="J86" s="128" t="s">
        <v>112</v>
      </c>
      <c r="K86" s="128" t="s">
        <v>135</v>
      </c>
      <c r="L86" s="128">
        <v>13006</v>
      </c>
      <c r="M86" s="128" t="s">
        <v>1146</v>
      </c>
      <c r="N86" s="130">
        <v>5</v>
      </c>
      <c r="O86" s="131">
        <v>0.1</v>
      </c>
      <c r="P86" s="143">
        <v>75118</v>
      </c>
      <c r="Q86" s="61">
        <v>3600</v>
      </c>
      <c r="R86" s="63">
        <f t="shared" si="13"/>
        <v>4.7924598631486459E-2</v>
      </c>
      <c r="S86" s="61">
        <v>11722</v>
      </c>
      <c r="T86" s="61">
        <v>0</v>
      </c>
      <c r="U86" s="63">
        <f t="shared" si="14"/>
        <v>0</v>
      </c>
      <c r="V86" s="61">
        <v>20953.790918329789</v>
      </c>
      <c r="W86" s="61">
        <v>2961.73</v>
      </c>
      <c r="X86" s="63">
        <f t="shared" si="15"/>
        <v>0.14134578375549037</v>
      </c>
      <c r="Y86" s="61">
        <v>933</v>
      </c>
      <c r="Z86" s="102">
        <v>0</v>
      </c>
      <c r="AA86" s="63">
        <f t="shared" si="16"/>
        <v>0</v>
      </c>
      <c r="AB86" s="61">
        <v>18</v>
      </c>
      <c r="AC86" s="61">
        <v>2</v>
      </c>
      <c r="AD86" s="63">
        <f t="shared" si="17"/>
        <v>0.1111111111111111</v>
      </c>
      <c r="AE86" s="61">
        <v>3</v>
      </c>
      <c r="AF86" s="61">
        <v>2</v>
      </c>
      <c r="AG86" s="63">
        <f t="shared" si="18"/>
        <v>0.66666666666666663</v>
      </c>
      <c r="AH86" s="61">
        <v>98.196624381329357</v>
      </c>
      <c r="AI86" s="61">
        <v>23</v>
      </c>
      <c r="AJ86" s="63">
        <f t="shared" si="19"/>
        <v>0.23422393737979766</v>
      </c>
      <c r="AK86" s="61">
        <v>3.9799545362731585</v>
      </c>
      <c r="AL86" s="61">
        <v>0</v>
      </c>
      <c r="AM86" s="63">
        <f t="shared" si="20"/>
        <v>0</v>
      </c>
      <c r="AN86" s="61">
        <v>3.6062725384678629</v>
      </c>
      <c r="AO86" s="61">
        <v>2</v>
      </c>
      <c r="AP86" s="63">
        <f t="shared" si="21"/>
        <v>0.5545892548791409</v>
      </c>
      <c r="AQ86" s="61">
        <v>3.5844234810878199</v>
      </c>
      <c r="AR86" s="61">
        <v>2</v>
      </c>
      <c r="AS86" s="63">
        <f t="shared" si="22"/>
        <v>0.55796978525345153</v>
      </c>
      <c r="AT86" s="61">
        <v>7</v>
      </c>
      <c r="AU86" s="61">
        <v>0</v>
      </c>
      <c r="AV86" s="63">
        <f t="shared" si="23"/>
        <v>0</v>
      </c>
      <c r="AW86" s="61">
        <v>2.198460076372748</v>
      </c>
      <c r="AX86" s="61">
        <v>0</v>
      </c>
      <c r="AY86" s="63">
        <f t="shared" si="24"/>
        <v>0</v>
      </c>
      <c r="AZ86" s="61">
        <v>7</v>
      </c>
      <c r="BA86" s="61">
        <v>0</v>
      </c>
      <c r="BB86" s="63">
        <f t="shared" si="25"/>
        <v>0</v>
      </c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</row>
    <row r="87" spans="1:87" x14ac:dyDescent="0.25">
      <c r="A87" s="206">
        <v>11985</v>
      </c>
      <c r="B87" s="207">
        <v>10652</v>
      </c>
      <c r="C87" s="219">
        <v>1079041156</v>
      </c>
      <c r="D87" s="207" t="s">
        <v>661</v>
      </c>
      <c r="E87" s="207" t="s">
        <v>546</v>
      </c>
      <c r="F87" s="207" t="s">
        <v>546</v>
      </c>
      <c r="G87" s="207" t="s">
        <v>1136</v>
      </c>
      <c r="H87" s="207" t="s">
        <v>1136</v>
      </c>
      <c r="I87" s="207" t="s">
        <v>1218</v>
      </c>
      <c r="J87" s="207" t="s">
        <v>112</v>
      </c>
      <c r="K87" s="207" t="s">
        <v>135</v>
      </c>
      <c r="L87" s="207">
        <v>13006</v>
      </c>
      <c r="M87" s="220"/>
      <c r="N87" s="221"/>
      <c r="O87" s="226"/>
      <c r="P87" s="212">
        <v>84507</v>
      </c>
      <c r="Q87" s="61">
        <v>30863.489999999998</v>
      </c>
      <c r="R87" s="63">
        <f t="shared" si="13"/>
        <v>0.36521814760907378</v>
      </c>
      <c r="S87" s="61">
        <v>7660</v>
      </c>
      <c r="T87" s="61">
        <v>781.74</v>
      </c>
      <c r="U87" s="63">
        <f t="shared" si="14"/>
        <v>0.10205483028720627</v>
      </c>
      <c r="V87" s="61">
        <v>19954.295507843381</v>
      </c>
      <c r="W87" s="61">
        <v>6326.1399999999994</v>
      </c>
      <c r="X87" s="63">
        <f t="shared" si="15"/>
        <v>0.31703148815819637</v>
      </c>
      <c r="Y87" s="61">
        <v>726</v>
      </c>
      <c r="Z87" s="102">
        <v>410</v>
      </c>
      <c r="AA87" s="63">
        <f t="shared" si="16"/>
        <v>0.56473829201101933</v>
      </c>
      <c r="AB87" s="61">
        <v>20</v>
      </c>
      <c r="AC87" s="61">
        <v>19</v>
      </c>
      <c r="AD87" s="63">
        <f t="shared" si="17"/>
        <v>0.95</v>
      </c>
      <c r="AE87" s="61">
        <v>3</v>
      </c>
      <c r="AF87" s="61">
        <v>0</v>
      </c>
      <c r="AG87" s="63">
        <f t="shared" si="18"/>
        <v>0</v>
      </c>
      <c r="AH87" s="61">
        <v>108.12967641310681</v>
      </c>
      <c r="AI87" s="61">
        <v>21</v>
      </c>
      <c r="AJ87" s="63">
        <f t="shared" si="19"/>
        <v>0.19421125353015956</v>
      </c>
      <c r="AK87" s="61">
        <v>4.7759454435277906</v>
      </c>
      <c r="AL87" s="61">
        <v>0</v>
      </c>
      <c r="AM87" s="63">
        <f t="shared" si="20"/>
        <v>0</v>
      </c>
      <c r="AN87" s="61">
        <v>4.3275270461614355</v>
      </c>
      <c r="AO87" s="61">
        <v>2</v>
      </c>
      <c r="AP87" s="63">
        <f t="shared" si="21"/>
        <v>0.46215771239928405</v>
      </c>
      <c r="AQ87" s="61">
        <v>3.5844234810878199</v>
      </c>
      <c r="AR87" s="61">
        <v>2</v>
      </c>
      <c r="AS87" s="63">
        <f t="shared" si="22"/>
        <v>0.55796978525345153</v>
      </c>
      <c r="AT87" s="61">
        <v>7</v>
      </c>
      <c r="AU87" s="61">
        <v>2</v>
      </c>
      <c r="AV87" s="63">
        <f t="shared" si="23"/>
        <v>0.2857142857142857</v>
      </c>
      <c r="AW87" s="61">
        <v>2.4732456358533481</v>
      </c>
      <c r="AX87" s="61">
        <v>0</v>
      </c>
      <c r="AY87" s="63">
        <f t="shared" si="24"/>
        <v>0</v>
      </c>
      <c r="AZ87" s="61">
        <v>8</v>
      </c>
      <c r="BA87" s="61">
        <v>1</v>
      </c>
      <c r="BB87" s="63">
        <f t="shared" si="25"/>
        <v>0.125</v>
      </c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</row>
    <row r="88" spans="1:87" x14ac:dyDescent="0.25">
      <c r="A88" s="128">
        <v>6112</v>
      </c>
      <c r="B88" s="145">
        <v>10652</v>
      </c>
      <c r="C88" s="144">
        <v>1055550261</v>
      </c>
      <c r="D88" s="128" t="s">
        <v>651</v>
      </c>
      <c r="E88" s="128" t="s">
        <v>546</v>
      </c>
      <c r="F88" s="128" t="s">
        <v>546</v>
      </c>
      <c r="G88" s="128" t="s">
        <v>149</v>
      </c>
      <c r="H88" s="128" t="s">
        <v>149</v>
      </c>
      <c r="I88" s="128" t="s">
        <v>1218</v>
      </c>
      <c r="J88" s="128" t="s">
        <v>112</v>
      </c>
      <c r="K88" s="128" t="s">
        <v>135</v>
      </c>
      <c r="L88" s="148">
        <v>13006</v>
      </c>
      <c r="M88" s="145" t="s">
        <v>1215</v>
      </c>
      <c r="N88" s="146"/>
      <c r="O88" s="147"/>
      <c r="P88" s="132">
        <v>81377</v>
      </c>
      <c r="Q88" s="61">
        <v>0</v>
      </c>
      <c r="R88" s="63">
        <f t="shared" si="13"/>
        <v>0</v>
      </c>
      <c r="S88" s="61">
        <v>12574</v>
      </c>
      <c r="T88" s="61">
        <v>0</v>
      </c>
      <c r="U88" s="63">
        <f t="shared" si="14"/>
        <v>0</v>
      </c>
      <c r="V88" s="61">
        <v>22764.556003124693</v>
      </c>
      <c r="W88" s="61">
        <v>0</v>
      </c>
      <c r="X88" s="63">
        <f t="shared" si="15"/>
        <v>0</v>
      </c>
      <c r="Y88" s="61">
        <v>622</v>
      </c>
      <c r="Z88" s="102">
        <v>0</v>
      </c>
      <c r="AA88" s="63">
        <f t="shared" si="16"/>
        <v>0</v>
      </c>
      <c r="AB88" s="61">
        <v>20</v>
      </c>
      <c r="AC88" s="61">
        <v>7</v>
      </c>
      <c r="AD88" s="63">
        <f t="shared" si="17"/>
        <v>0.35</v>
      </c>
      <c r="AE88" s="61">
        <v>3</v>
      </c>
      <c r="AF88" s="61">
        <v>1</v>
      </c>
      <c r="AG88" s="63">
        <f t="shared" si="18"/>
        <v>0.33333333333333331</v>
      </c>
      <c r="AH88" s="61">
        <v>108.12967641310681</v>
      </c>
      <c r="AI88" s="61">
        <v>0</v>
      </c>
      <c r="AJ88" s="63">
        <f t="shared" si="19"/>
        <v>0</v>
      </c>
      <c r="AK88" s="61">
        <v>4.7759454435277906</v>
      </c>
      <c r="AL88" s="61">
        <v>0</v>
      </c>
      <c r="AM88" s="63">
        <f t="shared" si="20"/>
        <v>0</v>
      </c>
      <c r="AN88" s="61">
        <v>4.3275270461614355</v>
      </c>
      <c r="AO88" s="61">
        <v>0</v>
      </c>
      <c r="AP88" s="63">
        <f t="shared" si="21"/>
        <v>0</v>
      </c>
      <c r="AQ88" s="61">
        <v>7.1688469621756399</v>
      </c>
      <c r="AR88" s="61">
        <v>0</v>
      </c>
      <c r="AS88" s="63">
        <f t="shared" si="22"/>
        <v>0</v>
      </c>
      <c r="AT88" s="61">
        <v>0</v>
      </c>
      <c r="AU88" s="61">
        <v>0</v>
      </c>
      <c r="AV88" s="63" t="e">
        <f t="shared" si="23"/>
        <v>#DIV/0!</v>
      </c>
      <c r="AW88" s="61">
        <v>2.3816406937749286</v>
      </c>
      <c r="AX88" s="61">
        <v>0</v>
      </c>
      <c r="AY88" s="63">
        <f t="shared" si="24"/>
        <v>0</v>
      </c>
      <c r="AZ88" s="61">
        <v>8</v>
      </c>
      <c r="BA88" s="61">
        <v>0</v>
      </c>
      <c r="BB88" s="63">
        <f t="shared" si="25"/>
        <v>0</v>
      </c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</row>
    <row r="89" spans="1:87" x14ac:dyDescent="0.25">
      <c r="A89" s="128">
        <v>4864</v>
      </c>
      <c r="B89" s="145">
        <v>10652</v>
      </c>
      <c r="C89" s="144">
        <v>1047589641</v>
      </c>
      <c r="D89" s="128" t="s">
        <v>636</v>
      </c>
      <c r="E89" s="128" t="s">
        <v>546</v>
      </c>
      <c r="F89" s="128" t="s">
        <v>546</v>
      </c>
      <c r="G89" s="128" t="s">
        <v>377</v>
      </c>
      <c r="H89" s="128" t="s">
        <v>378</v>
      </c>
      <c r="I89" s="128" t="s">
        <v>1218</v>
      </c>
      <c r="J89" s="128" t="s">
        <v>112</v>
      </c>
      <c r="K89" s="128" t="s">
        <v>135</v>
      </c>
      <c r="L89" s="148">
        <v>13006</v>
      </c>
      <c r="M89" s="145" t="s">
        <v>1148</v>
      </c>
      <c r="N89" s="146"/>
      <c r="O89" s="131">
        <v>0.5</v>
      </c>
      <c r="P89" s="132">
        <v>71987</v>
      </c>
      <c r="Q89" s="61">
        <v>0</v>
      </c>
      <c r="R89" s="63">
        <f t="shared" si="13"/>
        <v>0</v>
      </c>
      <c r="S89" s="61">
        <v>11012</v>
      </c>
      <c r="T89" s="61">
        <v>0</v>
      </c>
      <c r="U89" s="63">
        <f t="shared" si="14"/>
        <v>0</v>
      </c>
      <c r="V89" s="61">
        <v>16767.091988682481</v>
      </c>
      <c r="W89" s="61">
        <v>0</v>
      </c>
      <c r="X89" s="63">
        <f t="shared" si="15"/>
        <v>0</v>
      </c>
      <c r="Y89" s="61">
        <v>517</v>
      </c>
      <c r="Z89" s="102">
        <v>0</v>
      </c>
      <c r="AA89" s="63">
        <f t="shared" si="16"/>
        <v>0</v>
      </c>
      <c r="AB89" s="61">
        <v>11</v>
      </c>
      <c r="AC89" s="61">
        <v>3</v>
      </c>
      <c r="AD89" s="63">
        <f t="shared" si="17"/>
        <v>0.27272727272727271</v>
      </c>
      <c r="AE89" s="61">
        <v>2</v>
      </c>
      <c r="AF89" s="61">
        <v>1</v>
      </c>
      <c r="AG89" s="63">
        <f t="shared" si="18"/>
        <v>0.5</v>
      </c>
      <c r="AH89" s="61">
        <v>58.531364222442129</v>
      </c>
      <c r="AI89" s="61">
        <v>0</v>
      </c>
      <c r="AJ89" s="63">
        <f t="shared" si="19"/>
        <v>0</v>
      </c>
      <c r="AK89" s="61">
        <v>2.3879727217638953</v>
      </c>
      <c r="AL89" s="61">
        <v>0</v>
      </c>
      <c r="AM89" s="63">
        <f t="shared" si="20"/>
        <v>0</v>
      </c>
      <c r="AN89" s="61">
        <v>2.1637635230807177</v>
      </c>
      <c r="AO89" s="61">
        <v>0</v>
      </c>
      <c r="AP89" s="63">
        <f t="shared" si="21"/>
        <v>0</v>
      </c>
      <c r="AQ89" s="61">
        <v>7.1688469621756399</v>
      </c>
      <c r="AR89" s="61">
        <v>0</v>
      </c>
      <c r="AS89" s="63">
        <f t="shared" si="22"/>
        <v>0</v>
      </c>
      <c r="AT89" s="61">
        <v>0</v>
      </c>
      <c r="AU89" s="61">
        <v>0</v>
      </c>
      <c r="AV89" s="63" t="e">
        <f t="shared" si="23"/>
        <v>#DIV/0!</v>
      </c>
      <c r="AW89" s="61">
        <v>2.1068258675396709</v>
      </c>
      <c r="AX89" s="61">
        <v>0</v>
      </c>
      <c r="AY89" s="63">
        <f t="shared" si="24"/>
        <v>0</v>
      </c>
      <c r="AZ89" s="61">
        <v>4</v>
      </c>
      <c r="BA89" s="61">
        <v>0</v>
      </c>
      <c r="BB89" s="63">
        <f t="shared" si="25"/>
        <v>0</v>
      </c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</row>
    <row r="90" spans="1:87" x14ac:dyDescent="0.25">
      <c r="A90" s="128">
        <v>4467</v>
      </c>
      <c r="B90" s="128">
        <v>19282</v>
      </c>
      <c r="C90" s="129">
        <v>1036828943</v>
      </c>
      <c r="D90" s="128" t="s">
        <v>653</v>
      </c>
      <c r="E90" s="128" t="s">
        <v>541</v>
      </c>
      <c r="F90" s="128" t="s">
        <v>541</v>
      </c>
      <c r="G90" s="128" t="s">
        <v>150</v>
      </c>
      <c r="H90" s="128" t="s">
        <v>151</v>
      </c>
      <c r="I90" s="128" t="s">
        <v>1218</v>
      </c>
      <c r="J90" s="128" t="s">
        <v>112</v>
      </c>
      <c r="K90" s="128" t="s">
        <v>152</v>
      </c>
      <c r="L90" s="128">
        <v>33026</v>
      </c>
      <c r="M90" s="128"/>
      <c r="N90" s="130"/>
      <c r="O90" s="131"/>
      <c r="P90" s="132">
        <v>486702</v>
      </c>
      <c r="Q90" s="61">
        <v>0</v>
      </c>
      <c r="R90" s="63">
        <f t="shared" si="13"/>
        <v>0</v>
      </c>
      <c r="S90" s="61">
        <v>64780</v>
      </c>
      <c r="T90" s="61">
        <v>0</v>
      </c>
      <c r="U90" s="63">
        <f t="shared" si="14"/>
        <v>0</v>
      </c>
      <c r="V90" s="61">
        <v>130965.82312642397</v>
      </c>
      <c r="W90" s="61">
        <v>0</v>
      </c>
      <c r="X90" s="63">
        <f t="shared" si="15"/>
        <v>0</v>
      </c>
      <c r="Y90" s="61">
        <v>7712</v>
      </c>
      <c r="Z90" s="102">
        <v>0</v>
      </c>
      <c r="AA90" s="63">
        <f t="shared" si="16"/>
        <v>0</v>
      </c>
      <c r="AB90" s="61">
        <v>112</v>
      </c>
      <c r="AC90" s="61">
        <v>0</v>
      </c>
      <c r="AD90" s="63">
        <f t="shared" si="17"/>
        <v>0</v>
      </c>
      <c r="AE90" s="61">
        <v>16</v>
      </c>
      <c r="AF90" s="61">
        <v>0</v>
      </c>
      <c r="AG90" s="63">
        <f t="shared" si="18"/>
        <v>0</v>
      </c>
      <c r="AH90" s="61">
        <v>624.91195441508592</v>
      </c>
      <c r="AI90" s="61">
        <v>0</v>
      </c>
      <c r="AJ90" s="63">
        <f t="shared" si="19"/>
        <v>0</v>
      </c>
      <c r="AK90" s="61">
        <v>27.063690846657479</v>
      </c>
      <c r="AL90" s="61">
        <v>0</v>
      </c>
      <c r="AM90" s="63">
        <f t="shared" si="20"/>
        <v>0</v>
      </c>
      <c r="AN90" s="61">
        <v>24.522653261581468</v>
      </c>
      <c r="AO90" s="61">
        <v>0</v>
      </c>
      <c r="AP90" s="63">
        <f t="shared" si="21"/>
        <v>0</v>
      </c>
      <c r="AQ90" s="61">
        <v>44.805293513597746</v>
      </c>
      <c r="AR90" s="61">
        <v>0</v>
      </c>
      <c r="AS90" s="63">
        <f t="shared" si="22"/>
        <v>0</v>
      </c>
      <c r="AT90" s="61">
        <v>35</v>
      </c>
      <c r="AU90" s="61">
        <v>0</v>
      </c>
      <c r="AV90" s="63">
        <f t="shared" si="23"/>
        <v>0</v>
      </c>
      <c r="AW90" s="61">
        <v>14.24418802538365</v>
      </c>
      <c r="AX90" s="61">
        <v>0</v>
      </c>
      <c r="AY90" s="63">
        <f t="shared" si="24"/>
        <v>0</v>
      </c>
      <c r="AZ90" s="61">
        <v>44</v>
      </c>
      <c r="BA90" s="61">
        <v>0</v>
      </c>
      <c r="BB90" s="63">
        <f t="shared" si="25"/>
        <v>0</v>
      </c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</row>
    <row r="91" spans="1:87" x14ac:dyDescent="0.25">
      <c r="A91" s="128">
        <v>5980</v>
      </c>
      <c r="B91" s="139">
        <v>4467</v>
      </c>
      <c r="C91" s="138">
        <v>1047496268</v>
      </c>
      <c r="D91" s="128" t="s">
        <v>654</v>
      </c>
      <c r="E91" s="128" t="s">
        <v>544</v>
      </c>
      <c r="F91" s="128" t="s">
        <v>544</v>
      </c>
      <c r="G91" s="128" t="s">
        <v>153</v>
      </c>
      <c r="H91" s="128" t="s">
        <v>154</v>
      </c>
      <c r="I91" s="128" t="s">
        <v>1218</v>
      </c>
      <c r="J91" s="128" t="s">
        <v>112</v>
      </c>
      <c r="K91" s="128" t="s">
        <v>152</v>
      </c>
      <c r="L91" s="148">
        <v>33026</v>
      </c>
      <c r="M91" s="139"/>
      <c r="N91" s="140"/>
      <c r="O91" s="141"/>
      <c r="P91" s="132">
        <v>252529</v>
      </c>
      <c r="Q91" s="61">
        <v>0</v>
      </c>
      <c r="R91" s="63">
        <f t="shared" si="13"/>
        <v>0</v>
      </c>
      <c r="S91" s="61">
        <v>29024</v>
      </c>
      <c r="T91" s="61">
        <v>0</v>
      </c>
      <c r="U91" s="63">
        <f t="shared" si="14"/>
        <v>0</v>
      </c>
      <c r="V91" s="61">
        <v>58621.096250063172</v>
      </c>
      <c r="W91" s="61">
        <v>0</v>
      </c>
      <c r="X91" s="63">
        <f t="shared" si="15"/>
        <v>0</v>
      </c>
      <c r="Y91" s="61">
        <v>2931</v>
      </c>
      <c r="Z91" s="102">
        <v>0</v>
      </c>
      <c r="AA91" s="63">
        <f t="shared" si="16"/>
        <v>0</v>
      </c>
      <c r="AB91" s="61">
        <v>52</v>
      </c>
      <c r="AC91" s="61">
        <v>1</v>
      </c>
      <c r="AD91" s="63">
        <f t="shared" si="17"/>
        <v>1.9230769230769232E-2</v>
      </c>
      <c r="AE91" s="61">
        <v>7</v>
      </c>
      <c r="AF91" s="61">
        <v>0</v>
      </c>
      <c r="AG91" s="63">
        <f t="shared" si="18"/>
        <v>0</v>
      </c>
      <c r="AH91" s="61">
        <v>291.62334712809934</v>
      </c>
      <c r="AI91" s="61">
        <v>0</v>
      </c>
      <c r="AJ91" s="63">
        <f t="shared" si="19"/>
        <v>0</v>
      </c>
      <c r="AK91" s="61">
        <v>12.735854516074108</v>
      </c>
      <c r="AL91" s="61">
        <v>0</v>
      </c>
      <c r="AM91" s="63">
        <f t="shared" si="20"/>
        <v>0</v>
      </c>
      <c r="AN91" s="61">
        <v>11.540072123097161</v>
      </c>
      <c r="AO91" s="61">
        <v>2</v>
      </c>
      <c r="AP91" s="63">
        <f t="shared" si="21"/>
        <v>0.17330914214973153</v>
      </c>
      <c r="AQ91" s="61">
        <v>26.883176108158651</v>
      </c>
      <c r="AR91" s="61">
        <v>0</v>
      </c>
      <c r="AS91" s="63">
        <f t="shared" si="22"/>
        <v>0</v>
      </c>
      <c r="AT91" s="61">
        <v>25</v>
      </c>
      <c r="AU91" s="61">
        <v>0</v>
      </c>
      <c r="AV91" s="63">
        <f t="shared" si="23"/>
        <v>0</v>
      </c>
      <c r="AW91" s="61">
        <v>7.3907042869396635</v>
      </c>
      <c r="AX91" s="61">
        <v>0</v>
      </c>
      <c r="AY91" s="63">
        <f t="shared" si="24"/>
        <v>0</v>
      </c>
      <c r="AZ91" s="61">
        <v>20</v>
      </c>
      <c r="BA91" s="61">
        <v>0</v>
      </c>
      <c r="BB91" s="63">
        <f t="shared" si="25"/>
        <v>0</v>
      </c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</row>
    <row r="92" spans="1:87" x14ac:dyDescent="0.25">
      <c r="A92" s="213">
        <v>9858</v>
      </c>
      <c r="B92" s="213">
        <v>5980</v>
      </c>
      <c r="C92" s="213">
        <v>1067759249</v>
      </c>
      <c r="D92" s="213" t="s">
        <v>656</v>
      </c>
      <c r="E92" s="213" t="s">
        <v>546</v>
      </c>
      <c r="F92" s="213" t="s">
        <v>546</v>
      </c>
      <c r="G92" s="213" t="s">
        <v>157</v>
      </c>
      <c r="H92" s="213" t="s">
        <v>157</v>
      </c>
      <c r="I92" s="213" t="s">
        <v>1218</v>
      </c>
      <c r="J92" s="213" t="s">
        <v>112</v>
      </c>
      <c r="K92" s="213" t="s">
        <v>152</v>
      </c>
      <c r="L92" s="227">
        <v>33026</v>
      </c>
      <c r="M92" s="213" t="s">
        <v>1219</v>
      </c>
      <c r="N92" s="224"/>
      <c r="O92" s="225">
        <v>0.2</v>
      </c>
      <c r="P92" s="228">
        <v>69449</v>
      </c>
      <c r="Q92" s="61">
        <v>65544.41</v>
      </c>
      <c r="R92" s="63">
        <f t="shared" si="13"/>
        <v>0.94377759218995239</v>
      </c>
      <c r="S92" s="61">
        <v>9544</v>
      </c>
      <c r="T92" s="61">
        <v>0</v>
      </c>
      <c r="U92" s="63">
        <f t="shared" si="14"/>
        <v>0</v>
      </c>
      <c r="V92" s="61">
        <v>18564.868985882047</v>
      </c>
      <c r="W92" s="61">
        <v>5996.06</v>
      </c>
      <c r="X92" s="63">
        <f t="shared" si="15"/>
        <v>0.32297884808989497</v>
      </c>
      <c r="Y92" s="61">
        <v>1003</v>
      </c>
      <c r="Z92" s="102">
        <v>0</v>
      </c>
      <c r="AA92" s="63">
        <f t="shared" si="16"/>
        <v>0</v>
      </c>
      <c r="AB92" s="61">
        <v>16</v>
      </c>
      <c r="AC92" s="61">
        <v>7</v>
      </c>
      <c r="AD92" s="63">
        <f t="shared" si="17"/>
        <v>0.4375</v>
      </c>
      <c r="AE92" s="61">
        <v>2</v>
      </c>
      <c r="AF92" s="61">
        <v>0</v>
      </c>
      <c r="AG92" s="63">
        <f t="shared" si="18"/>
        <v>0</v>
      </c>
      <c r="AH92" s="61">
        <v>90.263572349551907</v>
      </c>
      <c r="AI92" s="61">
        <v>53</v>
      </c>
      <c r="AJ92" s="63">
        <f t="shared" si="19"/>
        <v>0.58716931559892005</v>
      </c>
      <c r="AK92" s="61">
        <v>3.9799545362731585</v>
      </c>
      <c r="AL92" s="61">
        <v>5</v>
      </c>
      <c r="AM92" s="63">
        <f t="shared" si="20"/>
        <v>1.2562957577605938</v>
      </c>
      <c r="AN92" s="61">
        <v>3.6062725384678629</v>
      </c>
      <c r="AO92" s="61">
        <v>2</v>
      </c>
      <c r="AP92" s="63">
        <f t="shared" si="21"/>
        <v>0.5545892548791409</v>
      </c>
      <c r="AQ92" s="61">
        <v>4.4805293513597748</v>
      </c>
      <c r="AR92" s="61">
        <v>0</v>
      </c>
      <c r="AS92" s="63">
        <f t="shared" si="22"/>
        <v>0</v>
      </c>
      <c r="AT92" s="61">
        <v>18</v>
      </c>
      <c r="AU92" s="61">
        <v>5</v>
      </c>
      <c r="AV92" s="63">
        <f t="shared" si="23"/>
        <v>0.27777777777777779</v>
      </c>
      <c r="AW92" s="61">
        <v>2.0325468442185755</v>
      </c>
      <c r="AX92" s="61">
        <v>0</v>
      </c>
      <c r="AY92" s="63">
        <f t="shared" si="24"/>
        <v>0</v>
      </c>
      <c r="AZ92" s="61">
        <v>6</v>
      </c>
      <c r="BA92" s="61">
        <v>0</v>
      </c>
      <c r="BB92" s="63">
        <f t="shared" si="25"/>
        <v>0</v>
      </c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</row>
    <row r="93" spans="1:87" x14ac:dyDescent="0.25">
      <c r="A93" s="128">
        <v>10223</v>
      </c>
      <c r="B93" s="128">
        <v>5980</v>
      </c>
      <c r="C93" s="128">
        <v>1080909599</v>
      </c>
      <c r="D93" s="128" t="s">
        <v>657</v>
      </c>
      <c r="E93" s="128" t="s">
        <v>546</v>
      </c>
      <c r="F93" s="128" t="s">
        <v>546</v>
      </c>
      <c r="G93" s="128" t="s">
        <v>158</v>
      </c>
      <c r="H93" s="128" t="s">
        <v>158</v>
      </c>
      <c r="I93" s="128" t="s">
        <v>1218</v>
      </c>
      <c r="J93" s="128" t="s">
        <v>112</v>
      </c>
      <c r="K93" s="128" t="s">
        <v>152</v>
      </c>
      <c r="L93" s="128">
        <v>33026</v>
      </c>
      <c r="M93" s="128" t="s">
        <v>1219</v>
      </c>
      <c r="N93" s="130"/>
      <c r="O93" s="131">
        <v>0.2</v>
      </c>
      <c r="P93" s="150">
        <v>88146</v>
      </c>
      <c r="Q93" s="61">
        <v>46253.93</v>
      </c>
      <c r="R93" s="63">
        <f t="shared" si="13"/>
        <v>0.52474224581943596</v>
      </c>
      <c r="S93" s="61">
        <v>9385</v>
      </c>
      <c r="T93" s="61">
        <v>0</v>
      </c>
      <c r="U93" s="63">
        <f t="shared" si="14"/>
        <v>0</v>
      </c>
      <c r="V93" s="61">
        <v>17701.650570542439</v>
      </c>
      <c r="W93" s="61">
        <v>13633.919999999998</v>
      </c>
      <c r="X93" s="63">
        <f t="shared" si="15"/>
        <v>0.77020614239716112</v>
      </c>
      <c r="Y93" s="61">
        <v>925</v>
      </c>
      <c r="Z93" s="102">
        <v>0</v>
      </c>
      <c r="AA93" s="63">
        <f t="shared" si="16"/>
        <v>0</v>
      </c>
      <c r="AB93" s="61">
        <v>16</v>
      </c>
      <c r="AC93" s="61">
        <v>6</v>
      </c>
      <c r="AD93" s="63">
        <f t="shared" si="17"/>
        <v>0.375</v>
      </c>
      <c r="AE93" s="61">
        <v>2</v>
      </c>
      <c r="AF93" s="61">
        <v>0</v>
      </c>
      <c r="AG93" s="63">
        <f t="shared" si="18"/>
        <v>0</v>
      </c>
      <c r="AH93" s="61">
        <v>90.263572349551907</v>
      </c>
      <c r="AI93" s="61">
        <v>70</v>
      </c>
      <c r="AJ93" s="63">
        <f t="shared" si="19"/>
        <v>0.77550664324385676</v>
      </c>
      <c r="AK93" s="61">
        <v>3.9799545362731585</v>
      </c>
      <c r="AL93" s="61">
        <v>3</v>
      </c>
      <c r="AM93" s="63">
        <f t="shared" si="20"/>
        <v>0.75377745465635626</v>
      </c>
      <c r="AN93" s="61">
        <v>3.6062725384678629</v>
      </c>
      <c r="AO93" s="61">
        <v>7</v>
      </c>
      <c r="AP93" s="63">
        <f t="shared" si="21"/>
        <v>1.9410623920769932</v>
      </c>
      <c r="AQ93" s="61">
        <v>16.12990566489519</v>
      </c>
      <c r="AR93" s="61">
        <v>3</v>
      </c>
      <c r="AS93" s="63">
        <f t="shared" si="22"/>
        <v>0.18598992841781717</v>
      </c>
      <c r="AT93" s="61">
        <v>3</v>
      </c>
      <c r="AU93" s="61">
        <v>0</v>
      </c>
      <c r="AV93" s="63">
        <f t="shared" si="23"/>
        <v>0</v>
      </c>
      <c r="AW93" s="61">
        <v>2.5797473560525068</v>
      </c>
      <c r="AX93" s="61">
        <v>0</v>
      </c>
      <c r="AY93" s="63">
        <f t="shared" si="24"/>
        <v>0</v>
      </c>
      <c r="AZ93" s="61">
        <v>6</v>
      </c>
      <c r="BA93" s="61">
        <v>3</v>
      </c>
      <c r="BB93" s="63">
        <f t="shared" si="25"/>
        <v>0.5</v>
      </c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</row>
    <row r="94" spans="1:87" x14ac:dyDescent="0.25">
      <c r="A94" s="128">
        <v>33583</v>
      </c>
      <c r="B94" s="128">
        <v>5980</v>
      </c>
      <c r="C94" s="128">
        <v>1092529856</v>
      </c>
      <c r="D94" s="128" t="s">
        <v>662</v>
      </c>
      <c r="E94" s="128" t="s">
        <v>546</v>
      </c>
      <c r="F94" s="128" t="s">
        <v>546</v>
      </c>
      <c r="G94" s="128" t="s">
        <v>663</v>
      </c>
      <c r="H94" s="128" t="s">
        <v>663</v>
      </c>
      <c r="I94" s="128" t="s">
        <v>1218</v>
      </c>
      <c r="J94" s="128" t="s">
        <v>112</v>
      </c>
      <c r="K94" s="128" t="s">
        <v>152</v>
      </c>
      <c r="L94" s="148">
        <v>33026</v>
      </c>
      <c r="M94" s="128" t="s">
        <v>1215</v>
      </c>
      <c r="N94" s="130"/>
      <c r="O94" s="131"/>
      <c r="P94" s="151">
        <v>94934</v>
      </c>
      <c r="Q94" s="61">
        <v>65960.899999999994</v>
      </c>
      <c r="R94" s="63">
        <f t="shared" si="13"/>
        <v>0.69480797185413012</v>
      </c>
      <c r="S94" s="61">
        <v>10095</v>
      </c>
      <c r="T94" s="61">
        <v>3651.3</v>
      </c>
      <c r="U94" s="63">
        <f t="shared" si="14"/>
        <v>0.36169390787518574</v>
      </c>
      <c r="V94" s="61">
        <v>22354.576693638694</v>
      </c>
      <c r="W94" s="61">
        <v>8663.8999999999978</v>
      </c>
      <c r="X94" s="63">
        <f t="shared" si="15"/>
        <v>0.38756716885027981</v>
      </c>
      <c r="Y94" s="61">
        <v>1003</v>
      </c>
      <c r="Z94" s="102">
        <v>0</v>
      </c>
      <c r="AA94" s="63">
        <f t="shared" si="16"/>
        <v>0</v>
      </c>
      <c r="AB94" s="61">
        <v>20</v>
      </c>
      <c r="AC94" s="61">
        <v>5</v>
      </c>
      <c r="AD94" s="63">
        <f t="shared" si="17"/>
        <v>0.25</v>
      </c>
      <c r="AE94" s="61">
        <v>3</v>
      </c>
      <c r="AF94" s="61">
        <v>0</v>
      </c>
      <c r="AG94" s="63">
        <f t="shared" si="18"/>
        <v>0</v>
      </c>
      <c r="AH94" s="61">
        <v>111.09620242899553</v>
      </c>
      <c r="AI94" s="61">
        <v>46</v>
      </c>
      <c r="AJ94" s="63">
        <f t="shared" si="19"/>
        <v>0.41405555720412496</v>
      </c>
      <c r="AK94" s="61">
        <v>4.7759454435277906</v>
      </c>
      <c r="AL94" s="61">
        <v>3</v>
      </c>
      <c r="AM94" s="63">
        <f t="shared" si="20"/>
        <v>0.62814787888029677</v>
      </c>
      <c r="AN94" s="61">
        <v>4.3275270461614355</v>
      </c>
      <c r="AO94" s="61">
        <v>4</v>
      </c>
      <c r="AP94" s="63">
        <f t="shared" si="21"/>
        <v>0.9243154247985681</v>
      </c>
      <c r="AQ94" s="61">
        <v>6.2727410919036846</v>
      </c>
      <c r="AR94" s="61">
        <v>7</v>
      </c>
      <c r="AS94" s="63">
        <f t="shared" si="22"/>
        <v>1.1159395705069031</v>
      </c>
      <c r="AT94" s="61">
        <v>4</v>
      </c>
      <c r="AU94" s="61">
        <v>2</v>
      </c>
      <c r="AV94" s="63">
        <f t="shared" si="23"/>
        <v>0.5</v>
      </c>
      <c r="AW94" s="61">
        <v>2.7784100866685808</v>
      </c>
      <c r="AX94" s="61">
        <v>0</v>
      </c>
      <c r="AY94" s="63">
        <f t="shared" si="24"/>
        <v>0</v>
      </c>
      <c r="AZ94" s="61">
        <v>8</v>
      </c>
      <c r="BA94" s="61">
        <v>2</v>
      </c>
      <c r="BB94" s="63">
        <f t="shared" si="25"/>
        <v>0.25</v>
      </c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</row>
    <row r="95" spans="1:87" x14ac:dyDescent="0.25">
      <c r="A95" s="128">
        <v>3206</v>
      </c>
      <c r="B95" s="128">
        <v>4467</v>
      </c>
      <c r="C95" s="128">
        <v>1013725229</v>
      </c>
      <c r="D95" s="128" t="s">
        <v>658</v>
      </c>
      <c r="E95" s="128" t="s">
        <v>544</v>
      </c>
      <c r="F95" s="128" t="s">
        <v>544</v>
      </c>
      <c r="G95" s="128" t="s">
        <v>383</v>
      </c>
      <c r="H95" s="128" t="s">
        <v>384</v>
      </c>
      <c r="I95" s="128" t="s">
        <v>1218</v>
      </c>
      <c r="J95" s="128" t="s">
        <v>112</v>
      </c>
      <c r="K95" s="128" t="s">
        <v>152</v>
      </c>
      <c r="L95" s="148">
        <v>33026</v>
      </c>
      <c r="M95" s="128"/>
      <c r="N95" s="130"/>
      <c r="O95" s="131"/>
      <c r="P95" s="150">
        <v>234173</v>
      </c>
      <c r="Q95" s="61">
        <v>0</v>
      </c>
      <c r="R95" s="63">
        <f t="shared" si="13"/>
        <v>0</v>
      </c>
      <c r="S95" s="61">
        <v>35756</v>
      </c>
      <c r="T95" s="61">
        <v>0</v>
      </c>
      <c r="U95" s="63">
        <f t="shared" si="14"/>
        <v>0</v>
      </c>
      <c r="V95" s="61">
        <v>72344.726876360786</v>
      </c>
      <c r="W95" s="61">
        <v>0</v>
      </c>
      <c r="X95" s="63">
        <f t="shared" si="15"/>
        <v>0</v>
      </c>
      <c r="Y95" s="61">
        <v>4781</v>
      </c>
      <c r="Z95" s="102">
        <v>0</v>
      </c>
      <c r="AA95" s="63">
        <f t="shared" si="16"/>
        <v>0</v>
      </c>
      <c r="AB95" s="61">
        <v>60</v>
      </c>
      <c r="AC95" s="61">
        <v>0</v>
      </c>
      <c r="AD95" s="63">
        <f t="shared" si="17"/>
        <v>0</v>
      </c>
      <c r="AE95" s="61">
        <v>9</v>
      </c>
      <c r="AF95" s="61">
        <v>0</v>
      </c>
      <c r="AG95" s="63">
        <f t="shared" si="18"/>
        <v>0</v>
      </c>
      <c r="AH95" s="61">
        <v>333.28860728698658</v>
      </c>
      <c r="AI95" s="61">
        <v>0</v>
      </c>
      <c r="AJ95" s="63">
        <f t="shared" si="19"/>
        <v>0</v>
      </c>
      <c r="AK95" s="61">
        <v>14.327836330583372</v>
      </c>
      <c r="AL95" s="61">
        <v>0</v>
      </c>
      <c r="AM95" s="63">
        <f t="shared" si="20"/>
        <v>0</v>
      </c>
      <c r="AN95" s="61">
        <v>12.982581138484306</v>
      </c>
      <c r="AO95" s="61">
        <v>0</v>
      </c>
      <c r="AP95" s="63">
        <f t="shared" si="21"/>
        <v>0</v>
      </c>
      <c r="AQ95" s="61">
        <v>17.922117405439099</v>
      </c>
      <c r="AR95" s="61">
        <v>0</v>
      </c>
      <c r="AS95" s="63">
        <f t="shared" si="22"/>
        <v>0</v>
      </c>
      <c r="AT95" s="61">
        <v>10</v>
      </c>
      <c r="AU95" s="61">
        <v>0</v>
      </c>
      <c r="AV95" s="63">
        <f t="shared" si="23"/>
        <v>0</v>
      </c>
      <c r="AW95" s="61">
        <v>6.8534837384439875</v>
      </c>
      <c r="AX95" s="61">
        <v>0</v>
      </c>
      <c r="AY95" s="63">
        <f t="shared" si="24"/>
        <v>0</v>
      </c>
      <c r="AZ95" s="61">
        <v>24</v>
      </c>
      <c r="BA95" s="61">
        <v>0</v>
      </c>
      <c r="BB95" s="63">
        <f t="shared" si="25"/>
        <v>0</v>
      </c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</row>
    <row r="96" spans="1:87" x14ac:dyDescent="0.25">
      <c r="A96" s="128">
        <v>21436</v>
      </c>
      <c r="B96" s="128">
        <v>3206</v>
      </c>
      <c r="C96" s="128">
        <v>1021516545</v>
      </c>
      <c r="D96" s="128" t="s">
        <v>659</v>
      </c>
      <c r="E96" s="128" t="s">
        <v>546</v>
      </c>
      <c r="F96" s="128" t="s">
        <v>546</v>
      </c>
      <c r="G96" s="128" t="s">
        <v>159</v>
      </c>
      <c r="H96" s="128" t="s">
        <v>159</v>
      </c>
      <c r="I96" s="128" t="s">
        <v>1218</v>
      </c>
      <c r="J96" s="128" t="s">
        <v>112</v>
      </c>
      <c r="K96" s="128" t="s">
        <v>152</v>
      </c>
      <c r="L96" s="148">
        <v>33026</v>
      </c>
      <c r="M96" s="128"/>
      <c r="N96" s="130"/>
      <c r="O96" s="131"/>
      <c r="P96" s="151">
        <v>63559</v>
      </c>
      <c r="Q96" s="61">
        <v>27709.58</v>
      </c>
      <c r="R96" s="63">
        <f t="shared" si="13"/>
        <v>0.43596626756242235</v>
      </c>
      <c r="S96" s="61">
        <v>8925</v>
      </c>
      <c r="T96" s="61">
        <v>3738.26</v>
      </c>
      <c r="U96" s="63">
        <f t="shared" si="14"/>
        <v>0.41885266106442581</v>
      </c>
      <c r="V96" s="61">
        <v>22023.275922569093</v>
      </c>
      <c r="W96" s="61">
        <v>2915.65</v>
      </c>
      <c r="X96" s="63">
        <f t="shared" si="15"/>
        <v>0.13238947785293328</v>
      </c>
      <c r="Y96" s="61">
        <v>1157</v>
      </c>
      <c r="Z96" s="102">
        <v>0</v>
      </c>
      <c r="AA96" s="63">
        <f t="shared" si="16"/>
        <v>0</v>
      </c>
      <c r="AB96" s="61">
        <v>20</v>
      </c>
      <c r="AC96" s="61">
        <v>4</v>
      </c>
      <c r="AD96" s="63">
        <f t="shared" si="17"/>
        <v>0.2</v>
      </c>
      <c r="AE96" s="61">
        <v>3</v>
      </c>
      <c r="AF96" s="61">
        <v>0</v>
      </c>
      <c r="AG96" s="63">
        <f t="shared" si="18"/>
        <v>0</v>
      </c>
      <c r="AH96" s="61">
        <v>111.09620242899553</v>
      </c>
      <c r="AI96" s="61">
        <v>69</v>
      </c>
      <c r="AJ96" s="63">
        <f t="shared" si="19"/>
        <v>0.62108333580618735</v>
      </c>
      <c r="AK96" s="61">
        <v>4.7759454435277906</v>
      </c>
      <c r="AL96" s="61">
        <v>1</v>
      </c>
      <c r="AM96" s="63">
        <f t="shared" si="20"/>
        <v>0.20938262629343227</v>
      </c>
      <c r="AN96" s="61">
        <v>4.3275270461614355</v>
      </c>
      <c r="AO96" s="61">
        <v>8</v>
      </c>
      <c r="AP96" s="63">
        <f t="shared" si="21"/>
        <v>1.8486308495971362</v>
      </c>
      <c r="AQ96" s="61">
        <v>7.1688469621756399</v>
      </c>
      <c r="AR96" s="61">
        <v>2</v>
      </c>
      <c r="AS96" s="63">
        <f t="shared" si="22"/>
        <v>0.27898489262672577</v>
      </c>
      <c r="AT96" s="61">
        <v>4</v>
      </c>
      <c r="AU96" s="61">
        <v>1</v>
      </c>
      <c r="AV96" s="63">
        <f t="shared" si="23"/>
        <v>0.25</v>
      </c>
      <c r="AW96" s="61">
        <v>1.8601656592850646</v>
      </c>
      <c r="AX96" s="61">
        <v>0</v>
      </c>
      <c r="AY96" s="63">
        <f t="shared" si="24"/>
        <v>0</v>
      </c>
      <c r="AZ96" s="61">
        <v>8</v>
      </c>
      <c r="BA96" s="61">
        <v>1</v>
      </c>
      <c r="BB96" s="63">
        <f t="shared" si="25"/>
        <v>0.125</v>
      </c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</row>
    <row r="97" spans="1:87" x14ac:dyDescent="0.25">
      <c r="A97" s="128">
        <v>476</v>
      </c>
      <c r="B97" s="128">
        <v>3206</v>
      </c>
      <c r="C97" s="128">
        <v>1018368926</v>
      </c>
      <c r="D97" s="128" t="s">
        <v>660</v>
      </c>
      <c r="E97" s="128" t="s">
        <v>546</v>
      </c>
      <c r="F97" s="128" t="s">
        <v>546</v>
      </c>
      <c r="G97" s="128" t="s">
        <v>488</v>
      </c>
      <c r="H97" s="128" t="s">
        <v>489</v>
      </c>
      <c r="I97" s="128" t="s">
        <v>1218</v>
      </c>
      <c r="J97" s="128" t="s">
        <v>112</v>
      </c>
      <c r="K97" s="128" t="s">
        <v>152</v>
      </c>
      <c r="L97" s="148">
        <v>33026</v>
      </c>
      <c r="M97" s="128" t="s">
        <v>1215</v>
      </c>
      <c r="N97" s="130"/>
      <c r="O97" s="131"/>
      <c r="P97" s="150">
        <v>109880</v>
      </c>
      <c r="Q97" s="61">
        <v>90187.000000000015</v>
      </c>
      <c r="R97" s="63">
        <f t="shared" si="13"/>
        <v>0.8207772115034585</v>
      </c>
      <c r="S97" s="61">
        <v>13635</v>
      </c>
      <c r="T97" s="61">
        <v>2260.87</v>
      </c>
      <c r="U97" s="63">
        <f t="shared" si="14"/>
        <v>0.1658137147048038</v>
      </c>
      <c r="V97" s="61">
        <v>25923.163909852701</v>
      </c>
      <c r="W97" s="61">
        <v>8931.2900000000009</v>
      </c>
      <c r="X97" s="63">
        <f t="shared" si="15"/>
        <v>0.34452931868418485</v>
      </c>
      <c r="Y97" s="61">
        <v>771</v>
      </c>
      <c r="Z97" s="102">
        <v>0</v>
      </c>
      <c r="AA97" s="63">
        <f t="shared" si="16"/>
        <v>0</v>
      </c>
      <c r="AB97" s="61">
        <v>20</v>
      </c>
      <c r="AC97" s="61">
        <v>1</v>
      </c>
      <c r="AD97" s="63">
        <f t="shared" si="17"/>
        <v>0.05</v>
      </c>
      <c r="AE97" s="61">
        <v>3</v>
      </c>
      <c r="AF97" s="61">
        <v>1</v>
      </c>
      <c r="AG97" s="63">
        <f t="shared" si="18"/>
        <v>0.33333333333333331</v>
      </c>
      <c r="AH97" s="61">
        <v>111.09620242899553</v>
      </c>
      <c r="AI97" s="61">
        <v>49</v>
      </c>
      <c r="AJ97" s="63">
        <f t="shared" si="19"/>
        <v>0.44105918050004611</v>
      </c>
      <c r="AK97" s="61">
        <v>4.7759454435277906</v>
      </c>
      <c r="AL97" s="61">
        <v>4</v>
      </c>
      <c r="AM97" s="63">
        <f t="shared" si="20"/>
        <v>0.83753050517372907</v>
      </c>
      <c r="AN97" s="61">
        <v>4.3275270461614355</v>
      </c>
      <c r="AO97" s="61">
        <v>2</v>
      </c>
      <c r="AP97" s="63">
        <f t="shared" si="21"/>
        <v>0.46215771239928405</v>
      </c>
      <c r="AQ97" s="61">
        <v>7.1688469621756399</v>
      </c>
      <c r="AR97" s="61">
        <v>0</v>
      </c>
      <c r="AS97" s="63">
        <f t="shared" si="22"/>
        <v>0</v>
      </c>
      <c r="AT97" s="61">
        <v>4</v>
      </c>
      <c r="AU97" s="61">
        <v>3</v>
      </c>
      <c r="AV97" s="63">
        <f t="shared" si="23"/>
        <v>0.75</v>
      </c>
      <c r="AW97" s="61">
        <v>3.2158310017816971</v>
      </c>
      <c r="AX97" s="61">
        <v>0</v>
      </c>
      <c r="AY97" s="63">
        <f t="shared" si="24"/>
        <v>0</v>
      </c>
      <c r="AZ97" s="61">
        <v>8</v>
      </c>
      <c r="BA97" s="61">
        <v>6</v>
      </c>
      <c r="BB97" s="63">
        <f t="shared" si="25"/>
        <v>0.75</v>
      </c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</row>
    <row r="98" spans="1:87" x14ac:dyDescent="0.25">
      <c r="A98" s="128">
        <v>10653</v>
      </c>
      <c r="B98" s="128">
        <v>3206</v>
      </c>
      <c r="C98" s="128">
        <v>1049638594</v>
      </c>
      <c r="D98" s="128" t="s">
        <v>652</v>
      </c>
      <c r="E98" s="128" t="s">
        <v>546</v>
      </c>
      <c r="F98" s="128" t="s">
        <v>546</v>
      </c>
      <c r="G98" s="128" t="s">
        <v>393</v>
      </c>
      <c r="H98" s="128" t="s">
        <v>394</v>
      </c>
      <c r="I98" s="128" t="s">
        <v>1218</v>
      </c>
      <c r="J98" s="128" t="s">
        <v>112</v>
      </c>
      <c r="K98" s="128" t="s">
        <v>152</v>
      </c>
      <c r="L98" s="148">
        <v>33026</v>
      </c>
      <c r="M98" s="128"/>
      <c r="N98" s="130"/>
      <c r="O98" s="131"/>
      <c r="P98" s="151">
        <v>60734</v>
      </c>
      <c r="Q98" s="61">
        <v>14520</v>
      </c>
      <c r="R98" s="63">
        <f t="shared" si="13"/>
        <v>0.23907531201633353</v>
      </c>
      <c r="S98" s="61">
        <v>13196</v>
      </c>
      <c r="T98" s="61">
        <v>0</v>
      </c>
      <c r="U98" s="63">
        <f t="shared" si="14"/>
        <v>0</v>
      </c>
      <c r="V98" s="61">
        <v>24398.287043938992</v>
      </c>
      <c r="W98" s="61">
        <v>1769.1299999999999</v>
      </c>
      <c r="X98" s="63">
        <f t="shared" si="15"/>
        <v>7.2510418326252379E-2</v>
      </c>
      <c r="Y98" s="61">
        <v>2853</v>
      </c>
      <c r="Z98" s="102">
        <v>0</v>
      </c>
      <c r="AA98" s="63">
        <f t="shared" si="16"/>
        <v>0</v>
      </c>
      <c r="AB98" s="61">
        <v>20</v>
      </c>
      <c r="AC98" s="61">
        <v>3</v>
      </c>
      <c r="AD98" s="63">
        <f t="shared" si="17"/>
        <v>0.15</v>
      </c>
      <c r="AE98" s="61">
        <v>3</v>
      </c>
      <c r="AF98" s="61">
        <v>1</v>
      </c>
      <c r="AG98" s="63">
        <f t="shared" si="18"/>
        <v>0.33333333333333331</v>
      </c>
      <c r="AH98" s="61">
        <v>111.09620242899553</v>
      </c>
      <c r="AI98" s="61">
        <v>52</v>
      </c>
      <c r="AJ98" s="63">
        <f t="shared" si="19"/>
        <v>0.46806280379596732</v>
      </c>
      <c r="AK98" s="61">
        <v>4.7759454435277906</v>
      </c>
      <c r="AL98" s="61">
        <v>4</v>
      </c>
      <c r="AM98" s="63">
        <f t="shared" si="20"/>
        <v>0.83753050517372907</v>
      </c>
      <c r="AN98" s="61">
        <v>4.3275270461614355</v>
      </c>
      <c r="AO98" s="61">
        <v>5</v>
      </c>
      <c r="AP98" s="63">
        <f t="shared" si="21"/>
        <v>1.1553942809982101</v>
      </c>
      <c r="AQ98" s="61">
        <v>3.5844234810878199</v>
      </c>
      <c r="AR98" s="61">
        <v>1</v>
      </c>
      <c r="AS98" s="63">
        <f t="shared" si="22"/>
        <v>0.27898489262672577</v>
      </c>
      <c r="AT98" s="61">
        <v>2</v>
      </c>
      <c r="AU98" s="61">
        <v>3</v>
      </c>
      <c r="AV98" s="63">
        <f t="shared" si="23"/>
        <v>1.5</v>
      </c>
      <c r="AW98" s="61">
        <v>1.777487077377226</v>
      </c>
      <c r="AX98" s="61">
        <v>0</v>
      </c>
      <c r="AY98" s="63">
        <f t="shared" si="24"/>
        <v>0</v>
      </c>
      <c r="AZ98" s="61">
        <v>8</v>
      </c>
      <c r="BA98" s="61">
        <v>1</v>
      </c>
      <c r="BB98" s="63">
        <f t="shared" si="25"/>
        <v>0.125</v>
      </c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</row>
    <row r="99" spans="1:87" x14ac:dyDescent="0.25">
      <c r="A99" s="113" t="s">
        <v>972</v>
      </c>
      <c r="B99" s="113">
        <v>19282</v>
      </c>
      <c r="C99" s="113" t="s">
        <v>972</v>
      </c>
      <c r="D99" s="113" t="s">
        <v>973</v>
      </c>
      <c r="E99" s="113" t="s">
        <v>541</v>
      </c>
      <c r="F99" s="113" t="s">
        <v>541</v>
      </c>
      <c r="G99" s="113">
        <v>0</v>
      </c>
      <c r="H99" s="113">
        <v>0</v>
      </c>
      <c r="I99" s="113" t="s">
        <v>1218</v>
      </c>
      <c r="J99" s="113" t="s">
        <v>112</v>
      </c>
      <c r="K99" s="113" t="s">
        <v>665</v>
      </c>
      <c r="L99" s="113">
        <v>73006</v>
      </c>
      <c r="M99" s="113"/>
      <c r="N99" s="113"/>
      <c r="O99" s="114"/>
      <c r="P99" s="115">
        <v>121407</v>
      </c>
      <c r="Q99" s="61">
        <v>0</v>
      </c>
      <c r="R99" s="63">
        <f t="shared" si="13"/>
        <v>0</v>
      </c>
      <c r="S99" s="61">
        <v>16172</v>
      </c>
      <c r="T99" s="61">
        <v>0</v>
      </c>
      <c r="U99" s="63">
        <f t="shared" si="14"/>
        <v>0</v>
      </c>
      <c r="V99" s="61">
        <v>32693.255688554862</v>
      </c>
      <c r="W99" s="61">
        <v>0</v>
      </c>
      <c r="X99" s="63">
        <f t="shared" si="15"/>
        <v>0</v>
      </c>
      <c r="Y99" s="61">
        <v>1925</v>
      </c>
      <c r="Z99" s="102">
        <v>0</v>
      </c>
      <c r="AA99" s="63">
        <f t="shared" si="16"/>
        <v>0</v>
      </c>
      <c r="AB99" s="61">
        <v>27</v>
      </c>
      <c r="AC99" s="61">
        <v>0</v>
      </c>
      <c r="AD99" s="63">
        <f t="shared" si="17"/>
        <v>0</v>
      </c>
      <c r="AE99" s="61">
        <v>3</v>
      </c>
      <c r="AF99" s="61">
        <v>0</v>
      </c>
      <c r="AG99" s="63">
        <f t="shared" si="18"/>
        <v>0</v>
      </c>
      <c r="AH99" s="61">
        <v>156.72798860377148</v>
      </c>
      <c r="AI99" s="61">
        <v>0</v>
      </c>
      <c r="AJ99" s="63">
        <f t="shared" si="19"/>
        <v>0</v>
      </c>
      <c r="AK99" s="61">
        <v>6.3679272580370538</v>
      </c>
      <c r="AL99" s="61">
        <v>0</v>
      </c>
      <c r="AM99" s="63">
        <f t="shared" si="20"/>
        <v>0</v>
      </c>
      <c r="AN99" s="61">
        <v>6.4912905692421532</v>
      </c>
      <c r="AO99" s="61">
        <v>0</v>
      </c>
      <c r="AP99" s="63">
        <f t="shared" si="21"/>
        <v>0</v>
      </c>
      <c r="AQ99" s="61">
        <v>10.75327044326346</v>
      </c>
      <c r="AR99" s="61">
        <v>0</v>
      </c>
      <c r="AS99" s="63">
        <f t="shared" si="22"/>
        <v>0</v>
      </c>
      <c r="AT99" s="61">
        <v>27</v>
      </c>
      <c r="AU99" s="61">
        <v>0</v>
      </c>
      <c r="AV99" s="63">
        <f t="shared" si="23"/>
        <v>0</v>
      </c>
      <c r="AW99" s="61">
        <v>3.553188882720336</v>
      </c>
      <c r="AX99" s="61">
        <v>0</v>
      </c>
      <c r="AY99" s="63">
        <f t="shared" si="24"/>
        <v>0</v>
      </c>
      <c r="AZ99" s="61">
        <v>11</v>
      </c>
      <c r="BA99" s="61">
        <v>0</v>
      </c>
      <c r="BB99" s="63">
        <f t="shared" si="25"/>
        <v>0</v>
      </c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</row>
    <row r="100" spans="1:87" x14ac:dyDescent="0.25">
      <c r="A100" s="116">
        <v>8667</v>
      </c>
      <c r="B100" s="116">
        <v>19282</v>
      </c>
      <c r="C100" s="116">
        <v>1041913144</v>
      </c>
      <c r="D100" s="116" t="s">
        <v>664</v>
      </c>
      <c r="E100" s="116" t="s">
        <v>544</v>
      </c>
      <c r="F100" s="116" t="s">
        <v>541</v>
      </c>
      <c r="G100" s="116" t="s">
        <v>207</v>
      </c>
      <c r="H100" s="116" t="s">
        <v>208</v>
      </c>
      <c r="I100" s="116" t="s">
        <v>1218</v>
      </c>
      <c r="J100" s="116" t="s">
        <v>112</v>
      </c>
      <c r="K100" s="116" t="s">
        <v>665</v>
      </c>
      <c r="L100" s="116">
        <v>73006</v>
      </c>
      <c r="M100" s="116"/>
      <c r="N100" s="116"/>
      <c r="O100" s="152"/>
      <c r="P100" s="153">
        <v>121407</v>
      </c>
      <c r="Q100" s="61">
        <v>0</v>
      </c>
      <c r="R100" s="63">
        <f t="shared" si="13"/>
        <v>0</v>
      </c>
      <c r="S100" s="61">
        <v>16172</v>
      </c>
      <c r="T100" s="61">
        <v>0</v>
      </c>
      <c r="U100" s="63">
        <f t="shared" si="14"/>
        <v>0</v>
      </c>
      <c r="V100" s="61">
        <v>32693.255688554862</v>
      </c>
      <c r="W100" s="61">
        <v>0</v>
      </c>
      <c r="X100" s="63">
        <f t="shared" si="15"/>
        <v>0</v>
      </c>
      <c r="Y100" s="61">
        <v>1925</v>
      </c>
      <c r="Z100" s="102">
        <v>0</v>
      </c>
      <c r="AA100" s="63">
        <f t="shared" si="16"/>
        <v>0</v>
      </c>
      <c r="AB100" s="61">
        <v>27</v>
      </c>
      <c r="AC100" s="61">
        <v>0</v>
      </c>
      <c r="AD100" s="63">
        <f t="shared" si="17"/>
        <v>0</v>
      </c>
      <c r="AE100" s="61">
        <v>3</v>
      </c>
      <c r="AF100" s="61">
        <v>0</v>
      </c>
      <c r="AG100" s="63">
        <f t="shared" si="18"/>
        <v>0</v>
      </c>
      <c r="AH100" s="61">
        <v>156.72798860377148</v>
      </c>
      <c r="AI100" s="61">
        <v>0</v>
      </c>
      <c r="AJ100" s="63">
        <f t="shared" si="19"/>
        <v>0</v>
      </c>
      <c r="AK100" s="61">
        <v>6.3679272580370538</v>
      </c>
      <c r="AL100" s="61">
        <v>0</v>
      </c>
      <c r="AM100" s="63">
        <f t="shared" si="20"/>
        <v>0</v>
      </c>
      <c r="AN100" s="61">
        <v>6.4912905692421532</v>
      </c>
      <c r="AO100" s="61">
        <v>0</v>
      </c>
      <c r="AP100" s="63">
        <f t="shared" si="21"/>
        <v>0</v>
      </c>
      <c r="AQ100" s="61">
        <v>10.75327044326346</v>
      </c>
      <c r="AR100" s="61">
        <v>0</v>
      </c>
      <c r="AS100" s="63">
        <f t="shared" si="22"/>
        <v>0</v>
      </c>
      <c r="AT100" s="61">
        <v>27</v>
      </c>
      <c r="AU100" s="61">
        <v>0</v>
      </c>
      <c r="AV100" s="63">
        <f t="shared" si="23"/>
        <v>0</v>
      </c>
      <c r="AW100" s="61">
        <v>3.553188882720336</v>
      </c>
      <c r="AX100" s="61">
        <v>0</v>
      </c>
      <c r="AY100" s="63">
        <f t="shared" si="24"/>
        <v>0</v>
      </c>
      <c r="AZ100" s="61">
        <v>11</v>
      </c>
      <c r="BA100" s="61">
        <v>0</v>
      </c>
      <c r="BB100" s="63">
        <f t="shared" si="25"/>
        <v>0</v>
      </c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</row>
    <row r="101" spans="1:87" x14ac:dyDescent="0.25">
      <c r="A101" s="207">
        <v>20911</v>
      </c>
      <c r="B101" s="207">
        <v>8667</v>
      </c>
      <c r="C101" s="207">
        <v>1049004409</v>
      </c>
      <c r="D101" s="207" t="s">
        <v>666</v>
      </c>
      <c r="E101" s="207" t="s">
        <v>546</v>
      </c>
      <c r="F101" s="207" t="s">
        <v>546</v>
      </c>
      <c r="G101" s="207" t="s">
        <v>193</v>
      </c>
      <c r="H101" s="207" t="s">
        <v>193</v>
      </c>
      <c r="I101" s="207" t="s">
        <v>1218</v>
      </c>
      <c r="J101" s="207" t="s">
        <v>112</v>
      </c>
      <c r="K101" s="207" t="s">
        <v>665</v>
      </c>
      <c r="L101" s="207">
        <v>73006</v>
      </c>
      <c r="M101" s="207" t="s">
        <v>1219</v>
      </c>
      <c r="N101" s="207"/>
      <c r="O101" s="229">
        <v>0.2</v>
      </c>
      <c r="P101" s="230">
        <v>40064</v>
      </c>
      <c r="Q101" s="61">
        <v>24927.84</v>
      </c>
      <c r="R101" s="63">
        <f t="shared" si="13"/>
        <v>0.62220047923322686</v>
      </c>
      <c r="S101" s="61">
        <v>5977</v>
      </c>
      <c r="T101" s="61">
        <v>3216.52</v>
      </c>
      <c r="U101" s="63">
        <f t="shared" si="14"/>
        <v>0.53814957336456415</v>
      </c>
      <c r="V101" s="61">
        <v>10876.97060316768</v>
      </c>
      <c r="W101" s="61">
        <v>2334.7799999999997</v>
      </c>
      <c r="X101" s="63">
        <f t="shared" si="15"/>
        <v>0.21465351752629047</v>
      </c>
      <c r="Y101" s="61">
        <v>597</v>
      </c>
      <c r="Z101" s="102">
        <v>0</v>
      </c>
      <c r="AA101" s="63">
        <f t="shared" si="16"/>
        <v>0</v>
      </c>
      <c r="AB101" s="61">
        <v>9</v>
      </c>
      <c r="AC101" s="61">
        <v>4</v>
      </c>
      <c r="AD101" s="63">
        <f t="shared" si="17"/>
        <v>0.44444444444444442</v>
      </c>
      <c r="AE101" s="61">
        <v>1</v>
      </c>
      <c r="AF101" s="61">
        <v>1</v>
      </c>
      <c r="AG101" s="63">
        <f t="shared" si="18"/>
        <v>1</v>
      </c>
      <c r="AH101" s="61">
        <v>52.564838206553404</v>
      </c>
      <c r="AI101" s="61">
        <v>17</v>
      </c>
      <c r="AJ101" s="63">
        <f t="shared" si="19"/>
        <v>0.32341010797367131</v>
      </c>
      <c r="AK101" s="61">
        <v>2.3879727217638953</v>
      </c>
      <c r="AL101" s="61">
        <v>2</v>
      </c>
      <c r="AM101" s="63">
        <f t="shared" si="20"/>
        <v>0.83753050517372907</v>
      </c>
      <c r="AN101" s="61">
        <v>2.1637635230807177</v>
      </c>
      <c r="AO101" s="61">
        <v>0</v>
      </c>
      <c r="AP101" s="63">
        <f t="shared" si="21"/>
        <v>0</v>
      </c>
      <c r="AQ101" s="61">
        <v>7.1688469621756399</v>
      </c>
      <c r="AR101" s="61">
        <v>2</v>
      </c>
      <c r="AS101" s="63">
        <f t="shared" si="22"/>
        <v>0.27898489262672577</v>
      </c>
      <c r="AT101" s="61">
        <v>15</v>
      </c>
      <c r="AU101" s="61">
        <v>17</v>
      </c>
      <c r="AV101" s="63">
        <f t="shared" si="23"/>
        <v>1.1333333333333333</v>
      </c>
      <c r="AW101" s="61">
        <v>1.172543258603767</v>
      </c>
      <c r="AX101" s="61">
        <v>0</v>
      </c>
      <c r="AY101" s="63">
        <f t="shared" si="24"/>
        <v>0</v>
      </c>
      <c r="AZ101" s="61">
        <v>4</v>
      </c>
      <c r="BA101" s="61">
        <v>0</v>
      </c>
      <c r="BB101" s="63">
        <f t="shared" si="25"/>
        <v>0</v>
      </c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</row>
    <row r="102" spans="1:87" x14ac:dyDescent="0.25">
      <c r="A102" s="128">
        <v>19499</v>
      </c>
      <c r="B102" s="128">
        <v>8667</v>
      </c>
      <c r="C102" s="128">
        <v>1051279097</v>
      </c>
      <c r="D102" s="128" t="s">
        <v>667</v>
      </c>
      <c r="E102" s="128" t="s">
        <v>546</v>
      </c>
      <c r="F102" s="128" t="s">
        <v>546</v>
      </c>
      <c r="G102" s="128" t="s">
        <v>197</v>
      </c>
      <c r="H102" s="128" t="s">
        <v>197</v>
      </c>
      <c r="I102" s="128" t="s">
        <v>1218</v>
      </c>
      <c r="J102" s="128" t="s">
        <v>112</v>
      </c>
      <c r="K102" s="128" t="s">
        <v>665</v>
      </c>
      <c r="L102" s="128">
        <v>73006</v>
      </c>
      <c r="M102" s="128" t="s">
        <v>1146</v>
      </c>
      <c r="N102" s="128">
        <v>5</v>
      </c>
      <c r="O102" s="156">
        <v>0.1</v>
      </c>
      <c r="P102" s="157">
        <v>42492</v>
      </c>
      <c r="Q102" s="61">
        <v>12085.220000000001</v>
      </c>
      <c r="R102" s="63">
        <f t="shared" si="13"/>
        <v>0.28441165395839219</v>
      </c>
      <c r="S102" s="61">
        <v>6390</v>
      </c>
      <c r="T102" s="61">
        <v>0</v>
      </c>
      <c r="U102" s="63">
        <f t="shared" si="14"/>
        <v>0</v>
      </c>
      <c r="V102" s="61">
        <v>12463.631187022018</v>
      </c>
      <c r="W102" s="61">
        <v>3320.43</v>
      </c>
      <c r="X102" s="63">
        <f t="shared" si="15"/>
        <v>0.26640951984020977</v>
      </c>
      <c r="Y102" s="61">
        <v>674</v>
      </c>
      <c r="Z102" s="102">
        <v>0</v>
      </c>
      <c r="AA102" s="63">
        <f t="shared" si="16"/>
        <v>0</v>
      </c>
      <c r="AB102" s="61">
        <v>10</v>
      </c>
      <c r="AC102" s="61">
        <v>11</v>
      </c>
      <c r="AD102" s="63">
        <f t="shared" si="17"/>
        <v>1.1000000000000001</v>
      </c>
      <c r="AE102" s="61">
        <v>1</v>
      </c>
      <c r="AF102" s="61">
        <v>0</v>
      </c>
      <c r="AG102" s="63">
        <f t="shared" si="18"/>
        <v>0</v>
      </c>
      <c r="AH102" s="61">
        <v>57.531364222442129</v>
      </c>
      <c r="AI102" s="61">
        <v>17</v>
      </c>
      <c r="AJ102" s="63">
        <f t="shared" si="19"/>
        <v>0.29549099399538581</v>
      </c>
      <c r="AK102" s="61">
        <v>2.3879727217638953</v>
      </c>
      <c r="AL102" s="61">
        <v>0</v>
      </c>
      <c r="AM102" s="63">
        <f t="shared" si="20"/>
        <v>0</v>
      </c>
      <c r="AN102" s="61">
        <v>2.1637635230807177</v>
      </c>
      <c r="AO102" s="61">
        <v>1</v>
      </c>
      <c r="AP102" s="63">
        <f t="shared" si="21"/>
        <v>0.46215771239928405</v>
      </c>
      <c r="AQ102" s="61">
        <v>1.79221174054391</v>
      </c>
      <c r="AR102" s="61">
        <v>3</v>
      </c>
      <c r="AS102" s="63">
        <f t="shared" si="22"/>
        <v>1.6739093557603546</v>
      </c>
      <c r="AT102" s="61">
        <v>6</v>
      </c>
      <c r="AU102" s="61">
        <v>5</v>
      </c>
      <c r="AV102" s="63">
        <f t="shared" si="23"/>
        <v>0.83333333333333337</v>
      </c>
      <c r="AW102" s="61">
        <v>1.2436029389125216</v>
      </c>
      <c r="AX102" s="61">
        <v>0</v>
      </c>
      <c r="AY102" s="63">
        <f t="shared" si="24"/>
        <v>0</v>
      </c>
      <c r="AZ102" s="61">
        <v>4</v>
      </c>
      <c r="BA102" s="61">
        <v>0</v>
      </c>
      <c r="BB102" s="63">
        <f t="shared" si="25"/>
        <v>0</v>
      </c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</row>
    <row r="103" spans="1:87" x14ac:dyDescent="0.25">
      <c r="A103" s="128">
        <v>19532</v>
      </c>
      <c r="B103" s="128">
        <v>8667</v>
      </c>
      <c r="C103" s="128">
        <v>1012390231</v>
      </c>
      <c r="D103" s="128" t="s">
        <v>668</v>
      </c>
      <c r="E103" s="128" t="s">
        <v>546</v>
      </c>
      <c r="F103" s="128" t="s">
        <v>546</v>
      </c>
      <c r="G103" s="128" t="s">
        <v>525</v>
      </c>
      <c r="H103" s="128" t="s">
        <v>525</v>
      </c>
      <c r="I103" s="128" t="s">
        <v>1218</v>
      </c>
      <c r="J103" s="128" t="s">
        <v>112</v>
      </c>
      <c r="K103" s="128" t="s">
        <v>665</v>
      </c>
      <c r="L103" s="128">
        <v>73006</v>
      </c>
      <c r="M103" s="128" t="s">
        <v>1146</v>
      </c>
      <c r="N103" s="128">
        <v>10</v>
      </c>
      <c r="O103" s="156">
        <v>0.3</v>
      </c>
      <c r="P103" s="157">
        <v>38851</v>
      </c>
      <c r="Q103" s="61">
        <v>28025.239999999998</v>
      </c>
      <c r="R103" s="63">
        <f t="shared" si="13"/>
        <v>0.72135183135569225</v>
      </c>
      <c r="S103" s="61">
        <v>3805</v>
      </c>
      <c r="T103" s="61">
        <v>0</v>
      </c>
      <c r="U103" s="63">
        <f t="shared" si="14"/>
        <v>0</v>
      </c>
      <c r="V103" s="61">
        <v>9352.6538983651644</v>
      </c>
      <c r="W103" s="61">
        <v>5838.25</v>
      </c>
      <c r="X103" s="63">
        <f t="shared" si="15"/>
        <v>0.62423458233823037</v>
      </c>
      <c r="Y103" s="61">
        <v>654</v>
      </c>
      <c r="Z103" s="102">
        <v>0</v>
      </c>
      <c r="AA103" s="63">
        <f t="shared" si="16"/>
        <v>0</v>
      </c>
      <c r="AB103" s="61">
        <v>8</v>
      </c>
      <c r="AC103" s="61">
        <v>11</v>
      </c>
      <c r="AD103" s="63">
        <f t="shared" si="17"/>
        <v>1.375</v>
      </c>
      <c r="AE103" s="61">
        <v>1</v>
      </c>
      <c r="AF103" s="61">
        <v>0</v>
      </c>
      <c r="AG103" s="63">
        <f t="shared" si="18"/>
        <v>0</v>
      </c>
      <c r="AH103" s="61">
        <v>46.631786174775954</v>
      </c>
      <c r="AI103" s="61">
        <v>13</v>
      </c>
      <c r="AJ103" s="63">
        <f t="shared" si="19"/>
        <v>0.27877979949719262</v>
      </c>
      <c r="AK103" s="61">
        <v>1.5919818145092635</v>
      </c>
      <c r="AL103" s="61">
        <v>0</v>
      </c>
      <c r="AM103" s="63">
        <f t="shared" si="20"/>
        <v>0</v>
      </c>
      <c r="AN103" s="61">
        <v>2.1637635230807177</v>
      </c>
      <c r="AO103" s="61">
        <v>0</v>
      </c>
      <c r="AP103" s="63">
        <f t="shared" si="21"/>
        <v>0</v>
      </c>
      <c r="AQ103" s="61">
        <v>1.79221174054391</v>
      </c>
      <c r="AR103" s="61">
        <v>2</v>
      </c>
      <c r="AS103" s="63">
        <f t="shared" si="22"/>
        <v>1.1159395705069031</v>
      </c>
      <c r="AT103" s="61">
        <v>6</v>
      </c>
      <c r="AU103" s="61">
        <v>10</v>
      </c>
      <c r="AV103" s="63">
        <f t="shared" si="23"/>
        <v>1.6666666666666667</v>
      </c>
      <c r="AW103" s="61">
        <v>1.1370426852040474</v>
      </c>
      <c r="AX103" s="61">
        <v>0</v>
      </c>
      <c r="AY103" s="63">
        <f t="shared" si="24"/>
        <v>0</v>
      </c>
      <c r="AZ103" s="61">
        <v>3</v>
      </c>
      <c r="BA103" s="61">
        <v>1</v>
      </c>
      <c r="BB103" s="63">
        <f t="shared" si="25"/>
        <v>0.33333333333333331</v>
      </c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</row>
    <row r="104" spans="1:87" x14ac:dyDescent="0.25">
      <c r="A104" s="128">
        <v>9810</v>
      </c>
      <c r="B104" s="128">
        <v>19282</v>
      </c>
      <c r="C104" s="128">
        <v>1074854801</v>
      </c>
      <c r="D104" s="128" t="s">
        <v>713</v>
      </c>
      <c r="E104" s="128" t="s">
        <v>541</v>
      </c>
      <c r="F104" s="128" t="s">
        <v>541</v>
      </c>
      <c r="G104" s="128" t="s">
        <v>472</v>
      </c>
      <c r="H104" s="128" t="s">
        <v>473</v>
      </c>
      <c r="I104" s="128" t="s">
        <v>1218</v>
      </c>
      <c r="J104" s="128" t="s">
        <v>112</v>
      </c>
      <c r="K104" s="128" t="s">
        <v>164</v>
      </c>
      <c r="L104" s="128">
        <v>73037</v>
      </c>
      <c r="M104" s="128"/>
      <c r="N104" s="128"/>
      <c r="O104" s="156"/>
      <c r="P104" s="157">
        <v>653734</v>
      </c>
      <c r="Q104" s="61">
        <v>0</v>
      </c>
      <c r="R104" s="63">
        <f t="shared" si="13"/>
        <v>0</v>
      </c>
      <c r="S104" s="61">
        <v>87079</v>
      </c>
      <c r="T104" s="61">
        <v>0</v>
      </c>
      <c r="U104" s="63">
        <f t="shared" si="14"/>
        <v>0</v>
      </c>
      <c r="V104" s="61">
        <v>176067.7665609789</v>
      </c>
      <c r="W104" s="61">
        <v>0</v>
      </c>
      <c r="X104" s="63">
        <f t="shared" si="15"/>
        <v>0</v>
      </c>
      <c r="Y104" s="61">
        <v>11107</v>
      </c>
      <c r="Z104" s="102">
        <v>0</v>
      </c>
      <c r="AA104" s="63">
        <f t="shared" si="16"/>
        <v>0</v>
      </c>
      <c r="AB104" s="61">
        <v>152</v>
      </c>
      <c r="AC104" s="61">
        <v>2</v>
      </c>
      <c r="AD104" s="63">
        <f t="shared" si="17"/>
        <v>1.3157894736842105E-2</v>
      </c>
      <c r="AE104" s="61">
        <v>18</v>
      </c>
      <c r="AF104" s="61">
        <v>1</v>
      </c>
      <c r="AG104" s="63">
        <f t="shared" si="18"/>
        <v>5.5555555555555552E-2</v>
      </c>
      <c r="AH104" s="61">
        <v>834.17130724129959</v>
      </c>
      <c r="AI104" s="61">
        <v>2</v>
      </c>
      <c r="AJ104" s="63">
        <f t="shared" si="19"/>
        <v>2.397589059511325E-3</v>
      </c>
      <c r="AK104" s="61">
        <v>35.81959082645843</v>
      </c>
      <c r="AL104" s="61">
        <v>0</v>
      </c>
      <c r="AM104" s="63">
        <f t="shared" si="20"/>
        <v>0</v>
      </c>
      <c r="AN104" s="61">
        <v>32.456452846210766</v>
      </c>
      <c r="AO104" s="61">
        <v>0</v>
      </c>
      <c r="AP104" s="63">
        <f t="shared" si="21"/>
        <v>0</v>
      </c>
      <c r="AQ104" s="61">
        <v>62.727410919036849</v>
      </c>
      <c r="AR104" s="61">
        <v>0</v>
      </c>
      <c r="AS104" s="63">
        <f t="shared" si="22"/>
        <v>0</v>
      </c>
      <c r="AT104" s="61">
        <v>45</v>
      </c>
      <c r="AU104" s="61">
        <v>0</v>
      </c>
      <c r="AV104" s="63">
        <f t="shared" si="23"/>
        <v>0</v>
      </c>
      <c r="AW104" s="61">
        <v>19.132672589358901</v>
      </c>
      <c r="AX104" s="61">
        <v>0</v>
      </c>
      <c r="AY104" s="63">
        <f t="shared" si="24"/>
        <v>0</v>
      </c>
      <c r="AZ104" s="61">
        <v>62</v>
      </c>
      <c r="BA104" s="61">
        <v>0</v>
      </c>
      <c r="BB104" s="63">
        <f t="shared" si="25"/>
        <v>0</v>
      </c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</row>
    <row r="105" spans="1:87" x14ac:dyDescent="0.25">
      <c r="A105" s="128">
        <v>4776</v>
      </c>
      <c r="B105" s="128">
        <v>9810</v>
      </c>
      <c r="C105" s="128">
        <v>1031560806</v>
      </c>
      <c r="D105" s="128" t="s">
        <v>720</v>
      </c>
      <c r="E105" s="128" t="s">
        <v>544</v>
      </c>
      <c r="F105" s="128" t="s">
        <v>544</v>
      </c>
      <c r="G105" s="158" t="s">
        <v>249</v>
      </c>
      <c r="H105" s="158" t="s">
        <v>250</v>
      </c>
      <c r="I105" s="128" t="s">
        <v>1218</v>
      </c>
      <c r="J105" s="128" t="s">
        <v>112</v>
      </c>
      <c r="K105" s="128" t="s">
        <v>164</v>
      </c>
      <c r="L105" s="128">
        <v>73037</v>
      </c>
      <c r="M105" s="128"/>
      <c r="N105" s="128"/>
      <c r="O105" s="156"/>
      <c r="P105" s="157">
        <v>287945</v>
      </c>
      <c r="Q105" s="61">
        <v>0</v>
      </c>
      <c r="R105" s="63">
        <f t="shared" si="13"/>
        <v>0</v>
      </c>
      <c r="S105" s="61">
        <v>41289</v>
      </c>
      <c r="T105" s="61">
        <v>0</v>
      </c>
      <c r="U105" s="63">
        <f t="shared" si="14"/>
        <v>0</v>
      </c>
      <c r="V105" s="61">
        <v>80834.716730267755</v>
      </c>
      <c r="W105" s="61">
        <v>251.3</v>
      </c>
      <c r="X105" s="63">
        <f t="shared" si="15"/>
        <v>3.1088127745724286E-3</v>
      </c>
      <c r="Y105" s="61">
        <v>6109</v>
      </c>
      <c r="Z105" s="102">
        <v>0</v>
      </c>
      <c r="AA105" s="63">
        <f t="shared" si="16"/>
        <v>0</v>
      </c>
      <c r="AB105" s="61">
        <v>72</v>
      </c>
      <c r="AC105" s="61">
        <v>0</v>
      </c>
      <c r="AD105" s="63">
        <f t="shared" si="17"/>
        <v>0</v>
      </c>
      <c r="AE105" s="61">
        <v>9</v>
      </c>
      <c r="AF105" s="61">
        <v>0</v>
      </c>
      <c r="AG105" s="63">
        <f t="shared" si="18"/>
        <v>0</v>
      </c>
      <c r="AH105" s="61">
        <v>404.68607557298361</v>
      </c>
      <c r="AI105" s="61">
        <v>1</v>
      </c>
      <c r="AJ105" s="63">
        <f t="shared" si="19"/>
        <v>2.4710511686969415E-3</v>
      </c>
      <c r="AK105" s="61">
        <v>17.511799959601898</v>
      </c>
      <c r="AL105" s="61">
        <v>0</v>
      </c>
      <c r="AM105" s="63">
        <f t="shared" si="20"/>
        <v>0</v>
      </c>
      <c r="AN105" s="61">
        <v>15.867599169258597</v>
      </c>
      <c r="AO105" s="61">
        <v>0</v>
      </c>
      <c r="AP105" s="63">
        <f t="shared" si="21"/>
        <v>0</v>
      </c>
      <c r="AQ105" s="61">
        <v>28.67538784870256</v>
      </c>
      <c r="AR105" s="61">
        <v>0</v>
      </c>
      <c r="AS105" s="63">
        <f t="shared" si="22"/>
        <v>0</v>
      </c>
      <c r="AT105" s="61">
        <v>22</v>
      </c>
      <c r="AU105" s="61">
        <v>0</v>
      </c>
      <c r="AV105" s="63">
        <f t="shared" si="23"/>
        <v>0</v>
      </c>
      <c r="AW105" s="61">
        <v>8.4272156698947107</v>
      </c>
      <c r="AX105" s="61">
        <v>0</v>
      </c>
      <c r="AY105" s="63">
        <f t="shared" si="24"/>
        <v>0</v>
      </c>
      <c r="AZ105" s="61">
        <v>30</v>
      </c>
      <c r="BA105" s="61">
        <v>0</v>
      </c>
      <c r="BB105" s="63">
        <f t="shared" si="25"/>
        <v>0</v>
      </c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</row>
    <row r="106" spans="1:87" x14ac:dyDescent="0.25">
      <c r="A106" s="207">
        <v>22174</v>
      </c>
      <c r="B106" s="207">
        <v>4776</v>
      </c>
      <c r="C106" s="207">
        <v>1012499917</v>
      </c>
      <c r="D106" s="207" t="s">
        <v>671</v>
      </c>
      <c r="E106" s="207" t="s">
        <v>546</v>
      </c>
      <c r="F106" s="207" t="s">
        <v>546</v>
      </c>
      <c r="G106" s="207" t="s">
        <v>174</v>
      </c>
      <c r="H106" s="207" t="s">
        <v>174</v>
      </c>
      <c r="I106" s="207" t="s">
        <v>1218</v>
      </c>
      <c r="J106" s="207" t="s">
        <v>112</v>
      </c>
      <c r="K106" s="207" t="s">
        <v>164</v>
      </c>
      <c r="L106" s="207">
        <v>73037</v>
      </c>
      <c r="M106" s="207"/>
      <c r="N106" s="207"/>
      <c r="O106" s="229"/>
      <c r="P106" s="230">
        <v>69282</v>
      </c>
      <c r="Q106" s="61">
        <v>61113.060000000005</v>
      </c>
      <c r="R106" s="63">
        <f t="shared" si="13"/>
        <v>0.88209145232527941</v>
      </c>
      <c r="S106" s="61">
        <v>9542</v>
      </c>
      <c r="T106" s="61">
        <v>0</v>
      </c>
      <c r="U106" s="63">
        <f t="shared" si="14"/>
        <v>0</v>
      </c>
      <c r="V106" s="61">
        <v>18420.286582031051</v>
      </c>
      <c r="W106" s="61">
        <v>18428.71</v>
      </c>
      <c r="X106" s="63">
        <f t="shared" si="15"/>
        <v>1.0004572902778377</v>
      </c>
      <c r="Y106" s="61">
        <v>1999</v>
      </c>
      <c r="Z106" s="102">
        <v>1053</v>
      </c>
      <c r="AA106" s="63">
        <f t="shared" si="16"/>
        <v>0.52676338169084547</v>
      </c>
      <c r="AB106" s="61">
        <v>17</v>
      </c>
      <c r="AC106" s="61">
        <v>8</v>
      </c>
      <c r="AD106" s="63">
        <f t="shared" si="17"/>
        <v>0.47058823529411764</v>
      </c>
      <c r="AE106" s="61">
        <v>2</v>
      </c>
      <c r="AF106" s="61">
        <v>4</v>
      </c>
      <c r="AG106" s="63">
        <f t="shared" si="18"/>
        <v>2</v>
      </c>
      <c r="AH106" s="61">
        <v>94.230098365440639</v>
      </c>
      <c r="AI106" s="61">
        <v>42</v>
      </c>
      <c r="AJ106" s="63">
        <f t="shared" si="19"/>
        <v>0.4457174589494402</v>
      </c>
      <c r="AK106" s="61">
        <v>3.9799545362731585</v>
      </c>
      <c r="AL106" s="61">
        <v>1</v>
      </c>
      <c r="AM106" s="63">
        <f t="shared" si="20"/>
        <v>0.25125915155211875</v>
      </c>
      <c r="AN106" s="61">
        <v>3.6062725384678629</v>
      </c>
      <c r="AO106" s="61">
        <v>0</v>
      </c>
      <c r="AP106" s="63">
        <f t="shared" si="21"/>
        <v>0</v>
      </c>
      <c r="AQ106" s="61">
        <v>5.3766352216317301</v>
      </c>
      <c r="AR106" s="61">
        <v>4</v>
      </c>
      <c r="AS106" s="63">
        <f t="shared" si="22"/>
        <v>0.74395971367126867</v>
      </c>
      <c r="AT106" s="61">
        <v>4</v>
      </c>
      <c r="AU106" s="61">
        <v>6</v>
      </c>
      <c r="AV106" s="63">
        <f t="shared" si="23"/>
        <v>1.5</v>
      </c>
      <c r="AW106" s="61">
        <v>2.0276592961907491</v>
      </c>
      <c r="AX106" s="61">
        <v>0</v>
      </c>
      <c r="AY106" s="63">
        <f t="shared" si="24"/>
        <v>0</v>
      </c>
      <c r="AZ106" s="61">
        <v>7</v>
      </c>
      <c r="BA106" s="61">
        <v>3</v>
      </c>
      <c r="BB106" s="63">
        <f t="shared" si="25"/>
        <v>0.42857142857142855</v>
      </c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</row>
    <row r="107" spans="1:87" x14ac:dyDescent="0.25">
      <c r="A107" s="128">
        <v>12178</v>
      </c>
      <c r="B107" s="128">
        <v>4776</v>
      </c>
      <c r="C107" s="128">
        <v>1050547494</v>
      </c>
      <c r="D107" s="128" t="s">
        <v>672</v>
      </c>
      <c r="E107" s="128" t="s">
        <v>546</v>
      </c>
      <c r="F107" s="128" t="s">
        <v>546</v>
      </c>
      <c r="G107" s="128" t="s">
        <v>166</v>
      </c>
      <c r="H107" s="128" t="s">
        <v>166</v>
      </c>
      <c r="I107" s="128" t="s">
        <v>1218</v>
      </c>
      <c r="J107" s="128" t="s">
        <v>112</v>
      </c>
      <c r="K107" s="128" t="s">
        <v>164</v>
      </c>
      <c r="L107" s="128">
        <v>73037</v>
      </c>
      <c r="M107" s="128"/>
      <c r="N107" s="128"/>
      <c r="O107" s="156"/>
      <c r="P107" s="157">
        <v>47678</v>
      </c>
      <c r="Q107" s="61">
        <v>70831.33</v>
      </c>
      <c r="R107" s="63">
        <f t="shared" si="13"/>
        <v>1.485618734007299</v>
      </c>
      <c r="S107" s="61">
        <v>8875</v>
      </c>
      <c r="T107" s="61">
        <v>1882.61</v>
      </c>
      <c r="U107" s="63">
        <f t="shared" si="14"/>
        <v>0.2121250704225352</v>
      </c>
      <c r="V107" s="61">
        <v>19402.608994455975</v>
      </c>
      <c r="W107" s="61">
        <v>19395.670000000002</v>
      </c>
      <c r="X107" s="63">
        <f t="shared" si="15"/>
        <v>0.99964236796927897</v>
      </c>
      <c r="Y107" s="61">
        <v>1111</v>
      </c>
      <c r="Z107" s="102">
        <v>0</v>
      </c>
      <c r="AA107" s="63">
        <f t="shared" si="16"/>
        <v>0</v>
      </c>
      <c r="AB107" s="61">
        <v>15</v>
      </c>
      <c r="AC107" s="61">
        <v>12</v>
      </c>
      <c r="AD107" s="63">
        <f t="shared" si="17"/>
        <v>0.8</v>
      </c>
      <c r="AE107" s="61">
        <v>2</v>
      </c>
      <c r="AF107" s="61">
        <v>5</v>
      </c>
      <c r="AG107" s="63">
        <f t="shared" si="18"/>
        <v>2.5</v>
      </c>
      <c r="AH107" s="61">
        <v>94.230098365440639</v>
      </c>
      <c r="AI107" s="61">
        <v>78</v>
      </c>
      <c r="AJ107" s="63">
        <f t="shared" si="19"/>
        <v>0.82776099519181756</v>
      </c>
      <c r="AK107" s="61">
        <v>3.9799545362731585</v>
      </c>
      <c r="AL107" s="61">
        <v>6</v>
      </c>
      <c r="AM107" s="63">
        <f t="shared" si="20"/>
        <v>1.5075549093127125</v>
      </c>
      <c r="AN107" s="61">
        <v>3.6062725384678629</v>
      </c>
      <c r="AO107" s="61">
        <v>6</v>
      </c>
      <c r="AP107" s="63">
        <f t="shared" si="21"/>
        <v>1.6637677646374227</v>
      </c>
      <c r="AQ107" s="61">
        <v>7.1688469621756399</v>
      </c>
      <c r="AR107" s="61">
        <v>4</v>
      </c>
      <c r="AS107" s="63">
        <f t="shared" si="22"/>
        <v>0.55796978525345153</v>
      </c>
      <c r="AT107" s="61">
        <v>6</v>
      </c>
      <c r="AU107" s="61">
        <v>0</v>
      </c>
      <c r="AV107" s="63">
        <f t="shared" si="23"/>
        <v>0</v>
      </c>
      <c r="AW107" s="61">
        <v>1.3953803285670527</v>
      </c>
      <c r="AX107" s="61">
        <v>0</v>
      </c>
      <c r="AY107" s="63">
        <f t="shared" si="24"/>
        <v>0</v>
      </c>
      <c r="AZ107" s="61">
        <v>7</v>
      </c>
      <c r="BA107" s="61">
        <v>0</v>
      </c>
      <c r="BB107" s="63">
        <f t="shared" si="25"/>
        <v>0</v>
      </c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</row>
    <row r="108" spans="1:87" x14ac:dyDescent="0.25">
      <c r="A108" s="128">
        <v>21218</v>
      </c>
      <c r="B108" s="128">
        <v>4776</v>
      </c>
      <c r="C108" s="128">
        <v>1018303014</v>
      </c>
      <c r="D108" s="128" t="s">
        <v>679</v>
      </c>
      <c r="E108" s="128" t="s">
        <v>546</v>
      </c>
      <c r="F108" s="128" t="s">
        <v>546</v>
      </c>
      <c r="G108" s="128" t="s">
        <v>171</v>
      </c>
      <c r="H108" s="128" t="s">
        <v>171</v>
      </c>
      <c r="I108" s="128" t="s">
        <v>1218</v>
      </c>
      <c r="J108" s="128" t="s">
        <v>112</v>
      </c>
      <c r="K108" s="128" t="s">
        <v>164</v>
      </c>
      <c r="L108" s="128">
        <v>73037</v>
      </c>
      <c r="M108" s="128" t="s">
        <v>1215</v>
      </c>
      <c r="N108" s="128"/>
      <c r="O108" s="156"/>
      <c r="P108" s="157">
        <v>73536</v>
      </c>
      <c r="Q108" s="61">
        <v>92586.12000000001</v>
      </c>
      <c r="R108" s="63">
        <f t="shared" si="13"/>
        <v>1.2590584203655353</v>
      </c>
      <c r="S108" s="61">
        <v>8069</v>
      </c>
      <c r="T108" s="61">
        <v>0</v>
      </c>
      <c r="U108" s="63">
        <f t="shared" si="14"/>
        <v>0</v>
      </c>
      <c r="V108" s="61">
        <v>20237.9536496207</v>
      </c>
      <c r="W108" s="61">
        <v>6655.6500000000005</v>
      </c>
      <c r="X108" s="63">
        <f t="shared" si="15"/>
        <v>0.32886971258206932</v>
      </c>
      <c r="Y108" s="61">
        <v>1222</v>
      </c>
      <c r="Z108" s="102">
        <v>0</v>
      </c>
      <c r="AA108" s="63">
        <f t="shared" si="16"/>
        <v>0</v>
      </c>
      <c r="AB108" s="61">
        <v>19</v>
      </c>
      <c r="AC108" s="61">
        <v>6</v>
      </c>
      <c r="AD108" s="63">
        <f t="shared" si="17"/>
        <v>0.31578947368421051</v>
      </c>
      <c r="AE108" s="61">
        <v>2</v>
      </c>
      <c r="AF108" s="61">
        <v>0</v>
      </c>
      <c r="AG108" s="63">
        <f t="shared" si="18"/>
        <v>0</v>
      </c>
      <c r="AH108" s="61">
        <v>94.230098365440639</v>
      </c>
      <c r="AI108" s="61">
        <v>60</v>
      </c>
      <c r="AJ108" s="63">
        <f t="shared" si="19"/>
        <v>0.6367392270706288</v>
      </c>
      <c r="AK108" s="61">
        <v>3.9799545362731585</v>
      </c>
      <c r="AL108" s="61">
        <v>4</v>
      </c>
      <c r="AM108" s="63">
        <f t="shared" si="20"/>
        <v>1.005036606208475</v>
      </c>
      <c r="AN108" s="61">
        <v>3.6062725384678629</v>
      </c>
      <c r="AO108" s="61">
        <v>2</v>
      </c>
      <c r="AP108" s="63">
        <f t="shared" si="21"/>
        <v>0.5545892548791409</v>
      </c>
      <c r="AQ108" s="61">
        <v>7.1688469621756399</v>
      </c>
      <c r="AR108" s="61">
        <v>0</v>
      </c>
      <c r="AS108" s="63">
        <f t="shared" si="22"/>
        <v>0</v>
      </c>
      <c r="AT108" s="61">
        <v>5</v>
      </c>
      <c r="AU108" s="61">
        <v>2</v>
      </c>
      <c r="AV108" s="63">
        <f t="shared" si="23"/>
        <v>0.4</v>
      </c>
      <c r="AW108" s="61">
        <v>2.1521600705043582</v>
      </c>
      <c r="AX108" s="61">
        <v>0</v>
      </c>
      <c r="AY108" s="63">
        <f t="shared" si="24"/>
        <v>0</v>
      </c>
      <c r="AZ108" s="61">
        <v>7</v>
      </c>
      <c r="BA108" s="61">
        <v>1</v>
      </c>
      <c r="BB108" s="63">
        <f t="shared" si="25"/>
        <v>0.14285714285714285</v>
      </c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</row>
    <row r="109" spans="1:87" x14ac:dyDescent="0.25">
      <c r="A109" s="128">
        <v>6651</v>
      </c>
      <c r="B109" s="128">
        <v>4776</v>
      </c>
      <c r="C109" s="128">
        <v>1075572469</v>
      </c>
      <c r="D109" s="128" t="s">
        <v>677</v>
      </c>
      <c r="E109" s="128" t="s">
        <v>546</v>
      </c>
      <c r="F109" s="128" t="s">
        <v>546</v>
      </c>
      <c r="G109" s="128" t="s">
        <v>169</v>
      </c>
      <c r="H109" s="128" t="s">
        <v>169</v>
      </c>
      <c r="I109" s="128" t="s">
        <v>1218</v>
      </c>
      <c r="J109" s="128" t="s">
        <v>112</v>
      </c>
      <c r="K109" s="128" t="s">
        <v>164</v>
      </c>
      <c r="L109" s="128">
        <v>73037</v>
      </c>
      <c r="M109" s="128" t="s">
        <v>1146</v>
      </c>
      <c r="N109" s="128">
        <v>10</v>
      </c>
      <c r="O109" s="156">
        <v>0.3</v>
      </c>
      <c r="P109" s="157">
        <v>65723</v>
      </c>
      <c r="Q109" s="61">
        <v>34080.01</v>
      </c>
      <c r="R109" s="63">
        <f t="shared" si="13"/>
        <v>0.51854008490178483</v>
      </c>
      <c r="S109" s="61">
        <v>7677</v>
      </c>
      <c r="T109" s="61">
        <v>0</v>
      </c>
      <c r="U109" s="63">
        <f t="shared" si="14"/>
        <v>0</v>
      </c>
      <c r="V109" s="61">
        <v>12999.429887854241</v>
      </c>
      <c r="W109" s="61">
        <v>8284.7900000000009</v>
      </c>
      <c r="X109" s="63">
        <f t="shared" si="15"/>
        <v>0.63731948796775539</v>
      </c>
      <c r="Y109" s="61">
        <v>1000</v>
      </c>
      <c r="Z109" s="102">
        <v>0</v>
      </c>
      <c r="AA109" s="63">
        <f t="shared" si="16"/>
        <v>0</v>
      </c>
      <c r="AB109" s="61">
        <v>13</v>
      </c>
      <c r="AC109" s="61">
        <v>2</v>
      </c>
      <c r="AD109" s="63">
        <f t="shared" si="17"/>
        <v>0.15384615384615385</v>
      </c>
      <c r="AE109" s="61">
        <v>2</v>
      </c>
      <c r="AF109" s="61">
        <v>0</v>
      </c>
      <c r="AG109" s="63">
        <f t="shared" si="18"/>
        <v>0</v>
      </c>
      <c r="AH109" s="61">
        <v>69.430942270108289</v>
      </c>
      <c r="AI109" s="61">
        <v>22</v>
      </c>
      <c r="AJ109" s="63">
        <f t="shared" si="19"/>
        <v>0.31686160781763628</v>
      </c>
      <c r="AK109" s="61">
        <v>3.1839636290185269</v>
      </c>
      <c r="AL109" s="61">
        <v>2</v>
      </c>
      <c r="AM109" s="63">
        <f t="shared" si="20"/>
        <v>0.62814787888029688</v>
      </c>
      <c r="AN109" s="61">
        <v>2.8850180307742903</v>
      </c>
      <c r="AO109" s="61">
        <v>0</v>
      </c>
      <c r="AP109" s="63">
        <f t="shared" si="21"/>
        <v>0</v>
      </c>
      <c r="AQ109" s="61">
        <v>5.3766352216317301</v>
      </c>
      <c r="AR109" s="61">
        <v>1</v>
      </c>
      <c r="AS109" s="63">
        <f t="shared" si="22"/>
        <v>0.18598992841781717</v>
      </c>
      <c r="AT109" s="61">
        <v>4</v>
      </c>
      <c r="AU109" s="61">
        <v>2</v>
      </c>
      <c r="AV109" s="63">
        <f t="shared" si="23"/>
        <v>0.5</v>
      </c>
      <c r="AW109" s="61">
        <v>1.9234989163642018</v>
      </c>
      <c r="AX109" s="61">
        <v>0</v>
      </c>
      <c r="AY109" s="63">
        <f t="shared" si="24"/>
        <v>0</v>
      </c>
      <c r="AZ109" s="61">
        <v>5</v>
      </c>
      <c r="BA109" s="61">
        <v>0</v>
      </c>
      <c r="BB109" s="63">
        <f t="shared" si="25"/>
        <v>0</v>
      </c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</row>
    <row r="110" spans="1:87" x14ac:dyDescent="0.25">
      <c r="A110" s="128">
        <v>1707</v>
      </c>
      <c r="B110" s="128">
        <v>4776</v>
      </c>
      <c r="C110" s="128">
        <v>1039390255</v>
      </c>
      <c r="D110" s="128" t="s">
        <v>675</v>
      </c>
      <c r="E110" s="128" t="s">
        <v>546</v>
      </c>
      <c r="F110" s="128" t="s">
        <v>546</v>
      </c>
      <c r="G110" s="128" t="s">
        <v>460</v>
      </c>
      <c r="H110" s="128" t="s">
        <v>461</v>
      </c>
      <c r="I110" s="128" t="s">
        <v>1218</v>
      </c>
      <c r="J110" s="128" t="s">
        <v>112</v>
      </c>
      <c r="K110" s="128" t="s">
        <v>164</v>
      </c>
      <c r="L110" s="128">
        <v>73037</v>
      </c>
      <c r="M110" s="128" t="s">
        <v>1148</v>
      </c>
      <c r="N110" s="128"/>
      <c r="O110" s="156">
        <v>0.5</v>
      </c>
      <c r="P110" s="157">
        <v>31726</v>
      </c>
      <c r="Q110" s="61">
        <v>9737.39</v>
      </c>
      <c r="R110" s="63">
        <f t="shared" si="13"/>
        <v>0.30692145243648739</v>
      </c>
      <c r="S110" s="61">
        <v>7126</v>
      </c>
      <c r="T110" s="61">
        <v>1129.57</v>
      </c>
      <c r="U110" s="63">
        <f t="shared" si="14"/>
        <v>0.15851389278697725</v>
      </c>
      <c r="V110" s="61">
        <v>9774.4376163057968</v>
      </c>
      <c r="W110" s="61">
        <v>1200</v>
      </c>
      <c r="X110" s="63">
        <f t="shared" si="15"/>
        <v>0.12276921160130483</v>
      </c>
      <c r="Y110" s="61">
        <v>777</v>
      </c>
      <c r="Z110" s="102">
        <v>0</v>
      </c>
      <c r="AA110" s="63">
        <f t="shared" si="16"/>
        <v>0</v>
      </c>
      <c r="AB110" s="61">
        <v>8</v>
      </c>
      <c r="AC110" s="61">
        <v>0</v>
      </c>
      <c r="AD110" s="63">
        <f t="shared" si="17"/>
        <v>0</v>
      </c>
      <c r="AE110" s="61">
        <v>1</v>
      </c>
      <c r="AF110" s="61">
        <v>0</v>
      </c>
      <c r="AG110" s="63">
        <f t="shared" si="18"/>
        <v>0</v>
      </c>
      <c r="AH110" s="61">
        <v>52.564838206553404</v>
      </c>
      <c r="AI110" s="61">
        <v>15</v>
      </c>
      <c r="AJ110" s="63">
        <f t="shared" si="19"/>
        <v>0.28536185997676883</v>
      </c>
      <c r="AK110" s="61">
        <v>2.3879727217638953</v>
      </c>
      <c r="AL110" s="61">
        <v>1</v>
      </c>
      <c r="AM110" s="63">
        <f t="shared" si="20"/>
        <v>0.41876525258686453</v>
      </c>
      <c r="AN110" s="61">
        <v>2.1637635230807177</v>
      </c>
      <c r="AO110" s="61">
        <v>0</v>
      </c>
      <c r="AP110" s="63">
        <f t="shared" si="21"/>
        <v>0</v>
      </c>
      <c r="AQ110" s="61">
        <v>3.5844234810878199</v>
      </c>
      <c r="AR110" s="61">
        <v>0</v>
      </c>
      <c r="AS110" s="63">
        <f t="shared" si="22"/>
        <v>0</v>
      </c>
      <c r="AT110" s="61">
        <v>3</v>
      </c>
      <c r="AU110" s="61">
        <v>2</v>
      </c>
      <c r="AV110" s="63">
        <f t="shared" si="23"/>
        <v>0.66666666666666663</v>
      </c>
      <c r="AW110" s="61">
        <v>0.92851705826834841</v>
      </c>
      <c r="AX110" s="61">
        <v>0</v>
      </c>
      <c r="AY110" s="63">
        <f t="shared" si="24"/>
        <v>0</v>
      </c>
      <c r="AZ110" s="61">
        <v>4</v>
      </c>
      <c r="BA110" s="61">
        <v>0</v>
      </c>
      <c r="BB110" s="63">
        <f t="shared" si="25"/>
        <v>0</v>
      </c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</row>
    <row r="111" spans="1:87" x14ac:dyDescent="0.25">
      <c r="A111" s="123">
        <v>10136</v>
      </c>
      <c r="B111" s="123">
        <v>9810</v>
      </c>
      <c r="C111" s="123">
        <v>1067637023</v>
      </c>
      <c r="D111" s="123" t="s">
        <v>674</v>
      </c>
      <c r="E111" s="123" t="s">
        <v>544</v>
      </c>
      <c r="F111" s="123" t="s">
        <v>544</v>
      </c>
      <c r="G111" s="123" t="s">
        <v>389</v>
      </c>
      <c r="H111" s="123" t="s">
        <v>390</v>
      </c>
      <c r="I111" s="123" t="s">
        <v>1218</v>
      </c>
      <c r="J111" s="123" t="s">
        <v>112</v>
      </c>
      <c r="K111" s="123" t="s">
        <v>164</v>
      </c>
      <c r="L111" s="123">
        <v>73037</v>
      </c>
      <c r="M111" s="123"/>
      <c r="N111" s="123"/>
      <c r="O111" s="154"/>
      <c r="P111" s="155">
        <v>365789</v>
      </c>
      <c r="Q111" s="61">
        <v>0</v>
      </c>
      <c r="R111" s="63">
        <f t="shared" si="13"/>
        <v>0</v>
      </c>
      <c r="S111" s="61">
        <v>45790</v>
      </c>
      <c r="T111" s="61">
        <v>0</v>
      </c>
      <c r="U111" s="63">
        <f t="shared" si="14"/>
        <v>0</v>
      </c>
      <c r="V111" s="61">
        <v>95233.049830711141</v>
      </c>
      <c r="W111" s="61">
        <v>77.39</v>
      </c>
      <c r="X111" s="63">
        <f t="shared" si="15"/>
        <v>8.1263805094523975E-4</v>
      </c>
      <c r="Y111" s="61">
        <v>4998</v>
      </c>
      <c r="Z111" s="102">
        <v>0</v>
      </c>
      <c r="AA111" s="63">
        <f t="shared" si="16"/>
        <v>0</v>
      </c>
      <c r="AB111" s="61">
        <v>80</v>
      </c>
      <c r="AC111" s="61">
        <v>0</v>
      </c>
      <c r="AD111" s="63">
        <f t="shared" si="17"/>
        <v>0</v>
      </c>
      <c r="AE111" s="61">
        <v>9</v>
      </c>
      <c r="AF111" s="61">
        <v>0</v>
      </c>
      <c r="AG111" s="63">
        <f t="shared" si="18"/>
        <v>0</v>
      </c>
      <c r="AH111" s="61">
        <v>429.48523166831592</v>
      </c>
      <c r="AI111" s="61">
        <v>0</v>
      </c>
      <c r="AJ111" s="63">
        <f t="shared" si="19"/>
        <v>0</v>
      </c>
      <c r="AK111" s="61">
        <v>18.307790866856529</v>
      </c>
      <c r="AL111" s="61">
        <v>0</v>
      </c>
      <c r="AM111" s="63">
        <f t="shared" si="20"/>
        <v>0</v>
      </c>
      <c r="AN111" s="61">
        <v>16.588853676952169</v>
      </c>
      <c r="AO111" s="61">
        <v>1</v>
      </c>
      <c r="AP111" s="63">
        <f t="shared" si="21"/>
        <v>6.0281440747732708E-2</v>
      </c>
      <c r="AQ111" s="61">
        <v>34.052023070334286</v>
      </c>
      <c r="AR111" s="61">
        <v>0</v>
      </c>
      <c r="AS111" s="63">
        <f t="shared" si="22"/>
        <v>0</v>
      </c>
      <c r="AT111" s="61">
        <v>23</v>
      </c>
      <c r="AU111" s="61">
        <v>0</v>
      </c>
      <c r="AV111" s="63">
        <f t="shared" si="23"/>
        <v>0</v>
      </c>
      <c r="AW111" s="61">
        <v>10.70545691946419</v>
      </c>
      <c r="AX111" s="61">
        <v>0</v>
      </c>
      <c r="AY111" s="63">
        <f t="shared" si="24"/>
        <v>0</v>
      </c>
      <c r="AZ111" s="61">
        <v>32</v>
      </c>
      <c r="BA111" s="61">
        <v>0</v>
      </c>
      <c r="BB111" s="63">
        <f t="shared" si="25"/>
        <v>0</v>
      </c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</row>
    <row r="112" spans="1:87" x14ac:dyDescent="0.25">
      <c r="A112" s="128">
        <v>10130</v>
      </c>
      <c r="B112" s="128">
        <v>10136</v>
      </c>
      <c r="C112" s="128">
        <v>1074085745</v>
      </c>
      <c r="D112" s="128" t="s">
        <v>676</v>
      </c>
      <c r="E112" s="128" t="s">
        <v>546</v>
      </c>
      <c r="F112" s="128" t="s">
        <v>546</v>
      </c>
      <c r="G112" s="128" t="s">
        <v>172</v>
      </c>
      <c r="H112" s="128" t="s">
        <v>173</v>
      </c>
      <c r="I112" s="128" t="s">
        <v>1218</v>
      </c>
      <c r="J112" s="128" t="s">
        <v>112</v>
      </c>
      <c r="K112" s="128" t="s">
        <v>164</v>
      </c>
      <c r="L112" s="128">
        <v>73037</v>
      </c>
      <c r="M112" s="128"/>
      <c r="N112" s="128"/>
      <c r="O112" s="156"/>
      <c r="P112" s="157">
        <v>95732</v>
      </c>
      <c r="Q112" s="61">
        <v>68669.58</v>
      </c>
      <c r="R112" s="63">
        <f t="shared" si="13"/>
        <v>0.71731061713951449</v>
      </c>
      <c r="S112" s="61">
        <v>10696</v>
      </c>
      <c r="T112" s="61">
        <v>720.87</v>
      </c>
      <c r="U112" s="63">
        <f t="shared" si="14"/>
        <v>6.7396222887060583E-2</v>
      </c>
      <c r="V112" s="61">
        <v>22337.427048964895</v>
      </c>
      <c r="W112" s="61">
        <v>11304.33</v>
      </c>
      <c r="X112" s="63">
        <f t="shared" si="15"/>
        <v>0.50607126663336266</v>
      </c>
      <c r="Y112" s="61">
        <v>1333</v>
      </c>
      <c r="Z112" s="102">
        <v>0</v>
      </c>
      <c r="AA112" s="63">
        <f t="shared" si="16"/>
        <v>0</v>
      </c>
      <c r="AB112" s="61">
        <v>17</v>
      </c>
      <c r="AC112" s="61">
        <v>9</v>
      </c>
      <c r="AD112" s="63">
        <f t="shared" si="17"/>
        <v>0.52941176470588236</v>
      </c>
      <c r="AE112" s="61">
        <v>2</v>
      </c>
      <c r="AF112" s="61">
        <v>0</v>
      </c>
      <c r="AG112" s="63">
        <f t="shared" si="18"/>
        <v>0</v>
      </c>
      <c r="AH112" s="61">
        <v>94.230098365440639</v>
      </c>
      <c r="AI112" s="61">
        <v>58</v>
      </c>
      <c r="AJ112" s="63">
        <f t="shared" si="19"/>
        <v>0.61551458616827459</v>
      </c>
      <c r="AK112" s="61">
        <v>3.9799545362731585</v>
      </c>
      <c r="AL112" s="61">
        <v>0</v>
      </c>
      <c r="AM112" s="63">
        <f t="shared" si="20"/>
        <v>0</v>
      </c>
      <c r="AN112" s="61">
        <v>3.6062725384678629</v>
      </c>
      <c r="AO112" s="61">
        <v>1</v>
      </c>
      <c r="AP112" s="63">
        <f t="shared" si="21"/>
        <v>0.27729462743957045</v>
      </c>
      <c r="AQ112" s="61">
        <v>6.2727410919036846</v>
      </c>
      <c r="AR112" s="61">
        <v>1</v>
      </c>
      <c r="AS112" s="63">
        <f t="shared" si="22"/>
        <v>0.1594199386438433</v>
      </c>
      <c r="AT112" s="61">
        <v>5</v>
      </c>
      <c r="AU112" s="61">
        <v>3</v>
      </c>
      <c r="AV112" s="63">
        <f t="shared" si="23"/>
        <v>0.6</v>
      </c>
      <c r="AW112" s="61">
        <v>2.8017649568853789</v>
      </c>
      <c r="AX112" s="61">
        <v>0</v>
      </c>
      <c r="AY112" s="63">
        <f t="shared" si="24"/>
        <v>0</v>
      </c>
      <c r="AZ112" s="61">
        <v>7</v>
      </c>
      <c r="BA112" s="61">
        <v>1</v>
      </c>
      <c r="BB112" s="63">
        <f t="shared" si="25"/>
        <v>0.14285714285714285</v>
      </c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</row>
    <row r="113" spans="1:87" x14ac:dyDescent="0.25">
      <c r="A113" s="128">
        <v>10815</v>
      </c>
      <c r="B113" s="128">
        <v>10136</v>
      </c>
      <c r="C113" s="128">
        <v>1041158229</v>
      </c>
      <c r="D113" s="128" t="s">
        <v>678</v>
      </c>
      <c r="E113" s="128" t="s">
        <v>546</v>
      </c>
      <c r="F113" s="128" t="s">
        <v>546</v>
      </c>
      <c r="G113" s="128" t="s">
        <v>138</v>
      </c>
      <c r="H113" s="128" t="s">
        <v>139</v>
      </c>
      <c r="I113" s="128" t="s">
        <v>1218</v>
      </c>
      <c r="J113" s="128" t="s">
        <v>112</v>
      </c>
      <c r="K113" s="128" t="s">
        <v>164</v>
      </c>
      <c r="L113" s="128">
        <v>73037</v>
      </c>
      <c r="M113" s="128" t="s">
        <v>1215</v>
      </c>
      <c r="N113" s="128"/>
      <c r="O113" s="156"/>
      <c r="P113" s="157">
        <v>76487</v>
      </c>
      <c r="Q113" s="61">
        <v>22450.440000000002</v>
      </c>
      <c r="R113" s="63">
        <f t="shared" si="13"/>
        <v>0.29351968308339982</v>
      </c>
      <c r="S113" s="61">
        <v>9827</v>
      </c>
      <c r="T113" s="61">
        <v>0</v>
      </c>
      <c r="U113" s="63">
        <f t="shared" si="14"/>
        <v>0</v>
      </c>
      <c r="V113" s="61">
        <v>23708.235184872865</v>
      </c>
      <c r="W113" s="61">
        <v>1960.87</v>
      </c>
      <c r="X113" s="63">
        <f t="shared" si="15"/>
        <v>8.2708391607787868E-2</v>
      </c>
      <c r="Y113" s="61">
        <v>1000</v>
      </c>
      <c r="Z113" s="102">
        <v>0</v>
      </c>
      <c r="AA113" s="63">
        <f t="shared" si="16"/>
        <v>0</v>
      </c>
      <c r="AB113" s="61">
        <v>19</v>
      </c>
      <c r="AC113" s="61">
        <v>0</v>
      </c>
      <c r="AD113" s="63">
        <f t="shared" si="17"/>
        <v>0</v>
      </c>
      <c r="AE113" s="61">
        <v>2</v>
      </c>
      <c r="AF113" s="61">
        <v>0</v>
      </c>
      <c r="AG113" s="63">
        <f t="shared" si="18"/>
        <v>0</v>
      </c>
      <c r="AH113" s="61">
        <v>94.230098365440639</v>
      </c>
      <c r="AI113" s="61">
        <v>32</v>
      </c>
      <c r="AJ113" s="63">
        <f t="shared" si="19"/>
        <v>0.33959425443766872</v>
      </c>
      <c r="AK113" s="61">
        <v>3.9799545362731585</v>
      </c>
      <c r="AL113" s="61">
        <v>0</v>
      </c>
      <c r="AM113" s="63">
        <f t="shared" si="20"/>
        <v>0</v>
      </c>
      <c r="AN113" s="61">
        <v>3.6062725384678629</v>
      </c>
      <c r="AO113" s="61">
        <v>0</v>
      </c>
      <c r="AP113" s="63">
        <f t="shared" si="21"/>
        <v>0</v>
      </c>
      <c r="AQ113" s="61">
        <v>6.2727410919036846</v>
      </c>
      <c r="AR113" s="61">
        <v>0</v>
      </c>
      <c r="AS113" s="63">
        <f t="shared" si="22"/>
        <v>0</v>
      </c>
      <c r="AT113" s="61">
        <v>5</v>
      </c>
      <c r="AU113" s="61">
        <v>1</v>
      </c>
      <c r="AV113" s="63">
        <f t="shared" si="23"/>
        <v>0.2</v>
      </c>
      <c r="AW113" s="61">
        <v>2.2385262634990597</v>
      </c>
      <c r="AX113" s="61">
        <v>0</v>
      </c>
      <c r="AY113" s="63">
        <f t="shared" si="24"/>
        <v>0</v>
      </c>
      <c r="AZ113" s="61">
        <v>7</v>
      </c>
      <c r="BA113" s="61">
        <v>2</v>
      </c>
      <c r="BB113" s="63">
        <f t="shared" si="25"/>
        <v>0.2857142857142857</v>
      </c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</row>
    <row r="114" spans="1:87" x14ac:dyDescent="0.25">
      <c r="A114" s="128">
        <v>20506</v>
      </c>
      <c r="B114" s="128">
        <v>10136</v>
      </c>
      <c r="C114" s="128">
        <v>1065107508</v>
      </c>
      <c r="D114" s="128" t="s">
        <v>670</v>
      </c>
      <c r="E114" s="128" t="s">
        <v>546</v>
      </c>
      <c r="F114" s="128" t="s">
        <v>546</v>
      </c>
      <c r="G114" s="128" t="s">
        <v>170</v>
      </c>
      <c r="H114" s="128" t="s">
        <v>170</v>
      </c>
      <c r="I114" s="128" t="s">
        <v>1218</v>
      </c>
      <c r="J114" s="128" t="s">
        <v>112</v>
      </c>
      <c r="K114" s="128" t="s">
        <v>164</v>
      </c>
      <c r="L114" s="128">
        <v>73037</v>
      </c>
      <c r="M114" s="128"/>
      <c r="N114" s="128"/>
      <c r="O114" s="156"/>
      <c r="P114" s="157">
        <v>68144</v>
      </c>
      <c r="Q114" s="61">
        <v>88655.679999999993</v>
      </c>
      <c r="R114" s="63">
        <f t="shared" si="13"/>
        <v>1.3010049307349143</v>
      </c>
      <c r="S114" s="61">
        <v>8635</v>
      </c>
      <c r="T114" s="61">
        <v>6600</v>
      </c>
      <c r="U114" s="63">
        <f t="shared" si="14"/>
        <v>0.76433121019108285</v>
      </c>
      <c r="V114" s="61">
        <v>17568.616408702575</v>
      </c>
      <c r="W114" s="61">
        <v>4434.34</v>
      </c>
      <c r="X114" s="63">
        <f t="shared" si="15"/>
        <v>0.25240120774698338</v>
      </c>
      <c r="Y114" s="61">
        <v>999</v>
      </c>
      <c r="Z114" s="102">
        <v>0</v>
      </c>
      <c r="AA114" s="63">
        <f t="shared" si="16"/>
        <v>0</v>
      </c>
      <c r="AB114" s="61">
        <v>17</v>
      </c>
      <c r="AC114" s="61">
        <v>6</v>
      </c>
      <c r="AD114" s="63">
        <f t="shared" si="17"/>
        <v>0.35294117647058826</v>
      </c>
      <c r="AE114" s="61">
        <v>2</v>
      </c>
      <c r="AF114" s="61">
        <v>0</v>
      </c>
      <c r="AG114" s="63">
        <f t="shared" si="18"/>
        <v>0</v>
      </c>
      <c r="AH114" s="61">
        <v>94.230098365440639</v>
      </c>
      <c r="AI114" s="61">
        <v>58</v>
      </c>
      <c r="AJ114" s="63">
        <f t="shared" si="19"/>
        <v>0.61551458616827459</v>
      </c>
      <c r="AK114" s="61">
        <v>3.9799545362731585</v>
      </c>
      <c r="AL114" s="61">
        <v>3</v>
      </c>
      <c r="AM114" s="63">
        <f t="shared" si="20"/>
        <v>0.75377745465635626</v>
      </c>
      <c r="AN114" s="61">
        <v>3.6062725384678629</v>
      </c>
      <c r="AO114" s="61">
        <v>0</v>
      </c>
      <c r="AP114" s="63">
        <f t="shared" si="21"/>
        <v>0</v>
      </c>
      <c r="AQ114" s="61">
        <v>6.2727410919036846</v>
      </c>
      <c r="AR114" s="61">
        <v>3</v>
      </c>
      <c r="AS114" s="63">
        <f t="shared" si="22"/>
        <v>0.47825981593152989</v>
      </c>
      <c r="AT114" s="61">
        <v>5</v>
      </c>
      <c r="AU114" s="61">
        <v>0</v>
      </c>
      <c r="AV114" s="63">
        <f t="shared" si="23"/>
        <v>0</v>
      </c>
      <c r="AW114" s="61">
        <v>1.9943537293903528</v>
      </c>
      <c r="AX114" s="61">
        <v>0</v>
      </c>
      <c r="AY114" s="63">
        <f t="shared" si="24"/>
        <v>0</v>
      </c>
      <c r="AZ114" s="61">
        <v>7</v>
      </c>
      <c r="BA114" s="61">
        <v>0</v>
      </c>
      <c r="BB114" s="63">
        <f t="shared" si="25"/>
        <v>0</v>
      </c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</row>
    <row r="115" spans="1:87" x14ac:dyDescent="0.25">
      <c r="A115" s="128">
        <v>3496</v>
      </c>
      <c r="B115" s="128">
        <v>10136</v>
      </c>
      <c r="C115" s="128">
        <v>1061929673</v>
      </c>
      <c r="D115" s="128" t="s">
        <v>681</v>
      </c>
      <c r="E115" s="128" t="s">
        <v>546</v>
      </c>
      <c r="F115" s="128" t="s">
        <v>546</v>
      </c>
      <c r="G115" s="128" t="s">
        <v>381</v>
      </c>
      <c r="H115" s="128" t="s">
        <v>382</v>
      </c>
      <c r="I115" s="128" t="s">
        <v>1218</v>
      </c>
      <c r="J115" s="128" t="s">
        <v>112</v>
      </c>
      <c r="K115" s="128" t="s">
        <v>164</v>
      </c>
      <c r="L115" s="128">
        <v>73037</v>
      </c>
      <c r="M115" s="128" t="s">
        <v>1148</v>
      </c>
      <c r="N115" s="128"/>
      <c r="O115" s="156">
        <v>0.5</v>
      </c>
      <c r="P115" s="157">
        <v>66057</v>
      </c>
      <c r="Q115" s="61">
        <v>51649.590000000004</v>
      </c>
      <c r="R115" s="63">
        <f t="shared" si="13"/>
        <v>0.78189427312775339</v>
      </c>
      <c r="S115" s="61">
        <v>7605</v>
      </c>
      <c r="T115" s="61">
        <v>795.36</v>
      </c>
      <c r="U115" s="63">
        <f t="shared" si="14"/>
        <v>0.10458382642998028</v>
      </c>
      <c r="V115" s="61">
        <v>11753.519271834855</v>
      </c>
      <c r="W115" s="61">
        <v>10605.5</v>
      </c>
      <c r="X115" s="63">
        <f t="shared" si="15"/>
        <v>0.90232548692153236</v>
      </c>
      <c r="Y115" s="61">
        <v>889</v>
      </c>
      <c r="Z115" s="102">
        <v>0</v>
      </c>
      <c r="AA115" s="63">
        <f t="shared" si="16"/>
        <v>0</v>
      </c>
      <c r="AB115" s="61">
        <v>10</v>
      </c>
      <c r="AC115" s="61">
        <v>10</v>
      </c>
      <c r="AD115" s="63">
        <f t="shared" si="17"/>
        <v>1</v>
      </c>
      <c r="AE115" s="61">
        <v>1</v>
      </c>
      <c r="AF115" s="61">
        <v>0</v>
      </c>
      <c r="AG115" s="63">
        <f t="shared" si="18"/>
        <v>0</v>
      </c>
      <c r="AH115" s="61">
        <v>52.564838206553404</v>
      </c>
      <c r="AI115" s="61">
        <v>57</v>
      </c>
      <c r="AJ115" s="63">
        <f t="shared" si="19"/>
        <v>1.0843750679117214</v>
      </c>
      <c r="AK115" s="61">
        <v>2.3879727217638953</v>
      </c>
      <c r="AL115" s="61">
        <v>1</v>
      </c>
      <c r="AM115" s="63">
        <f t="shared" si="20"/>
        <v>0.41876525258686453</v>
      </c>
      <c r="AN115" s="61">
        <v>2.1637635230807177</v>
      </c>
      <c r="AO115" s="61">
        <v>1</v>
      </c>
      <c r="AP115" s="63">
        <f t="shared" si="21"/>
        <v>0.46215771239928405</v>
      </c>
      <c r="AQ115" s="61">
        <v>8.9610587027195496</v>
      </c>
      <c r="AR115" s="61">
        <v>3</v>
      </c>
      <c r="AS115" s="63">
        <f t="shared" si="22"/>
        <v>0.33478187115207092</v>
      </c>
      <c r="AT115" s="61">
        <v>3</v>
      </c>
      <c r="AU115" s="61">
        <v>4</v>
      </c>
      <c r="AV115" s="63">
        <f t="shared" si="23"/>
        <v>1.3333333333333333</v>
      </c>
      <c r="AW115" s="61">
        <v>1.933274012419854</v>
      </c>
      <c r="AX115" s="61">
        <v>0</v>
      </c>
      <c r="AY115" s="63">
        <f t="shared" si="24"/>
        <v>0</v>
      </c>
      <c r="AZ115" s="61">
        <v>4</v>
      </c>
      <c r="BA115" s="61">
        <v>3</v>
      </c>
      <c r="BB115" s="63">
        <f t="shared" si="25"/>
        <v>0.75</v>
      </c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</row>
    <row r="116" spans="1:87" x14ac:dyDescent="0.25">
      <c r="A116" s="213">
        <v>8935</v>
      </c>
      <c r="B116" s="213">
        <v>10136</v>
      </c>
      <c r="C116" s="213">
        <v>1075215317</v>
      </c>
      <c r="D116" s="213" t="s">
        <v>680</v>
      </c>
      <c r="E116" s="213" t="s">
        <v>546</v>
      </c>
      <c r="F116" s="213" t="s">
        <v>546</v>
      </c>
      <c r="G116" s="213" t="s">
        <v>167</v>
      </c>
      <c r="H116" s="213" t="s">
        <v>168</v>
      </c>
      <c r="I116" s="213" t="s">
        <v>1218</v>
      </c>
      <c r="J116" s="213" t="s">
        <v>112</v>
      </c>
      <c r="K116" s="213" t="s">
        <v>164</v>
      </c>
      <c r="L116" s="213">
        <v>73037</v>
      </c>
      <c r="M116" s="213"/>
      <c r="N116" s="213"/>
      <c r="O116" s="231"/>
      <c r="P116" s="232">
        <v>59369</v>
      </c>
      <c r="Q116" s="61">
        <v>72728.709999999992</v>
      </c>
      <c r="R116" s="63">
        <f t="shared" si="13"/>
        <v>1.2250283818154255</v>
      </c>
      <c r="S116" s="61">
        <v>9027</v>
      </c>
      <c r="T116" s="61">
        <v>7562.6100000000006</v>
      </c>
      <c r="U116" s="63">
        <f t="shared" si="14"/>
        <v>0.83777666999002998</v>
      </c>
      <c r="V116" s="61">
        <v>19865.251916335943</v>
      </c>
      <c r="W116" s="61">
        <v>20944.820000000003</v>
      </c>
      <c r="X116" s="63">
        <f t="shared" si="15"/>
        <v>1.054344545350381</v>
      </c>
      <c r="Y116" s="61">
        <v>777</v>
      </c>
      <c r="Z116" s="102">
        <v>0</v>
      </c>
      <c r="AA116" s="63">
        <f t="shared" si="16"/>
        <v>0</v>
      </c>
      <c r="AB116" s="61">
        <v>17</v>
      </c>
      <c r="AC116" s="61">
        <v>14</v>
      </c>
      <c r="AD116" s="63">
        <f t="shared" si="17"/>
        <v>0.82352941176470584</v>
      </c>
      <c r="AE116" s="61">
        <v>2</v>
      </c>
      <c r="AF116" s="61">
        <v>1</v>
      </c>
      <c r="AG116" s="63">
        <f t="shared" si="18"/>
        <v>0.5</v>
      </c>
      <c r="AH116" s="61">
        <v>94.230098365440639</v>
      </c>
      <c r="AI116" s="61">
        <v>80</v>
      </c>
      <c r="AJ116" s="63">
        <f t="shared" si="19"/>
        <v>0.84898563609417177</v>
      </c>
      <c r="AK116" s="61">
        <v>3.9799545362731585</v>
      </c>
      <c r="AL116" s="61">
        <v>6</v>
      </c>
      <c r="AM116" s="63">
        <f t="shared" si="20"/>
        <v>1.5075549093127125</v>
      </c>
      <c r="AN116" s="61">
        <v>3.6062725384678629</v>
      </c>
      <c r="AO116" s="61">
        <v>0</v>
      </c>
      <c r="AP116" s="63">
        <f t="shared" si="21"/>
        <v>0</v>
      </c>
      <c r="AQ116" s="61">
        <v>6.2727410919036846</v>
      </c>
      <c r="AR116" s="61">
        <v>4</v>
      </c>
      <c r="AS116" s="63">
        <f t="shared" si="22"/>
        <v>0.63767975457537318</v>
      </c>
      <c r="AT116" s="61">
        <v>5</v>
      </c>
      <c r="AU116" s="61">
        <v>3</v>
      </c>
      <c r="AV116" s="63">
        <f t="shared" si="23"/>
        <v>0.6</v>
      </c>
      <c r="AW116" s="61">
        <v>1.7375379572695446</v>
      </c>
      <c r="AX116" s="61">
        <v>0</v>
      </c>
      <c r="AY116" s="63">
        <f t="shared" si="24"/>
        <v>0</v>
      </c>
      <c r="AZ116" s="61">
        <v>7</v>
      </c>
      <c r="BA116" s="61">
        <v>1</v>
      </c>
      <c r="BB116" s="63">
        <f t="shared" si="25"/>
        <v>0.14285714285714285</v>
      </c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</row>
    <row r="117" spans="1:87" x14ac:dyDescent="0.25">
      <c r="A117" s="128">
        <v>19284</v>
      </c>
      <c r="B117" s="128">
        <v>19282</v>
      </c>
      <c r="C117" s="128">
        <v>1013351620</v>
      </c>
      <c r="D117" s="128" t="s">
        <v>682</v>
      </c>
      <c r="E117" s="128" t="s">
        <v>541</v>
      </c>
      <c r="F117" s="128" t="s">
        <v>541</v>
      </c>
      <c r="G117" s="128" t="s">
        <v>175</v>
      </c>
      <c r="H117" s="128" t="s">
        <v>175</v>
      </c>
      <c r="I117" s="128" t="s">
        <v>1218</v>
      </c>
      <c r="J117" s="128" t="s">
        <v>112</v>
      </c>
      <c r="K117" s="128" t="s">
        <v>683</v>
      </c>
      <c r="L117" s="128">
        <v>73038</v>
      </c>
      <c r="M117" s="128"/>
      <c r="N117" s="128"/>
      <c r="O117" s="156"/>
      <c r="P117" s="157">
        <v>653732</v>
      </c>
      <c r="Q117" s="61">
        <v>0</v>
      </c>
      <c r="R117" s="63">
        <f t="shared" si="13"/>
        <v>0</v>
      </c>
      <c r="S117" s="61">
        <v>87078</v>
      </c>
      <c r="T117" s="61">
        <v>0</v>
      </c>
      <c r="U117" s="63">
        <f t="shared" si="14"/>
        <v>0</v>
      </c>
      <c r="V117" s="61">
        <v>176048.96618877442</v>
      </c>
      <c r="W117" s="61">
        <v>0</v>
      </c>
      <c r="X117" s="63">
        <f t="shared" si="15"/>
        <v>0</v>
      </c>
      <c r="Y117" s="61">
        <v>13326</v>
      </c>
      <c r="Z117" s="102">
        <v>0</v>
      </c>
      <c r="AA117" s="63">
        <f t="shared" si="16"/>
        <v>0</v>
      </c>
      <c r="AB117" s="61">
        <v>149</v>
      </c>
      <c r="AC117" s="61">
        <v>0</v>
      </c>
      <c r="AD117" s="63">
        <f t="shared" si="17"/>
        <v>0</v>
      </c>
      <c r="AE117" s="61">
        <v>24</v>
      </c>
      <c r="AF117" s="61">
        <v>0</v>
      </c>
      <c r="AG117" s="63">
        <f t="shared" si="18"/>
        <v>0</v>
      </c>
      <c r="AH117" s="61">
        <v>837.30520317774472</v>
      </c>
      <c r="AI117" s="61">
        <v>0</v>
      </c>
      <c r="AJ117" s="63">
        <f t="shared" si="19"/>
        <v>0</v>
      </c>
      <c r="AK117" s="61">
        <v>35.023599919203797</v>
      </c>
      <c r="AL117" s="61">
        <v>0</v>
      </c>
      <c r="AM117" s="63">
        <f t="shared" si="20"/>
        <v>0</v>
      </c>
      <c r="AN117" s="61">
        <v>31.735198338517193</v>
      </c>
      <c r="AO117" s="61">
        <v>0</v>
      </c>
      <c r="AP117" s="63">
        <f t="shared" si="21"/>
        <v>0</v>
      </c>
      <c r="AQ117" s="61">
        <v>60.935199178492937</v>
      </c>
      <c r="AR117" s="61">
        <v>0</v>
      </c>
      <c r="AS117" s="63">
        <f t="shared" si="22"/>
        <v>0</v>
      </c>
      <c r="AT117" s="61">
        <v>44</v>
      </c>
      <c r="AU117" s="61">
        <v>0</v>
      </c>
      <c r="AV117" s="63">
        <f t="shared" si="23"/>
        <v>0</v>
      </c>
      <c r="AW117" s="61">
        <v>19.132614055849587</v>
      </c>
      <c r="AX117" s="61">
        <v>0</v>
      </c>
      <c r="AY117" s="63">
        <f t="shared" si="24"/>
        <v>0</v>
      </c>
      <c r="AZ117" s="61">
        <v>61</v>
      </c>
      <c r="BA117" s="61">
        <v>0</v>
      </c>
      <c r="BB117" s="63">
        <f t="shared" si="25"/>
        <v>0</v>
      </c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</row>
    <row r="118" spans="1:87" x14ac:dyDescent="0.25">
      <c r="A118" s="128">
        <v>21632</v>
      </c>
      <c r="B118" s="128">
        <v>19284</v>
      </c>
      <c r="C118" s="128">
        <v>1009767276</v>
      </c>
      <c r="D118" s="128" t="s">
        <v>684</v>
      </c>
      <c r="E118" s="128" t="s">
        <v>544</v>
      </c>
      <c r="F118" s="128" t="s">
        <v>544</v>
      </c>
      <c r="G118" s="128" t="s">
        <v>177</v>
      </c>
      <c r="H118" s="128" t="s">
        <v>177</v>
      </c>
      <c r="I118" s="128" t="s">
        <v>1218</v>
      </c>
      <c r="J118" s="128" t="s">
        <v>112</v>
      </c>
      <c r="K118" s="128" t="s">
        <v>683</v>
      </c>
      <c r="L118" s="128">
        <v>73038</v>
      </c>
      <c r="M118" s="128"/>
      <c r="N118" s="128"/>
      <c r="O118" s="156"/>
      <c r="P118" s="157">
        <v>326867</v>
      </c>
      <c r="Q118" s="61">
        <v>0</v>
      </c>
      <c r="R118" s="63">
        <f t="shared" si="13"/>
        <v>0</v>
      </c>
      <c r="S118" s="61">
        <v>45167</v>
      </c>
      <c r="T118" s="61">
        <v>0</v>
      </c>
      <c r="U118" s="63">
        <f t="shared" si="14"/>
        <v>0</v>
      </c>
      <c r="V118" s="61">
        <v>88577.81103236707</v>
      </c>
      <c r="W118" s="61">
        <v>0</v>
      </c>
      <c r="X118" s="63">
        <f t="shared" si="15"/>
        <v>0</v>
      </c>
      <c r="Y118" s="61">
        <v>4798</v>
      </c>
      <c r="Z118" s="102">
        <v>0</v>
      </c>
      <c r="AA118" s="63">
        <f t="shared" si="16"/>
        <v>0</v>
      </c>
      <c r="AB118" s="61">
        <v>76</v>
      </c>
      <c r="AC118" s="61">
        <v>0</v>
      </c>
      <c r="AD118" s="63">
        <f t="shared" si="17"/>
        <v>0</v>
      </c>
      <c r="AE118" s="61">
        <v>13</v>
      </c>
      <c r="AF118" s="61">
        <v>0</v>
      </c>
      <c r="AG118" s="63">
        <f t="shared" si="18"/>
        <v>0</v>
      </c>
      <c r="AH118" s="61">
        <v>439.48523166831592</v>
      </c>
      <c r="AI118" s="61">
        <v>1</v>
      </c>
      <c r="AJ118" s="63">
        <f t="shared" si="19"/>
        <v>2.2753893144575798E-3</v>
      </c>
      <c r="AK118" s="61">
        <v>18.307790866856529</v>
      </c>
      <c r="AL118" s="61">
        <v>0</v>
      </c>
      <c r="AM118" s="63">
        <f t="shared" si="20"/>
        <v>0</v>
      </c>
      <c r="AN118" s="61">
        <v>16.588853676952169</v>
      </c>
      <c r="AO118" s="61">
        <v>2</v>
      </c>
      <c r="AP118" s="63">
        <f t="shared" si="21"/>
        <v>0.12056288149546542</v>
      </c>
      <c r="AQ118" s="61">
        <v>32.259811329790381</v>
      </c>
      <c r="AR118" s="61">
        <v>0</v>
      </c>
      <c r="AS118" s="63">
        <f t="shared" si="22"/>
        <v>0</v>
      </c>
      <c r="AT118" s="61">
        <v>23</v>
      </c>
      <c r="AU118" s="61">
        <v>0</v>
      </c>
      <c r="AV118" s="63">
        <f t="shared" si="23"/>
        <v>0</v>
      </c>
      <c r="AW118" s="61">
        <v>9.5663362946794503</v>
      </c>
      <c r="AX118" s="61">
        <v>0</v>
      </c>
      <c r="AY118" s="63">
        <f t="shared" si="24"/>
        <v>0</v>
      </c>
      <c r="AZ118" s="61">
        <v>34</v>
      </c>
      <c r="BA118" s="61">
        <v>0</v>
      </c>
      <c r="BB118" s="63">
        <f t="shared" si="25"/>
        <v>0</v>
      </c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</row>
    <row r="119" spans="1:87" x14ac:dyDescent="0.25">
      <c r="A119" s="128">
        <v>9784</v>
      </c>
      <c r="B119" s="128">
        <v>21632</v>
      </c>
      <c r="C119" s="128">
        <v>1080225111</v>
      </c>
      <c r="D119" s="128" t="s">
        <v>685</v>
      </c>
      <c r="E119" s="128" t="s">
        <v>546</v>
      </c>
      <c r="F119" s="128" t="s">
        <v>546</v>
      </c>
      <c r="G119" s="128" t="s">
        <v>178</v>
      </c>
      <c r="H119" s="128" t="s">
        <v>179</v>
      </c>
      <c r="I119" s="128" t="s">
        <v>1218</v>
      </c>
      <c r="J119" s="128" t="s">
        <v>112</v>
      </c>
      <c r="K119" s="128" t="s">
        <v>683</v>
      </c>
      <c r="L119" s="128">
        <v>73038</v>
      </c>
      <c r="M119" s="128" t="s">
        <v>1215</v>
      </c>
      <c r="N119" s="128"/>
      <c r="O119" s="156"/>
      <c r="P119" s="157">
        <v>78448</v>
      </c>
      <c r="Q119" s="61">
        <v>39568.719999999994</v>
      </c>
      <c r="R119" s="63">
        <f t="shared" si="13"/>
        <v>0.504394248419335</v>
      </c>
      <c r="S119" s="61">
        <v>9524</v>
      </c>
      <c r="T119" s="61">
        <v>1216.52</v>
      </c>
      <c r="U119" s="63">
        <f t="shared" si="14"/>
        <v>0.12773204535909283</v>
      </c>
      <c r="V119" s="61">
        <v>21272.603811018842</v>
      </c>
      <c r="W119" s="61">
        <v>7263.47</v>
      </c>
      <c r="X119" s="63">
        <f t="shared" si="15"/>
        <v>0.34144715261596931</v>
      </c>
      <c r="Y119" s="61">
        <v>933</v>
      </c>
      <c r="Z119" s="102">
        <v>0</v>
      </c>
      <c r="AA119" s="63">
        <f t="shared" si="16"/>
        <v>0</v>
      </c>
      <c r="AB119" s="61">
        <v>17</v>
      </c>
      <c r="AC119" s="61">
        <v>12</v>
      </c>
      <c r="AD119" s="63">
        <f t="shared" si="17"/>
        <v>0.70588235294117652</v>
      </c>
      <c r="AE119" s="61">
        <v>3</v>
      </c>
      <c r="AF119" s="61">
        <v>2</v>
      </c>
      <c r="AG119" s="63">
        <f t="shared" si="18"/>
        <v>0.66666666666666663</v>
      </c>
      <c r="AH119" s="61">
        <v>96.230098365440639</v>
      </c>
      <c r="AI119" s="61">
        <v>23</v>
      </c>
      <c r="AJ119" s="63">
        <f t="shared" si="19"/>
        <v>0.23901045920846786</v>
      </c>
      <c r="AK119" s="61">
        <v>3.9799545362731585</v>
      </c>
      <c r="AL119" s="61">
        <v>1</v>
      </c>
      <c r="AM119" s="63">
        <f t="shared" si="20"/>
        <v>0.25125915155211875</v>
      </c>
      <c r="AN119" s="61">
        <v>3.6062725384678629</v>
      </c>
      <c r="AO119" s="61">
        <v>3</v>
      </c>
      <c r="AP119" s="63">
        <f t="shared" si="21"/>
        <v>0.83188388231871135</v>
      </c>
      <c r="AQ119" s="61">
        <v>7.1688469621756399</v>
      </c>
      <c r="AR119" s="61">
        <v>2</v>
      </c>
      <c r="AS119" s="63">
        <f t="shared" si="22"/>
        <v>0.27898489262672577</v>
      </c>
      <c r="AT119" s="61">
        <v>5</v>
      </c>
      <c r="AU119" s="61">
        <v>3</v>
      </c>
      <c r="AV119" s="63">
        <f t="shared" si="23"/>
        <v>0.6</v>
      </c>
      <c r="AW119" s="61">
        <v>2.2959183693826954</v>
      </c>
      <c r="AX119" s="61">
        <v>0</v>
      </c>
      <c r="AY119" s="63">
        <f t="shared" si="24"/>
        <v>0</v>
      </c>
      <c r="AZ119" s="61">
        <v>7</v>
      </c>
      <c r="BA119" s="61">
        <v>1</v>
      </c>
      <c r="BB119" s="63">
        <f t="shared" si="25"/>
        <v>0.14285714285714285</v>
      </c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</row>
    <row r="120" spans="1:87" x14ac:dyDescent="0.25">
      <c r="A120" s="128">
        <v>7159</v>
      </c>
      <c r="B120" s="128">
        <v>21632</v>
      </c>
      <c r="C120" s="128">
        <v>1075477404</v>
      </c>
      <c r="D120" s="128" t="s">
        <v>686</v>
      </c>
      <c r="E120" s="128" t="s">
        <v>546</v>
      </c>
      <c r="F120" s="128" t="s">
        <v>546</v>
      </c>
      <c r="G120" s="128" t="s">
        <v>119</v>
      </c>
      <c r="H120" s="128" t="s">
        <v>120</v>
      </c>
      <c r="I120" s="128" t="s">
        <v>1218</v>
      </c>
      <c r="J120" s="128" t="s">
        <v>112</v>
      </c>
      <c r="K120" s="128" t="s">
        <v>683</v>
      </c>
      <c r="L120" s="128">
        <v>73038</v>
      </c>
      <c r="M120" s="128" t="s">
        <v>1215</v>
      </c>
      <c r="N120" s="128"/>
      <c r="O120" s="156"/>
      <c r="P120" s="157">
        <v>65373</v>
      </c>
      <c r="Q120" s="61">
        <v>58888.710000000006</v>
      </c>
      <c r="R120" s="63">
        <f t="shared" si="13"/>
        <v>0.90081088522784647</v>
      </c>
      <c r="S120" s="61">
        <v>8248</v>
      </c>
      <c r="T120" s="61">
        <v>0</v>
      </c>
      <c r="U120" s="63">
        <f t="shared" si="14"/>
        <v>0</v>
      </c>
      <c r="V120" s="61">
        <v>20547.797479264293</v>
      </c>
      <c r="W120" s="61">
        <v>5784.78</v>
      </c>
      <c r="X120" s="63">
        <f t="shared" si="15"/>
        <v>0.28152798400109219</v>
      </c>
      <c r="Y120" s="61">
        <v>666</v>
      </c>
      <c r="Z120" s="102">
        <v>458</v>
      </c>
      <c r="AA120" s="63">
        <f t="shared" si="16"/>
        <v>0.68768768768768773</v>
      </c>
      <c r="AB120" s="61">
        <v>17</v>
      </c>
      <c r="AC120" s="61">
        <v>2</v>
      </c>
      <c r="AD120" s="63">
        <f t="shared" si="17"/>
        <v>0.11764705882352941</v>
      </c>
      <c r="AE120" s="61">
        <v>3</v>
      </c>
      <c r="AF120" s="61">
        <v>0</v>
      </c>
      <c r="AG120" s="63">
        <f t="shared" si="18"/>
        <v>0</v>
      </c>
      <c r="AH120" s="61">
        <v>96.230098365440639</v>
      </c>
      <c r="AI120" s="61">
        <v>50</v>
      </c>
      <c r="AJ120" s="63">
        <f t="shared" si="19"/>
        <v>0.51958795480101705</v>
      </c>
      <c r="AK120" s="61">
        <v>3.9799545362731585</v>
      </c>
      <c r="AL120" s="61">
        <v>0</v>
      </c>
      <c r="AM120" s="63">
        <f t="shared" si="20"/>
        <v>0</v>
      </c>
      <c r="AN120" s="61">
        <v>3.6062725384678629</v>
      </c>
      <c r="AO120" s="61">
        <v>4</v>
      </c>
      <c r="AP120" s="63">
        <f t="shared" si="21"/>
        <v>1.1091785097582818</v>
      </c>
      <c r="AQ120" s="61">
        <v>7.1688469621756399</v>
      </c>
      <c r="AR120" s="61">
        <v>2</v>
      </c>
      <c r="AS120" s="63">
        <f t="shared" si="22"/>
        <v>0.27898489262672577</v>
      </c>
      <c r="AT120" s="61">
        <v>5</v>
      </c>
      <c r="AU120" s="61">
        <v>3</v>
      </c>
      <c r="AV120" s="63">
        <f t="shared" si="23"/>
        <v>0.6</v>
      </c>
      <c r="AW120" s="61">
        <v>1.9132555522340269</v>
      </c>
      <c r="AX120" s="61">
        <v>0</v>
      </c>
      <c r="AY120" s="63">
        <f t="shared" si="24"/>
        <v>0</v>
      </c>
      <c r="AZ120" s="61">
        <v>7</v>
      </c>
      <c r="BA120" s="61">
        <v>0</v>
      </c>
      <c r="BB120" s="63">
        <f t="shared" si="25"/>
        <v>0</v>
      </c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</row>
    <row r="121" spans="1:87" x14ac:dyDescent="0.25">
      <c r="A121" s="128">
        <v>12153</v>
      </c>
      <c r="B121" s="128">
        <v>21632</v>
      </c>
      <c r="C121" s="128">
        <v>1023642745</v>
      </c>
      <c r="D121" s="128" t="s">
        <v>687</v>
      </c>
      <c r="E121" s="128" t="s">
        <v>546</v>
      </c>
      <c r="F121" s="128" t="s">
        <v>546</v>
      </c>
      <c r="G121" s="128" t="s">
        <v>181</v>
      </c>
      <c r="H121" s="128" t="s">
        <v>181</v>
      </c>
      <c r="I121" s="128" t="s">
        <v>1218</v>
      </c>
      <c r="J121" s="128" t="s">
        <v>112</v>
      </c>
      <c r="K121" s="128" t="s">
        <v>683</v>
      </c>
      <c r="L121" s="128">
        <v>73038</v>
      </c>
      <c r="M121" s="128"/>
      <c r="N121" s="128"/>
      <c r="O121" s="156"/>
      <c r="P121" s="157">
        <v>58836</v>
      </c>
      <c r="Q121" s="61">
        <v>21850.440000000002</v>
      </c>
      <c r="R121" s="63">
        <f t="shared" si="13"/>
        <v>0.37137874770548646</v>
      </c>
      <c r="S121" s="61">
        <v>12452</v>
      </c>
      <c r="T121" s="61">
        <v>3651.3</v>
      </c>
      <c r="U121" s="63">
        <f t="shared" si="14"/>
        <v>0.29323000321233539</v>
      </c>
      <c r="V121" s="61">
        <v>16343.68306101001</v>
      </c>
      <c r="W121" s="61">
        <v>1392.17</v>
      </c>
      <c r="X121" s="63">
        <f t="shared" si="15"/>
        <v>8.5180922488713909E-2</v>
      </c>
      <c r="Y121" s="61">
        <v>1866</v>
      </c>
      <c r="Z121" s="102">
        <v>519</v>
      </c>
      <c r="AA121" s="63">
        <f t="shared" si="16"/>
        <v>0.27813504823151125</v>
      </c>
      <c r="AB121" s="61">
        <v>12</v>
      </c>
      <c r="AC121" s="61">
        <v>6</v>
      </c>
      <c r="AD121" s="63">
        <f t="shared" si="17"/>
        <v>0.5</v>
      </c>
      <c r="AE121" s="61">
        <v>3</v>
      </c>
      <c r="AF121" s="61">
        <v>0</v>
      </c>
      <c r="AG121" s="63">
        <f t="shared" si="18"/>
        <v>0</v>
      </c>
      <c r="AH121" s="61">
        <v>96.230098365440639</v>
      </c>
      <c r="AI121" s="61">
        <v>37</v>
      </c>
      <c r="AJ121" s="63">
        <f t="shared" si="19"/>
        <v>0.38449508655275266</v>
      </c>
      <c r="AK121" s="61">
        <v>3.9799545362731585</v>
      </c>
      <c r="AL121" s="61">
        <v>1</v>
      </c>
      <c r="AM121" s="63">
        <f t="shared" si="20"/>
        <v>0.25125915155211875</v>
      </c>
      <c r="AN121" s="61">
        <v>3.6062725384678629</v>
      </c>
      <c r="AO121" s="61">
        <v>3</v>
      </c>
      <c r="AP121" s="63">
        <f t="shared" si="21"/>
        <v>0.83188388231871135</v>
      </c>
      <c r="AQ121" s="61">
        <v>7.1688469621756399</v>
      </c>
      <c r="AR121" s="61">
        <v>0</v>
      </c>
      <c r="AS121" s="63">
        <f t="shared" si="22"/>
        <v>0</v>
      </c>
      <c r="AT121" s="61">
        <v>5</v>
      </c>
      <c r="AU121" s="61">
        <v>1</v>
      </c>
      <c r="AV121" s="63">
        <f t="shared" si="23"/>
        <v>0.2</v>
      </c>
      <c r="AW121" s="61">
        <v>1.7219387770370216</v>
      </c>
      <c r="AX121" s="61">
        <v>0</v>
      </c>
      <c r="AY121" s="63">
        <f t="shared" si="24"/>
        <v>0</v>
      </c>
      <c r="AZ121" s="61">
        <v>7</v>
      </c>
      <c r="BA121" s="61">
        <v>1</v>
      </c>
      <c r="BB121" s="63">
        <f t="shared" si="25"/>
        <v>0.14285714285714285</v>
      </c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</row>
    <row r="122" spans="1:87" x14ac:dyDescent="0.25">
      <c r="A122" s="213">
        <v>29765</v>
      </c>
      <c r="B122" s="213">
        <v>21632</v>
      </c>
      <c r="C122" s="213">
        <v>1062667736</v>
      </c>
      <c r="D122" s="213" t="s">
        <v>688</v>
      </c>
      <c r="E122" s="213" t="s">
        <v>546</v>
      </c>
      <c r="F122" s="213" t="s">
        <v>546</v>
      </c>
      <c r="G122" s="213" t="s">
        <v>182</v>
      </c>
      <c r="H122" s="213" t="s">
        <v>182</v>
      </c>
      <c r="I122" s="213" t="s">
        <v>1218</v>
      </c>
      <c r="J122" s="213" t="s">
        <v>112</v>
      </c>
      <c r="K122" s="213" t="s">
        <v>683</v>
      </c>
      <c r="L122" s="213">
        <v>73038</v>
      </c>
      <c r="M122" s="213"/>
      <c r="N122" s="213"/>
      <c r="O122" s="231"/>
      <c r="P122" s="232">
        <v>71911</v>
      </c>
      <c r="Q122" s="61">
        <v>103892.23</v>
      </c>
      <c r="R122" s="63">
        <f t="shared" si="13"/>
        <v>1.4447334900084827</v>
      </c>
      <c r="S122" s="61">
        <v>8632</v>
      </c>
      <c r="T122" s="61">
        <v>3216.52</v>
      </c>
      <c r="U122" s="63">
        <f t="shared" si="14"/>
        <v>0.37262743280815569</v>
      </c>
      <c r="V122" s="61">
        <v>17250.481278317024</v>
      </c>
      <c r="W122" s="61">
        <v>17119.539999999997</v>
      </c>
      <c r="X122" s="63">
        <f t="shared" si="15"/>
        <v>0.99240941303581987</v>
      </c>
      <c r="Y122" s="61">
        <v>800</v>
      </c>
      <c r="Z122" s="102">
        <v>0</v>
      </c>
      <c r="AA122" s="63">
        <f t="shared" si="16"/>
        <v>0</v>
      </c>
      <c r="AB122" s="61">
        <v>17</v>
      </c>
      <c r="AC122" s="61">
        <v>7</v>
      </c>
      <c r="AD122" s="63">
        <f t="shared" si="17"/>
        <v>0.41176470588235292</v>
      </c>
      <c r="AE122" s="61">
        <v>3</v>
      </c>
      <c r="AF122" s="61">
        <v>1</v>
      </c>
      <c r="AG122" s="63">
        <f t="shared" si="18"/>
        <v>0.33333333333333331</v>
      </c>
      <c r="AH122" s="61">
        <v>96.230098365440639</v>
      </c>
      <c r="AI122" s="61">
        <v>29</v>
      </c>
      <c r="AJ122" s="63">
        <f t="shared" si="19"/>
        <v>0.3013610137845899</v>
      </c>
      <c r="AK122" s="61">
        <v>3.9799545362731585</v>
      </c>
      <c r="AL122" s="61">
        <v>0</v>
      </c>
      <c r="AM122" s="63">
        <f t="shared" si="20"/>
        <v>0</v>
      </c>
      <c r="AN122" s="61">
        <v>3.6062725384678629</v>
      </c>
      <c r="AO122" s="61">
        <v>1</v>
      </c>
      <c r="AP122" s="63">
        <f t="shared" si="21"/>
        <v>0.27729462743957045</v>
      </c>
      <c r="AQ122" s="61">
        <v>7.1688469621756399</v>
      </c>
      <c r="AR122" s="61">
        <v>0</v>
      </c>
      <c r="AS122" s="63">
        <f t="shared" si="22"/>
        <v>0</v>
      </c>
      <c r="AT122" s="61">
        <v>5</v>
      </c>
      <c r="AU122" s="61">
        <v>4</v>
      </c>
      <c r="AV122" s="63">
        <f t="shared" si="23"/>
        <v>0.8</v>
      </c>
      <c r="AW122" s="61">
        <v>2.1046015941856901</v>
      </c>
      <c r="AX122" s="61">
        <v>0</v>
      </c>
      <c r="AY122" s="63">
        <f t="shared" si="24"/>
        <v>0</v>
      </c>
      <c r="AZ122" s="61">
        <v>9</v>
      </c>
      <c r="BA122" s="61">
        <v>7</v>
      </c>
      <c r="BB122" s="63">
        <f t="shared" si="25"/>
        <v>0.77777777777777779</v>
      </c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</row>
    <row r="123" spans="1:87" x14ac:dyDescent="0.25">
      <c r="A123" s="207">
        <v>8946</v>
      </c>
      <c r="B123" s="207">
        <v>21632</v>
      </c>
      <c r="C123" s="207">
        <v>1085716346</v>
      </c>
      <c r="D123" s="207" t="s">
        <v>689</v>
      </c>
      <c r="E123" s="207" t="s">
        <v>546</v>
      </c>
      <c r="F123" s="207" t="s">
        <v>546</v>
      </c>
      <c r="G123" s="207" t="s">
        <v>395</v>
      </c>
      <c r="H123" s="207" t="s">
        <v>396</v>
      </c>
      <c r="I123" s="207" t="s">
        <v>1218</v>
      </c>
      <c r="J123" s="207" t="s">
        <v>112</v>
      </c>
      <c r="K123" s="207" t="s">
        <v>683</v>
      </c>
      <c r="L123" s="207">
        <v>73038</v>
      </c>
      <c r="M123" s="207" t="s">
        <v>1148</v>
      </c>
      <c r="N123" s="207"/>
      <c r="O123" s="229">
        <v>0.5</v>
      </c>
      <c r="P123" s="230">
        <v>52299</v>
      </c>
      <c r="Q123" s="61">
        <v>55912.210000000006</v>
      </c>
      <c r="R123" s="63">
        <f t="shared" si="13"/>
        <v>1.0690875542553395</v>
      </c>
      <c r="S123" s="61">
        <v>6311</v>
      </c>
      <c r="T123" s="61">
        <v>3225.22</v>
      </c>
      <c r="U123" s="63">
        <f t="shared" si="14"/>
        <v>0.51104737759467589</v>
      </c>
      <c r="V123" s="61">
        <v>13163.245402756911</v>
      </c>
      <c r="W123" s="61">
        <v>9049.7199999999993</v>
      </c>
      <c r="X123" s="63">
        <f t="shared" si="15"/>
        <v>0.68749914805239631</v>
      </c>
      <c r="Y123" s="61">
        <v>533</v>
      </c>
      <c r="Z123" s="102">
        <v>0</v>
      </c>
      <c r="AA123" s="63">
        <f t="shared" si="16"/>
        <v>0</v>
      </c>
      <c r="AB123" s="61">
        <v>13</v>
      </c>
      <c r="AC123" s="61">
        <v>11</v>
      </c>
      <c r="AD123" s="63">
        <f t="shared" si="17"/>
        <v>0.84615384615384615</v>
      </c>
      <c r="AE123" s="61">
        <v>1</v>
      </c>
      <c r="AF123" s="61">
        <v>0</v>
      </c>
      <c r="AG123" s="63">
        <f t="shared" si="18"/>
        <v>0</v>
      </c>
      <c r="AH123" s="61">
        <v>54.564838206553404</v>
      </c>
      <c r="AI123" s="61">
        <v>46</v>
      </c>
      <c r="AJ123" s="63">
        <f t="shared" si="19"/>
        <v>0.8430337468585265</v>
      </c>
      <c r="AK123" s="61">
        <v>2.3879727217638953</v>
      </c>
      <c r="AL123" s="61">
        <v>1</v>
      </c>
      <c r="AM123" s="63">
        <f t="shared" si="20"/>
        <v>0.41876525258686453</v>
      </c>
      <c r="AN123" s="61">
        <v>2.1637635230807177</v>
      </c>
      <c r="AO123" s="61">
        <v>0</v>
      </c>
      <c r="AP123" s="63">
        <f t="shared" si="21"/>
        <v>0</v>
      </c>
      <c r="AQ123" s="61">
        <v>3.5844234810878199</v>
      </c>
      <c r="AR123" s="61">
        <v>2</v>
      </c>
      <c r="AS123" s="63">
        <f t="shared" si="22"/>
        <v>0.55796978525345153</v>
      </c>
      <c r="AT123" s="61">
        <v>3</v>
      </c>
      <c r="AU123" s="61">
        <v>3</v>
      </c>
      <c r="AV123" s="63">
        <f t="shared" si="23"/>
        <v>1</v>
      </c>
      <c r="AW123" s="61">
        <v>1.5306220018400163</v>
      </c>
      <c r="AX123" s="61">
        <v>0</v>
      </c>
      <c r="AY123" s="63">
        <f t="shared" si="24"/>
        <v>0</v>
      </c>
      <c r="AZ123" s="61">
        <v>4</v>
      </c>
      <c r="BA123" s="61">
        <v>0</v>
      </c>
      <c r="BB123" s="63">
        <f t="shared" si="25"/>
        <v>0</v>
      </c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</row>
    <row r="124" spans="1:87" x14ac:dyDescent="0.25">
      <c r="A124" s="128">
        <v>4756</v>
      </c>
      <c r="B124" s="128">
        <v>19284</v>
      </c>
      <c r="C124" s="128">
        <v>1065930529</v>
      </c>
      <c r="D124" s="128" t="s">
        <v>631</v>
      </c>
      <c r="E124" s="128" t="s">
        <v>544</v>
      </c>
      <c r="F124" s="128" t="s">
        <v>544</v>
      </c>
      <c r="G124" s="128" t="s">
        <v>160</v>
      </c>
      <c r="H124" s="128" t="s">
        <v>161</v>
      </c>
      <c r="I124" s="128" t="s">
        <v>1218</v>
      </c>
      <c r="J124" s="128" t="s">
        <v>112</v>
      </c>
      <c r="K124" s="128" t="s">
        <v>683</v>
      </c>
      <c r="L124" s="128">
        <v>73038</v>
      </c>
      <c r="M124" s="128"/>
      <c r="N124" s="128"/>
      <c r="O124" s="156"/>
      <c r="P124" s="157">
        <v>326865</v>
      </c>
      <c r="Q124" s="61">
        <v>0</v>
      </c>
      <c r="R124" s="63">
        <f t="shared" si="13"/>
        <v>0</v>
      </c>
      <c r="S124" s="61">
        <v>41911</v>
      </c>
      <c r="T124" s="61">
        <v>0</v>
      </c>
      <c r="U124" s="63">
        <f t="shared" si="14"/>
        <v>0</v>
      </c>
      <c r="V124" s="61">
        <v>87471.155156407302</v>
      </c>
      <c r="W124" s="61">
        <v>0</v>
      </c>
      <c r="X124" s="63">
        <f t="shared" si="15"/>
        <v>0</v>
      </c>
      <c r="Y124" s="61">
        <v>8528</v>
      </c>
      <c r="Z124" s="102">
        <v>0</v>
      </c>
      <c r="AA124" s="63">
        <f t="shared" si="16"/>
        <v>0</v>
      </c>
      <c r="AB124" s="61">
        <v>73</v>
      </c>
      <c r="AC124" s="61">
        <v>1</v>
      </c>
      <c r="AD124" s="63">
        <f t="shared" si="17"/>
        <v>1.3698630136986301E-2</v>
      </c>
      <c r="AE124" s="61">
        <v>11</v>
      </c>
      <c r="AF124" s="61">
        <v>0</v>
      </c>
      <c r="AG124" s="63">
        <f t="shared" si="18"/>
        <v>0</v>
      </c>
      <c r="AH124" s="61">
        <v>397.81997150942868</v>
      </c>
      <c r="AI124" s="61">
        <v>0</v>
      </c>
      <c r="AJ124" s="63">
        <f t="shared" si="19"/>
        <v>0</v>
      </c>
      <c r="AK124" s="61">
        <v>16.715809052347268</v>
      </c>
      <c r="AL124" s="61">
        <v>0</v>
      </c>
      <c r="AM124" s="63">
        <f t="shared" si="20"/>
        <v>0</v>
      </c>
      <c r="AN124" s="61">
        <v>15.146344661565024</v>
      </c>
      <c r="AO124" s="61">
        <v>0</v>
      </c>
      <c r="AP124" s="63">
        <f t="shared" si="21"/>
        <v>0</v>
      </c>
      <c r="AQ124" s="61">
        <v>28.67538784870256</v>
      </c>
      <c r="AR124" s="61">
        <v>0</v>
      </c>
      <c r="AS124" s="63">
        <f t="shared" si="22"/>
        <v>0</v>
      </c>
      <c r="AT124" s="61">
        <v>21</v>
      </c>
      <c r="AU124" s="61">
        <v>0</v>
      </c>
      <c r="AV124" s="63">
        <f t="shared" si="23"/>
        <v>0</v>
      </c>
      <c r="AW124" s="61">
        <v>9.5662777611701344</v>
      </c>
      <c r="AX124" s="61">
        <v>0</v>
      </c>
      <c r="AY124" s="63">
        <f t="shared" si="24"/>
        <v>0</v>
      </c>
      <c r="AZ124" s="61">
        <v>27</v>
      </c>
      <c r="BA124" s="61">
        <v>0</v>
      </c>
      <c r="BB124" s="63">
        <f t="shared" si="25"/>
        <v>0</v>
      </c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</row>
    <row r="125" spans="1:87" x14ac:dyDescent="0.25">
      <c r="A125" s="128">
        <v>8941</v>
      </c>
      <c r="B125" s="128">
        <v>4756</v>
      </c>
      <c r="C125" s="128">
        <v>1006151797</v>
      </c>
      <c r="D125" s="128" t="s">
        <v>634</v>
      </c>
      <c r="E125" s="128" t="s">
        <v>546</v>
      </c>
      <c r="F125" s="128" t="s">
        <v>546</v>
      </c>
      <c r="G125" s="128" t="s">
        <v>123</v>
      </c>
      <c r="H125" s="128" t="s">
        <v>124</v>
      </c>
      <c r="I125" s="128" t="s">
        <v>1218</v>
      </c>
      <c r="J125" s="128" t="s">
        <v>112</v>
      </c>
      <c r="K125" s="128" t="s">
        <v>683</v>
      </c>
      <c r="L125" s="128">
        <v>73038</v>
      </c>
      <c r="M125" s="128" t="s">
        <v>1202</v>
      </c>
      <c r="N125" s="128"/>
      <c r="O125" s="156">
        <v>0.5</v>
      </c>
      <c r="P125" s="157">
        <v>52299</v>
      </c>
      <c r="Q125" s="61">
        <v>40507.839999999997</v>
      </c>
      <c r="R125" s="63">
        <f t="shared" si="13"/>
        <v>0.77454329910705744</v>
      </c>
      <c r="S125" s="61">
        <v>7120</v>
      </c>
      <c r="T125" s="61">
        <v>0</v>
      </c>
      <c r="U125" s="63">
        <f t="shared" si="14"/>
        <v>0</v>
      </c>
      <c r="V125" s="61">
        <v>12628.121667286146</v>
      </c>
      <c r="W125" s="61">
        <v>6065.65</v>
      </c>
      <c r="X125" s="63">
        <f t="shared" si="15"/>
        <v>0.48032875829137789</v>
      </c>
      <c r="Y125" s="61">
        <v>533</v>
      </c>
      <c r="Z125" s="102">
        <v>1067</v>
      </c>
      <c r="AA125" s="63">
        <f t="shared" si="16"/>
        <v>2.0018761726078798</v>
      </c>
      <c r="AB125" s="61">
        <v>11</v>
      </c>
      <c r="AC125" s="61">
        <v>12</v>
      </c>
      <c r="AD125" s="63">
        <f t="shared" si="17"/>
        <v>1.0909090909090908</v>
      </c>
      <c r="AE125" s="61">
        <v>1</v>
      </c>
      <c r="AF125" s="61">
        <v>0</v>
      </c>
      <c r="AG125" s="63">
        <f t="shared" si="18"/>
        <v>0</v>
      </c>
      <c r="AH125" s="61">
        <v>54.564838206553404</v>
      </c>
      <c r="AI125" s="61">
        <v>40</v>
      </c>
      <c r="AJ125" s="63">
        <f t="shared" si="19"/>
        <v>0.73307282335524049</v>
      </c>
      <c r="AK125" s="61">
        <v>2.3879727217638953</v>
      </c>
      <c r="AL125" s="61">
        <v>3</v>
      </c>
      <c r="AM125" s="63">
        <f t="shared" si="20"/>
        <v>1.2562957577605935</v>
      </c>
      <c r="AN125" s="61">
        <v>2.1637635230807177</v>
      </c>
      <c r="AO125" s="61">
        <v>1</v>
      </c>
      <c r="AP125" s="63">
        <f t="shared" si="21"/>
        <v>0.46215771239928405</v>
      </c>
      <c r="AQ125" s="61">
        <v>3.5844234810878199</v>
      </c>
      <c r="AR125" s="61">
        <v>3</v>
      </c>
      <c r="AS125" s="63">
        <f t="shared" si="22"/>
        <v>0.8369546778801773</v>
      </c>
      <c r="AT125" s="61">
        <v>3</v>
      </c>
      <c r="AU125" s="61">
        <v>1</v>
      </c>
      <c r="AV125" s="63">
        <f t="shared" si="23"/>
        <v>0.33333333333333331</v>
      </c>
      <c r="AW125" s="61">
        <v>1.5306220018400163</v>
      </c>
      <c r="AX125" s="61">
        <v>0</v>
      </c>
      <c r="AY125" s="63">
        <f t="shared" si="24"/>
        <v>0</v>
      </c>
      <c r="AZ125" s="61">
        <v>4</v>
      </c>
      <c r="BA125" s="61">
        <v>2</v>
      </c>
      <c r="BB125" s="63">
        <f t="shared" si="25"/>
        <v>0.5</v>
      </c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</row>
    <row r="126" spans="1:87" x14ac:dyDescent="0.25">
      <c r="A126" s="159">
        <v>3516</v>
      </c>
      <c r="B126" s="160">
        <v>4756</v>
      </c>
      <c r="C126" s="159">
        <v>1033369552</v>
      </c>
      <c r="D126" s="159" t="s">
        <v>693</v>
      </c>
      <c r="E126" s="128" t="s">
        <v>546</v>
      </c>
      <c r="F126" s="128" t="s">
        <v>546</v>
      </c>
      <c r="G126" s="159" t="s">
        <v>188</v>
      </c>
      <c r="H126" s="159" t="s">
        <v>189</v>
      </c>
      <c r="I126" s="128" t="s">
        <v>1218</v>
      </c>
      <c r="J126" s="128" t="s">
        <v>112</v>
      </c>
      <c r="K126" s="128" t="s">
        <v>683</v>
      </c>
      <c r="L126" s="128">
        <v>73038</v>
      </c>
      <c r="M126" s="128"/>
      <c r="N126" s="128"/>
      <c r="O126" s="156"/>
      <c r="P126" s="157">
        <v>58836</v>
      </c>
      <c r="Q126" s="61">
        <v>69390.45</v>
      </c>
      <c r="R126" s="63">
        <f t="shared" si="13"/>
        <v>1.1793876198245972</v>
      </c>
      <c r="S126" s="61">
        <v>8460</v>
      </c>
      <c r="T126" s="61">
        <v>0</v>
      </c>
      <c r="U126" s="63">
        <f t="shared" si="14"/>
        <v>0</v>
      </c>
      <c r="V126" s="61">
        <v>19860.836552283636</v>
      </c>
      <c r="W126" s="61">
        <v>10872.62</v>
      </c>
      <c r="X126" s="63">
        <f t="shared" si="15"/>
        <v>0.54744018316538867</v>
      </c>
      <c r="Y126" s="61">
        <v>800</v>
      </c>
      <c r="Z126" s="102">
        <v>0</v>
      </c>
      <c r="AA126" s="63">
        <f t="shared" si="16"/>
        <v>0</v>
      </c>
      <c r="AB126" s="61">
        <v>17</v>
      </c>
      <c r="AC126" s="61">
        <v>3</v>
      </c>
      <c r="AD126" s="63">
        <f t="shared" si="17"/>
        <v>0.17647058823529413</v>
      </c>
      <c r="AE126" s="61">
        <v>3</v>
      </c>
      <c r="AF126" s="61">
        <v>3</v>
      </c>
      <c r="AG126" s="63">
        <f t="shared" si="18"/>
        <v>1</v>
      </c>
      <c r="AH126" s="61">
        <v>96.230098365440639</v>
      </c>
      <c r="AI126" s="61">
        <v>33</v>
      </c>
      <c r="AJ126" s="63">
        <f t="shared" si="19"/>
        <v>0.34292805016867128</v>
      </c>
      <c r="AK126" s="61">
        <v>3.9799545362731585</v>
      </c>
      <c r="AL126" s="61">
        <v>2</v>
      </c>
      <c r="AM126" s="63">
        <f t="shared" si="20"/>
        <v>0.50251830310423751</v>
      </c>
      <c r="AN126" s="61">
        <v>3.6062725384678629</v>
      </c>
      <c r="AO126" s="61">
        <v>4</v>
      </c>
      <c r="AP126" s="63">
        <f t="shared" si="21"/>
        <v>1.1091785097582818</v>
      </c>
      <c r="AQ126" s="61">
        <v>7.1688469621756399</v>
      </c>
      <c r="AR126" s="61">
        <v>1</v>
      </c>
      <c r="AS126" s="63">
        <f t="shared" si="22"/>
        <v>0.13949244631336288</v>
      </c>
      <c r="AT126" s="61">
        <v>5</v>
      </c>
      <c r="AU126" s="61">
        <v>1</v>
      </c>
      <c r="AV126" s="63">
        <f t="shared" si="23"/>
        <v>0.2</v>
      </c>
      <c r="AW126" s="61">
        <v>1.7219387770370216</v>
      </c>
      <c r="AX126" s="61">
        <v>0</v>
      </c>
      <c r="AY126" s="63">
        <f t="shared" si="24"/>
        <v>0</v>
      </c>
      <c r="AZ126" s="61">
        <v>7</v>
      </c>
      <c r="BA126" s="61">
        <v>0</v>
      </c>
      <c r="BB126" s="63">
        <f t="shared" si="25"/>
        <v>0</v>
      </c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</row>
    <row r="127" spans="1:87" x14ac:dyDescent="0.25">
      <c r="A127" s="207">
        <v>21193</v>
      </c>
      <c r="B127" s="207">
        <v>4756</v>
      </c>
      <c r="C127" s="207">
        <v>1026531804</v>
      </c>
      <c r="D127" s="207" t="s">
        <v>694</v>
      </c>
      <c r="E127" s="207" t="s">
        <v>546</v>
      </c>
      <c r="F127" s="207" t="s">
        <v>546</v>
      </c>
      <c r="G127" s="207" t="s">
        <v>190</v>
      </c>
      <c r="H127" s="207" t="s">
        <v>190</v>
      </c>
      <c r="I127" s="207" t="s">
        <v>1218</v>
      </c>
      <c r="J127" s="207" t="s">
        <v>112</v>
      </c>
      <c r="K127" s="207" t="s">
        <v>683</v>
      </c>
      <c r="L127" s="207">
        <v>73038</v>
      </c>
      <c r="M127" s="207"/>
      <c r="N127" s="207"/>
      <c r="O127" s="229"/>
      <c r="P127" s="230">
        <v>78448</v>
      </c>
      <c r="Q127" s="61">
        <v>66605.25</v>
      </c>
      <c r="R127" s="63">
        <f t="shared" si="13"/>
        <v>0.8490369416683663</v>
      </c>
      <c r="S127" s="61">
        <v>11333</v>
      </c>
      <c r="T127" s="61">
        <v>3564.35</v>
      </c>
      <c r="U127" s="63">
        <f t="shared" si="14"/>
        <v>0.31451072090355597</v>
      </c>
      <c r="V127" s="61">
        <v>21885.751090814814</v>
      </c>
      <c r="W127" s="61">
        <v>12149.869999999999</v>
      </c>
      <c r="X127" s="63">
        <f t="shared" si="15"/>
        <v>0.55514978442294138</v>
      </c>
      <c r="Y127" s="61">
        <v>666</v>
      </c>
      <c r="Z127" s="102">
        <v>360</v>
      </c>
      <c r="AA127" s="63">
        <f t="shared" si="16"/>
        <v>0.54054054054054057</v>
      </c>
      <c r="AB127" s="61">
        <v>17</v>
      </c>
      <c r="AC127" s="61">
        <v>9</v>
      </c>
      <c r="AD127" s="63">
        <f t="shared" si="17"/>
        <v>0.52941176470588236</v>
      </c>
      <c r="AE127" s="61">
        <v>3</v>
      </c>
      <c r="AF127" s="61">
        <v>0</v>
      </c>
      <c r="AG127" s="63">
        <f t="shared" si="18"/>
        <v>0</v>
      </c>
      <c r="AH127" s="61">
        <v>96.230098365440639</v>
      </c>
      <c r="AI127" s="61">
        <v>49</v>
      </c>
      <c r="AJ127" s="63">
        <f t="shared" si="19"/>
        <v>0.50919619570499675</v>
      </c>
      <c r="AK127" s="61">
        <v>3.9799545362731585</v>
      </c>
      <c r="AL127" s="61">
        <v>3</v>
      </c>
      <c r="AM127" s="63">
        <f t="shared" si="20"/>
        <v>0.75377745465635626</v>
      </c>
      <c r="AN127" s="61">
        <v>3.6062725384678629</v>
      </c>
      <c r="AO127" s="61">
        <v>3</v>
      </c>
      <c r="AP127" s="63">
        <f t="shared" si="21"/>
        <v>0.83188388231871135</v>
      </c>
      <c r="AQ127" s="61">
        <v>7.1688469621756399</v>
      </c>
      <c r="AR127" s="61">
        <v>1</v>
      </c>
      <c r="AS127" s="63">
        <f t="shared" si="22"/>
        <v>0.13949244631336288</v>
      </c>
      <c r="AT127" s="61">
        <v>5</v>
      </c>
      <c r="AU127" s="61">
        <v>4</v>
      </c>
      <c r="AV127" s="63">
        <f t="shared" si="23"/>
        <v>0.8</v>
      </c>
      <c r="AW127" s="61">
        <v>2.2959183693826954</v>
      </c>
      <c r="AX127" s="61">
        <v>0</v>
      </c>
      <c r="AY127" s="63">
        <f t="shared" si="24"/>
        <v>0</v>
      </c>
      <c r="AZ127" s="61">
        <v>7</v>
      </c>
      <c r="BA127" s="61">
        <v>2</v>
      </c>
      <c r="BB127" s="63">
        <f t="shared" si="25"/>
        <v>0.2857142857142857</v>
      </c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</row>
    <row r="128" spans="1:87" x14ac:dyDescent="0.25">
      <c r="A128" s="128">
        <v>6113</v>
      </c>
      <c r="B128" s="128">
        <v>4756</v>
      </c>
      <c r="C128" s="128">
        <v>1064567405</v>
      </c>
      <c r="D128" s="128" t="s">
        <v>695</v>
      </c>
      <c r="E128" s="128" t="s">
        <v>546</v>
      </c>
      <c r="F128" s="128" t="s">
        <v>546</v>
      </c>
      <c r="G128" s="128" t="s">
        <v>397</v>
      </c>
      <c r="H128" s="128" t="s">
        <v>397</v>
      </c>
      <c r="I128" s="128" t="s">
        <v>1218</v>
      </c>
      <c r="J128" s="128" t="s">
        <v>112</v>
      </c>
      <c r="K128" s="128" t="s">
        <v>683</v>
      </c>
      <c r="L128" s="128">
        <v>73038</v>
      </c>
      <c r="M128" s="128"/>
      <c r="N128" s="128"/>
      <c r="O128" s="156"/>
      <c r="P128" s="157">
        <v>84985</v>
      </c>
      <c r="Q128" s="61">
        <v>117460.89000000001</v>
      </c>
      <c r="R128" s="63">
        <f t="shared" si="13"/>
        <v>1.3821367300111786</v>
      </c>
      <c r="S128" s="61">
        <v>11282</v>
      </c>
      <c r="T128" s="61">
        <v>3216.52</v>
      </c>
      <c r="U128" s="63">
        <f t="shared" si="14"/>
        <v>0.28510193228151037</v>
      </c>
      <c r="V128" s="61">
        <v>21414.552512677117</v>
      </c>
      <c r="W128" s="61">
        <v>11741.71</v>
      </c>
      <c r="X128" s="63">
        <f t="shared" si="15"/>
        <v>0.54830517672732459</v>
      </c>
      <c r="Y128" s="61">
        <v>933</v>
      </c>
      <c r="Z128" s="102">
        <v>0</v>
      </c>
      <c r="AA128" s="63">
        <f t="shared" si="16"/>
        <v>0</v>
      </c>
      <c r="AB128" s="61">
        <v>17</v>
      </c>
      <c r="AC128" s="61">
        <v>7</v>
      </c>
      <c r="AD128" s="63">
        <f t="shared" si="17"/>
        <v>0.41176470588235292</v>
      </c>
      <c r="AE128" s="61">
        <v>3</v>
      </c>
      <c r="AF128" s="61">
        <v>3</v>
      </c>
      <c r="AG128" s="63">
        <f t="shared" si="18"/>
        <v>1</v>
      </c>
      <c r="AH128" s="61">
        <v>96.230098365440639</v>
      </c>
      <c r="AI128" s="61">
        <v>51</v>
      </c>
      <c r="AJ128" s="63">
        <f t="shared" si="19"/>
        <v>0.52997971389703746</v>
      </c>
      <c r="AK128" s="61">
        <v>3.9799545362731585</v>
      </c>
      <c r="AL128" s="61">
        <v>1</v>
      </c>
      <c r="AM128" s="63">
        <f t="shared" si="20"/>
        <v>0.25125915155211875</v>
      </c>
      <c r="AN128" s="61">
        <v>3.6062725384678629</v>
      </c>
      <c r="AO128" s="61">
        <v>0</v>
      </c>
      <c r="AP128" s="63">
        <f t="shared" si="21"/>
        <v>0</v>
      </c>
      <c r="AQ128" s="61">
        <v>7.1688469621756399</v>
      </c>
      <c r="AR128" s="61">
        <v>0</v>
      </c>
      <c r="AS128" s="63">
        <f t="shared" si="22"/>
        <v>0</v>
      </c>
      <c r="AT128" s="61">
        <v>5</v>
      </c>
      <c r="AU128" s="61">
        <v>1</v>
      </c>
      <c r="AV128" s="63">
        <f t="shared" si="23"/>
        <v>0.2</v>
      </c>
      <c r="AW128" s="61">
        <v>2.4872351445797007</v>
      </c>
      <c r="AX128" s="61">
        <v>0</v>
      </c>
      <c r="AY128" s="63">
        <f t="shared" si="24"/>
        <v>0</v>
      </c>
      <c r="AZ128" s="61">
        <v>5</v>
      </c>
      <c r="BA128" s="61">
        <v>3</v>
      </c>
      <c r="BB128" s="63">
        <f t="shared" si="25"/>
        <v>0.6</v>
      </c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</row>
    <row r="129" spans="1:87" x14ac:dyDescent="0.25">
      <c r="A129" s="128">
        <v>21982</v>
      </c>
      <c r="B129" s="128">
        <v>4756</v>
      </c>
      <c r="C129" s="128">
        <v>1060508452</v>
      </c>
      <c r="D129" s="128" t="s">
        <v>696</v>
      </c>
      <c r="E129" s="128" t="s">
        <v>546</v>
      </c>
      <c r="F129" s="128" t="s">
        <v>546</v>
      </c>
      <c r="G129" s="128" t="s">
        <v>114</v>
      </c>
      <c r="H129" s="128" t="s">
        <v>114</v>
      </c>
      <c r="I129" s="128" t="s">
        <v>1218</v>
      </c>
      <c r="J129" s="128" t="s">
        <v>112</v>
      </c>
      <c r="K129" s="128" t="s">
        <v>683</v>
      </c>
      <c r="L129" s="128">
        <v>73038</v>
      </c>
      <c r="M129" s="128" t="s">
        <v>1149</v>
      </c>
      <c r="N129" s="128"/>
      <c r="O129" s="156">
        <v>0.5</v>
      </c>
      <c r="P129" s="157">
        <v>52297</v>
      </c>
      <c r="Q129" s="61">
        <v>29112.18</v>
      </c>
      <c r="R129" s="63">
        <f t="shared" si="13"/>
        <v>0.55667017228521709</v>
      </c>
      <c r="S129" s="61">
        <v>3716</v>
      </c>
      <c r="T129" s="61">
        <v>3225.22</v>
      </c>
      <c r="U129" s="63">
        <f t="shared" si="14"/>
        <v>0.86792787944025829</v>
      </c>
      <c r="V129" s="61">
        <v>11681.893333345588</v>
      </c>
      <c r="W129" s="61">
        <v>3828.7</v>
      </c>
      <c r="X129" s="63">
        <f t="shared" si="15"/>
        <v>0.32774652967178697</v>
      </c>
      <c r="Y129" s="61">
        <v>5596</v>
      </c>
      <c r="Z129" s="102">
        <v>1984</v>
      </c>
      <c r="AA129" s="63">
        <f t="shared" si="16"/>
        <v>0.35453895639742672</v>
      </c>
      <c r="AB129" s="61">
        <v>11</v>
      </c>
      <c r="AC129" s="61">
        <v>10</v>
      </c>
      <c r="AD129" s="63">
        <f t="shared" si="17"/>
        <v>0.90909090909090906</v>
      </c>
      <c r="AE129" s="61">
        <v>1</v>
      </c>
      <c r="AF129" s="61">
        <v>1</v>
      </c>
      <c r="AG129" s="63">
        <f t="shared" si="18"/>
        <v>1</v>
      </c>
      <c r="AH129" s="61">
        <v>54.564838206553404</v>
      </c>
      <c r="AI129" s="61">
        <v>24</v>
      </c>
      <c r="AJ129" s="63">
        <f t="shared" si="19"/>
        <v>0.43984369401314427</v>
      </c>
      <c r="AK129" s="61">
        <v>2.3879727217638953</v>
      </c>
      <c r="AL129" s="61">
        <v>1</v>
      </c>
      <c r="AM129" s="63">
        <f t="shared" si="20"/>
        <v>0.41876525258686453</v>
      </c>
      <c r="AN129" s="61">
        <v>2.1637635230807177</v>
      </c>
      <c r="AO129" s="61">
        <v>0</v>
      </c>
      <c r="AP129" s="63">
        <f t="shared" si="21"/>
        <v>0</v>
      </c>
      <c r="AQ129" s="61">
        <v>3.5844234810878199</v>
      </c>
      <c r="AR129" s="61">
        <v>2</v>
      </c>
      <c r="AS129" s="63">
        <f t="shared" si="22"/>
        <v>0.55796978525345153</v>
      </c>
      <c r="AT129" s="61">
        <v>3</v>
      </c>
      <c r="AU129" s="61">
        <v>2</v>
      </c>
      <c r="AV129" s="63">
        <f t="shared" si="23"/>
        <v>0.66666666666666663</v>
      </c>
      <c r="AW129" s="61">
        <v>1.5305634683307008</v>
      </c>
      <c r="AX129" s="61">
        <v>0</v>
      </c>
      <c r="AY129" s="63">
        <f t="shared" si="24"/>
        <v>0</v>
      </c>
      <c r="AZ129" s="61">
        <v>4</v>
      </c>
      <c r="BA129" s="61">
        <v>1</v>
      </c>
      <c r="BB129" s="63">
        <f t="shared" si="25"/>
        <v>0.25</v>
      </c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</row>
    <row r="130" spans="1:87" x14ac:dyDescent="0.25">
      <c r="A130" s="128" t="s">
        <v>972</v>
      </c>
      <c r="B130" s="128">
        <v>19282</v>
      </c>
      <c r="C130" s="128" t="s">
        <v>972</v>
      </c>
      <c r="D130" s="128" t="s">
        <v>973</v>
      </c>
      <c r="E130" s="128" t="s">
        <v>541</v>
      </c>
      <c r="F130" s="128" t="s">
        <v>541</v>
      </c>
      <c r="G130" s="128">
        <v>0</v>
      </c>
      <c r="H130" s="128">
        <v>0</v>
      </c>
      <c r="I130" s="128" t="s">
        <v>1218</v>
      </c>
      <c r="J130" s="128" t="s">
        <v>112</v>
      </c>
      <c r="K130" s="128" t="s">
        <v>698</v>
      </c>
      <c r="L130" s="128">
        <v>43004</v>
      </c>
      <c r="M130" s="128"/>
      <c r="N130" s="128"/>
      <c r="O130" s="156"/>
      <c r="P130" s="157">
        <v>280171</v>
      </c>
      <c r="Q130" s="61">
        <v>0</v>
      </c>
      <c r="R130" s="63">
        <f t="shared" si="13"/>
        <v>0</v>
      </c>
      <c r="S130" s="61">
        <v>37322</v>
      </c>
      <c r="T130" s="61">
        <v>0</v>
      </c>
      <c r="U130" s="63">
        <f t="shared" si="14"/>
        <v>0</v>
      </c>
      <c r="V130" s="61">
        <v>75462.21131446751</v>
      </c>
      <c r="W130" s="61">
        <v>0</v>
      </c>
      <c r="X130" s="63">
        <f t="shared" si="15"/>
        <v>0</v>
      </c>
      <c r="Y130" s="61">
        <v>2960</v>
      </c>
      <c r="Z130" s="102">
        <v>0</v>
      </c>
      <c r="AA130" s="63">
        <f t="shared" si="16"/>
        <v>0</v>
      </c>
      <c r="AB130" s="61">
        <v>64</v>
      </c>
      <c r="AC130" s="61">
        <v>0</v>
      </c>
      <c r="AD130" s="63">
        <f t="shared" si="17"/>
        <v>0</v>
      </c>
      <c r="AE130" s="61">
        <v>7</v>
      </c>
      <c r="AF130" s="61">
        <v>0</v>
      </c>
      <c r="AG130" s="63">
        <f t="shared" si="18"/>
        <v>0</v>
      </c>
      <c r="AH130" s="61">
        <v>363.02081541409638</v>
      </c>
      <c r="AI130" s="61">
        <v>0</v>
      </c>
      <c r="AJ130" s="63">
        <f t="shared" si="19"/>
        <v>0</v>
      </c>
      <c r="AK130" s="61">
        <v>15.919818145092634</v>
      </c>
      <c r="AL130" s="61">
        <v>0</v>
      </c>
      <c r="AM130" s="63">
        <f t="shared" si="20"/>
        <v>0</v>
      </c>
      <c r="AN130" s="61">
        <v>14.425090153871452</v>
      </c>
      <c r="AO130" s="61">
        <v>0</v>
      </c>
      <c r="AP130" s="63">
        <f t="shared" si="21"/>
        <v>0</v>
      </c>
      <c r="AQ130" s="61">
        <v>23.298752627070829</v>
      </c>
      <c r="AR130" s="61">
        <v>0</v>
      </c>
      <c r="AS130" s="63">
        <f t="shared" si="22"/>
        <v>0</v>
      </c>
      <c r="AT130" s="61">
        <v>20</v>
      </c>
      <c r="AU130" s="61">
        <v>0</v>
      </c>
      <c r="AV130" s="63">
        <f t="shared" si="23"/>
        <v>0</v>
      </c>
      <c r="AW130" s="61">
        <v>8.1996959191862011</v>
      </c>
      <c r="AX130" s="61">
        <v>0</v>
      </c>
      <c r="AY130" s="63">
        <f t="shared" si="24"/>
        <v>0</v>
      </c>
      <c r="AZ130" s="61">
        <v>26</v>
      </c>
      <c r="BA130" s="61">
        <v>0</v>
      </c>
      <c r="BB130" s="63">
        <f t="shared" si="25"/>
        <v>0</v>
      </c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</row>
    <row r="131" spans="1:87" x14ac:dyDescent="0.25">
      <c r="A131" s="116">
        <v>11768</v>
      </c>
      <c r="B131" s="116">
        <v>19282</v>
      </c>
      <c r="C131" s="116">
        <v>1052906938</v>
      </c>
      <c r="D131" s="116" t="s">
        <v>697</v>
      </c>
      <c r="E131" s="116" t="s">
        <v>544</v>
      </c>
      <c r="F131" s="116" t="s">
        <v>541</v>
      </c>
      <c r="G131" s="116" t="s">
        <v>191</v>
      </c>
      <c r="H131" s="116" t="s">
        <v>191</v>
      </c>
      <c r="I131" s="116" t="s">
        <v>1218</v>
      </c>
      <c r="J131" s="116" t="s">
        <v>112</v>
      </c>
      <c r="K131" s="116" t="s">
        <v>698</v>
      </c>
      <c r="L131" s="116">
        <v>43004</v>
      </c>
      <c r="M131" s="116"/>
      <c r="N131" s="116"/>
      <c r="O131" s="152"/>
      <c r="P131" s="153">
        <v>280171</v>
      </c>
      <c r="Q131" s="61">
        <v>0</v>
      </c>
      <c r="R131" s="63">
        <f t="shared" si="13"/>
        <v>0</v>
      </c>
      <c r="S131" s="61">
        <v>37322</v>
      </c>
      <c r="T131" s="61">
        <v>0</v>
      </c>
      <c r="U131" s="63">
        <f t="shared" si="14"/>
        <v>0</v>
      </c>
      <c r="V131" s="61">
        <v>75462.21131446751</v>
      </c>
      <c r="W131" s="61">
        <v>0</v>
      </c>
      <c r="X131" s="63">
        <f t="shared" si="15"/>
        <v>0</v>
      </c>
      <c r="Y131" s="61">
        <v>2960</v>
      </c>
      <c r="Z131" s="102">
        <v>0</v>
      </c>
      <c r="AA131" s="63">
        <f t="shared" si="16"/>
        <v>0</v>
      </c>
      <c r="AB131" s="61">
        <v>64</v>
      </c>
      <c r="AC131" s="61">
        <v>0</v>
      </c>
      <c r="AD131" s="63">
        <f t="shared" si="17"/>
        <v>0</v>
      </c>
      <c r="AE131" s="61">
        <v>7</v>
      </c>
      <c r="AF131" s="61">
        <v>0</v>
      </c>
      <c r="AG131" s="63">
        <f t="shared" si="18"/>
        <v>0</v>
      </c>
      <c r="AH131" s="61">
        <v>363.02081541409638</v>
      </c>
      <c r="AI131" s="61">
        <v>0</v>
      </c>
      <c r="AJ131" s="63">
        <f t="shared" si="19"/>
        <v>0</v>
      </c>
      <c r="AK131" s="61">
        <v>15.919818145092634</v>
      </c>
      <c r="AL131" s="61">
        <v>0</v>
      </c>
      <c r="AM131" s="63">
        <f t="shared" si="20"/>
        <v>0</v>
      </c>
      <c r="AN131" s="61">
        <v>14.425090153871452</v>
      </c>
      <c r="AO131" s="61">
        <v>0</v>
      </c>
      <c r="AP131" s="63">
        <f t="shared" si="21"/>
        <v>0</v>
      </c>
      <c r="AQ131" s="61">
        <v>23.298752627070829</v>
      </c>
      <c r="AR131" s="61">
        <v>0</v>
      </c>
      <c r="AS131" s="63">
        <f t="shared" si="22"/>
        <v>0</v>
      </c>
      <c r="AT131" s="61">
        <v>20</v>
      </c>
      <c r="AU131" s="61">
        <v>0</v>
      </c>
      <c r="AV131" s="63">
        <f t="shared" si="23"/>
        <v>0</v>
      </c>
      <c r="AW131" s="61">
        <v>8.1996959191862011</v>
      </c>
      <c r="AX131" s="61">
        <v>0</v>
      </c>
      <c r="AY131" s="63">
        <f t="shared" si="24"/>
        <v>0</v>
      </c>
      <c r="AZ131" s="61">
        <v>26</v>
      </c>
      <c r="BA131" s="61">
        <v>0</v>
      </c>
      <c r="BB131" s="63">
        <f t="shared" si="25"/>
        <v>0</v>
      </c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</row>
    <row r="132" spans="1:87" x14ac:dyDescent="0.25">
      <c r="A132" s="128">
        <v>19511</v>
      </c>
      <c r="B132" s="128">
        <v>11768</v>
      </c>
      <c r="C132" s="128">
        <v>1077080693</v>
      </c>
      <c r="D132" s="128" t="s">
        <v>699</v>
      </c>
      <c r="E132" s="128" t="s">
        <v>546</v>
      </c>
      <c r="F132" s="128" t="s">
        <v>546</v>
      </c>
      <c r="G132" s="128" t="s">
        <v>192</v>
      </c>
      <c r="H132" s="128" t="s">
        <v>192</v>
      </c>
      <c r="I132" s="128" t="s">
        <v>1218</v>
      </c>
      <c r="J132" s="128" t="s">
        <v>112</v>
      </c>
      <c r="K132" s="128" t="s">
        <v>698</v>
      </c>
      <c r="L132" s="128">
        <v>43004</v>
      </c>
      <c r="M132" s="128" t="s">
        <v>1215</v>
      </c>
      <c r="N132" s="128"/>
      <c r="O132" s="156"/>
      <c r="P132" s="157">
        <v>41161</v>
      </c>
      <c r="Q132" s="61">
        <v>88044.37</v>
      </c>
      <c r="R132" s="63">
        <f t="shared" ref="R132:R195" si="26">Q132/P132</f>
        <v>2.1390240761886252</v>
      </c>
      <c r="S132" s="61">
        <v>5934</v>
      </c>
      <c r="T132" s="61">
        <v>0</v>
      </c>
      <c r="U132" s="63">
        <f t="shared" ref="U132:U195" si="27">T132/S132</f>
        <v>0</v>
      </c>
      <c r="V132" s="61">
        <v>12440.852281444402</v>
      </c>
      <c r="W132" s="61">
        <v>20945.219999999998</v>
      </c>
      <c r="X132" s="63">
        <f t="shared" ref="X132:X195" si="28">W132/V132</f>
        <v>1.6835840122657759</v>
      </c>
      <c r="Y132" s="61">
        <v>306</v>
      </c>
      <c r="Z132" s="102">
        <v>0</v>
      </c>
      <c r="AA132" s="63">
        <f t="shared" ref="AA132:AA195" si="29">Z132/Y132</f>
        <v>0</v>
      </c>
      <c r="AB132" s="61">
        <v>10</v>
      </c>
      <c r="AC132" s="61">
        <v>6</v>
      </c>
      <c r="AD132" s="63">
        <f t="shared" ref="AD132:AD195" si="30">AC132/AB132</f>
        <v>0.6</v>
      </c>
      <c r="AE132" s="61">
        <v>1</v>
      </c>
      <c r="AF132" s="61">
        <v>3</v>
      </c>
      <c r="AG132" s="63">
        <f t="shared" ref="AG132:AG195" si="31">AF132/AE132</f>
        <v>3</v>
      </c>
      <c r="AH132" s="61">
        <v>56.531364222442129</v>
      </c>
      <c r="AI132" s="61">
        <v>93</v>
      </c>
      <c r="AJ132" s="63">
        <f t="shared" ref="AJ132:AJ195" si="32">AI132/AH132</f>
        <v>1.6451044703973436</v>
      </c>
      <c r="AK132" s="61">
        <v>2.3879727217638953</v>
      </c>
      <c r="AL132" s="61">
        <v>0</v>
      </c>
      <c r="AM132" s="63">
        <f t="shared" ref="AM132:AM195" si="33">AL132/AK132</f>
        <v>0</v>
      </c>
      <c r="AN132" s="61">
        <v>2.1637635230807177</v>
      </c>
      <c r="AO132" s="61">
        <v>5</v>
      </c>
      <c r="AP132" s="63">
        <f t="shared" ref="AP132:AP195" si="34">AO132/AN132</f>
        <v>2.3107885619964201</v>
      </c>
      <c r="AQ132" s="61">
        <v>3.5844234810878199</v>
      </c>
      <c r="AR132" s="61">
        <v>5</v>
      </c>
      <c r="AS132" s="63">
        <f t="shared" ref="AS132:AS195" si="35">AR132/AQ132</f>
        <v>1.3949244631336288</v>
      </c>
      <c r="AT132" s="61">
        <v>3</v>
      </c>
      <c r="AU132" s="61">
        <v>0</v>
      </c>
      <c r="AV132" s="63">
        <f t="shared" ref="AV132:AV195" si="36">AU132/AT132</f>
        <v>0</v>
      </c>
      <c r="AW132" s="61">
        <v>1.2046488884632001</v>
      </c>
      <c r="AX132" s="61">
        <v>1</v>
      </c>
      <c r="AY132" s="63">
        <f t="shared" ref="AY132:AY195" si="37">AX132/AW132</f>
        <v>0.83011739734033574</v>
      </c>
      <c r="AZ132" s="61">
        <v>4</v>
      </c>
      <c r="BA132" s="61">
        <v>6</v>
      </c>
      <c r="BB132" s="63">
        <f t="shared" ref="BB132:BB195" si="38">BA132/AZ132</f>
        <v>1.5</v>
      </c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</row>
    <row r="133" spans="1:87" x14ac:dyDescent="0.25">
      <c r="A133" s="128">
        <v>8217</v>
      </c>
      <c r="B133" s="128">
        <v>11768</v>
      </c>
      <c r="C133" s="128">
        <v>1068416344</v>
      </c>
      <c r="D133" s="128" t="s">
        <v>700</v>
      </c>
      <c r="E133" s="128" t="s">
        <v>546</v>
      </c>
      <c r="F133" s="128" t="s">
        <v>546</v>
      </c>
      <c r="G133" s="128" t="s">
        <v>194</v>
      </c>
      <c r="H133" s="128" t="s">
        <v>194</v>
      </c>
      <c r="I133" s="128" t="s">
        <v>1218</v>
      </c>
      <c r="J133" s="128" t="s">
        <v>112</v>
      </c>
      <c r="K133" s="128" t="s">
        <v>698</v>
      </c>
      <c r="L133" s="128">
        <v>43004</v>
      </c>
      <c r="M133" s="128" t="s">
        <v>1215</v>
      </c>
      <c r="N133" s="128"/>
      <c r="O133" s="156"/>
      <c r="P133" s="157">
        <v>44753</v>
      </c>
      <c r="Q133" s="61">
        <v>55375.69000000001</v>
      </c>
      <c r="R133" s="63">
        <f t="shared" si="26"/>
        <v>1.2373626349071574</v>
      </c>
      <c r="S133" s="61">
        <v>6550</v>
      </c>
      <c r="T133" s="61">
        <v>0</v>
      </c>
      <c r="U133" s="63">
        <f t="shared" si="27"/>
        <v>0</v>
      </c>
      <c r="V133" s="61">
        <v>13924.627654627144</v>
      </c>
      <c r="W133" s="61">
        <v>9916.52</v>
      </c>
      <c r="X133" s="63">
        <f t="shared" si="28"/>
        <v>0.71215692411744658</v>
      </c>
      <c r="Y133" s="61">
        <v>193</v>
      </c>
      <c r="Z133" s="102">
        <v>0</v>
      </c>
      <c r="AA133" s="63">
        <f t="shared" si="29"/>
        <v>0</v>
      </c>
      <c r="AB133" s="61">
        <v>10</v>
      </c>
      <c r="AC133" s="61">
        <v>7</v>
      </c>
      <c r="AD133" s="63">
        <f t="shared" si="30"/>
        <v>0.7</v>
      </c>
      <c r="AE133" s="61">
        <v>1</v>
      </c>
      <c r="AF133" s="61">
        <v>0</v>
      </c>
      <c r="AG133" s="63">
        <f t="shared" si="31"/>
        <v>0</v>
      </c>
      <c r="AH133" s="61">
        <v>56.531364222442129</v>
      </c>
      <c r="AI133" s="61">
        <v>74</v>
      </c>
      <c r="AJ133" s="63">
        <f t="shared" si="32"/>
        <v>1.3090078581656284</v>
      </c>
      <c r="AK133" s="61">
        <v>2.3879727217638953</v>
      </c>
      <c r="AL133" s="61">
        <v>4</v>
      </c>
      <c r="AM133" s="63">
        <f t="shared" si="33"/>
        <v>1.6750610103474581</v>
      </c>
      <c r="AN133" s="61">
        <v>2.1637635230807177</v>
      </c>
      <c r="AO133" s="61">
        <v>3</v>
      </c>
      <c r="AP133" s="63">
        <f t="shared" si="34"/>
        <v>1.3864731371978523</v>
      </c>
      <c r="AQ133" s="61">
        <v>3.5844234810878199</v>
      </c>
      <c r="AR133" s="61">
        <v>2</v>
      </c>
      <c r="AS133" s="63">
        <f t="shared" si="35"/>
        <v>0.55796978525345153</v>
      </c>
      <c r="AT133" s="61">
        <v>3</v>
      </c>
      <c r="AU133" s="61">
        <v>1</v>
      </c>
      <c r="AV133" s="63">
        <f t="shared" si="36"/>
        <v>0.33333333333333331</v>
      </c>
      <c r="AW133" s="61">
        <v>1.3097750711934499</v>
      </c>
      <c r="AX133" s="61">
        <v>0</v>
      </c>
      <c r="AY133" s="63">
        <f t="shared" si="37"/>
        <v>0</v>
      </c>
      <c r="AZ133" s="61">
        <v>4</v>
      </c>
      <c r="BA133" s="61">
        <v>4</v>
      </c>
      <c r="BB133" s="63">
        <f t="shared" si="38"/>
        <v>1</v>
      </c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</row>
    <row r="134" spans="1:87" x14ac:dyDescent="0.25">
      <c r="A134" s="128">
        <v>4681</v>
      </c>
      <c r="B134" s="128">
        <v>11768</v>
      </c>
      <c r="C134" s="128">
        <v>1031871781</v>
      </c>
      <c r="D134" s="128" t="s">
        <v>701</v>
      </c>
      <c r="E134" s="128" t="s">
        <v>546</v>
      </c>
      <c r="F134" s="128" t="s">
        <v>546</v>
      </c>
      <c r="G134" s="128" t="s">
        <v>195</v>
      </c>
      <c r="H134" s="128" t="s">
        <v>196</v>
      </c>
      <c r="I134" s="128" t="s">
        <v>1218</v>
      </c>
      <c r="J134" s="128" t="s">
        <v>112</v>
      </c>
      <c r="K134" s="128" t="s">
        <v>698</v>
      </c>
      <c r="L134" s="128">
        <v>43004</v>
      </c>
      <c r="M134" s="128" t="s">
        <v>1146</v>
      </c>
      <c r="N134" s="128">
        <v>5</v>
      </c>
      <c r="O134" s="156">
        <v>0.1</v>
      </c>
      <c r="P134" s="157">
        <v>60759</v>
      </c>
      <c r="Q134" s="61">
        <v>33917.4</v>
      </c>
      <c r="R134" s="63">
        <f t="shared" si="26"/>
        <v>0.55822841060583617</v>
      </c>
      <c r="S134" s="61">
        <v>4037</v>
      </c>
      <c r="T134" s="61">
        <v>0</v>
      </c>
      <c r="U134" s="63">
        <f t="shared" si="27"/>
        <v>0</v>
      </c>
      <c r="V134" s="61">
        <v>9307.25792324145</v>
      </c>
      <c r="W134" s="61">
        <v>1872.17</v>
      </c>
      <c r="X134" s="63">
        <f t="shared" si="28"/>
        <v>0.20115161903109452</v>
      </c>
      <c r="Y134" s="61">
        <v>298</v>
      </c>
      <c r="Z134" s="102">
        <v>0</v>
      </c>
      <c r="AA134" s="63">
        <f t="shared" si="29"/>
        <v>0</v>
      </c>
      <c r="AB134" s="61">
        <v>9</v>
      </c>
      <c r="AC134" s="61">
        <v>7</v>
      </c>
      <c r="AD134" s="63">
        <f t="shared" si="30"/>
        <v>0.77777777777777779</v>
      </c>
      <c r="AE134" s="61">
        <v>1</v>
      </c>
      <c r="AF134" s="61">
        <v>0</v>
      </c>
      <c r="AG134" s="63">
        <f t="shared" si="31"/>
        <v>0</v>
      </c>
      <c r="AH134" s="61">
        <v>50.598312190664679</v>
      </c>
      <c r="AI134" s="61">
        <v>23</v>
      </c>
      <c r="AJ134" s="63">
        <f t="shared" si="32"/>
        <v>0.45456061683107818</v>
      </c>
      <c r="AK134" s="61">
        <v>2.3879727217638953</v>
      </c>
      <c r="AL134" s="61">
        <v>0</v>
      </c>
      <c r="AM134" s="63">
        <f t="shared" si="33"/>
        <v>0</v>
      </c>
      <c r="AN134" s="61">
        <v>2.1637635230807177</v>
      </c>
      <c r="AO134" s="61">
        <v>0</v>
      </c>
      <c r="AP134" s="63">
        <f t="shared" si="34"/>
        <v>0</v>
      </c>
      <c r="AQ134" s="61">
        <v>2.6883176108158651</v>
      </c>
      <c r="AR134" s="61">
        <v>0</v>
      </c>
      <c r="AS134" s="63">
        <f t="shared" si="35"/>
        <v>0</v>
      </c>
      <c r="AT134" s="61">
        <v>3</v>
      </c>
      <c r="AU134" s="61">
        <v>2</v>
      </c>
      <c r="AV134" s="63">
        <f t="shared" si="36"/>
        <v>0.66666666666666663</v>
      </c>
      <c r="AW134" s="61">
        <v>1.7782187462436672</v>
      </c>
      <c r="AX134" s="61">
        <v>0</v>
      </c>
      <c r="AY134" s="63">
        <f t="shared" si="37"/>
        <v>0</v>
      </c>
      <c r="AZ134" s="61">
        <v>4</v>
      </c>
      <c r="BA134" s="61">
        <v>1</v>
      </c>
      <c r="BB134" s="63">
        <f t="shared" si="38"/>
        <v>0.25</v>
      </c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</row>
    <row r="135" spans="1:87" x14ac:dyDescent="0.25">
      <c r="A135" s="128">
        <v>8219</v>
      </c>
      <c r="B135" s="128">
        <v>11768</v>
      </c>
      <c r="C135" s="128">
        <v>1077831095</v>
      </c>
      <c r="D135" s="128" t="s">
        <v>702</v>
      </c>
      <c r="E135" s="128" t="s">
        <v>546</v>
      </c>
      <c r="F135" s="128" t="s">
        <v>546</v>
      </c>
      <c r="G135" s="128" t="s">
        <v>198</v>
      </c>
      <c r="H135" s="128" t="s">
        <v>198</v>
      </c>
      <c r="I135" s="128" t="s">
        <v>1218</v>
      </c>
      <c r="J135" s="128" t="s">
        <v>112</v>
      </c>
      <c r="K135" s="128" t="s">
        <v>698</v>
      </c>
      <c r="L135" s="128">
        <v>43004</v>
      </c>
      <c r="M135" s="128" t="s">
        <v>1146</v>
      </c>
      <c r="N135" s="128">
        <v>4</v>
      </c>
      <c r="O135" s="156">
        <v>0.1</v>
      </c>
      <c r="P135" s="157">
        <v>37944</v>
      </c>
      <c r="Q135" s="61">
        <v>25446.969999999998</v>
      </c>
      <c r="R135" s="63">
        <f t="shared" si="26"/>
        <v>0.67064542483660128</v>
      </c>
      <c r="S135" s="61">
        <v>5698</v>
      </c>
      <c r="T135" s="61">
        <v>0</v>
      </c>
      <c r="U135" s="63">
        <f t="shared" si="27"/>
        <v>0</v>
      </c>
      <c r="V135" s="61">
        <v>12064.627654627144</v>
      </c>
      <c r="W135" s="61">
        <v>4227.3899999999994</v>
      </c>
      <c r="X135" s="63">
        <f t="shared" si="28"/>
        <v>0.35039539727350555</v>
      </c>
      <c r="Y135" s="61">
        <v>154</v>
      </c>
      <c r="Z135" s="102">
        <v>0</v>
      </c>
      <c r="AA135" s="63">
        <f t="shared" si="29"/>
        <v>0</v>
      </c>
      <c r="AB135" s="61">
        <v>10</v>
      </c>
      <c r="AC135" s="61">
        <v>8</v>
      </c>
      <c r="AD135" s="63">
        <f t="shared" si="30"/>
        <v>0.8</v>
      </c>
      <c r="AE135" s="61">
        <v>1</v>
      </c>
      <c r="AF135" s="61">
        <v>2</v>
      </c>
      <c r="AG135" s="63">
        <f t="shared" si="31"/>
        <v>2</v>
      </c>
      <c r="AH135" s="61">
        <v>56.531364222442129</v>
      </c>
      <c r="AI135" s="61">
        <v>51</v>
      </c>
      <c r="AJ135" s="63">
        <f t="shared" si="32"/>
        <v>0.90215406441144652</v>
      </c>
      <c r="AK135" s="61">
        <v>2.3879727217638953</v>
      </c>
      <c r="AL135" s="61">
        <v>1</v>
      </c>
      <c r="AM135" s="63">
        <f t="shared" si="33"/>
        <v>0.41876525258686453</v>
      </c>
      <c r="AN135" s="61">
        <v>2.1637635230807177</v>
      </c>
      <c r="AO135" s="61">
        <v>4</v>
      </c>
      <c r="AP135" s="63">
        <f t="shared" si="34"/>
        <v>1.8486308495971362</v>
      </c>
      <c r="AQ135" s="61">
        <v>3.5844234810878199</v>
      </c>
      <c r="AR135" s="61">
        <v>1</v>
      </c>
      <c r="AS135" s="63">
        <f t="shared" si="35"/>
        <v>0.27898489262672577</v>
      </c>
      <c r="AT135" s="61">
        <v>3</v>
      </c>
      <c r="AU135" s="61">
        <v>1</v>
      </c>
      <c r="AV135" s="63">
        <f t="shared" si="36"/>
        <v>0.33333333333333331</v>
      </c>
      <c r="AW135" s="61">
        <v>1.110497738729566</v>
      </c>
      <c r="AX135" s="61">
        <v>1</v>
      </c>
      <c r="AY135" s="63">
        <f t="shared" si="37"/>
        <v>0.90049710604906064</v>
      </c>
      <c r="AZ135" s="61">
        <v>4</v>
      </c>
      <c r="BA135" s="61">
        <v>2</v>
      </c>
      <c r="BB135" s="63">
        <f t="shared" si="38"/>
        <v>0.5</v>
      </c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</row>
    <row r="136" spans="1:87" x14ac:dyDescent="0.25">
      <c r="A136" s="128">
        <v>19509</v>
      </c>
      <c r="B136" s="128">
        <v>11768</v>
      </c>
      <c r="C136" s="128">
        <v>1061115562</v>
      </c>
      <c r="D136" s="128" t="s">
        <v>703</v>
      </c>
      <c r="E136" s="128" t="s">
        <v>546</v>
      </c>
      <c r="F136" s="128" t="s">
        <v>546</v>
      </c>
      <c r="G136" s="128" t="s">
        <v>218</v>
      </c>
      <c r="H136" s="128" t="s">
        <v>218</v>
      </c>
      <c r="I136" s="128" t="s">
        <v>1218</v>
      </c>
      <c r="J136" s="128" t="s">
        <v>112</v>
      </c>
      <c r="K136" s="128" t="s">
        <v>698</v>
      </c>
      <c r="L136" s="128">
        <v>43004</v>
      </c>
      <c r="M136" s="128"/>
      <c r="N136" s="128"/>
      <c r="O136" s="156"/>
      <c r="P136" s="157">
        <v>40243</v>
      </c>
      <c r="Q136" s="61">
        <v>48740.020000000004</v>
      </c>
      <c r="R136" s="63">
        <f t="shared" si="26"/>
        <v>1.2111428074447732</v>
      </c>
      <c r="S136" s="61">
        <v>4852</v>
      </c>
      <c r="T136" s="61">
        <v>5825.22</v>
      </c>
      <c r="U136" s="63">
        <f t="shared" si="27"/>
        <v>1.2005812036273702</v>
      </c>
      <c r="V136" s="61">
        <v>10611.960587037496</v>
      </c>
      <c r="W136" s="61">
        <v>3931.3</v>
      </c>
      <c r="X136" s="63">
        <f t="shared" si="28"/>
        <v>0.37045934799287522</v>
      </c>
      <c r="Y136" s="61">
        <v>288</v>
      </c>
      <c r="Z136" s="102">
        <v>0</v>
      </c>
      <c r="AA136" s="63">
        <f t="shared" si="29"/>
        <v>0</v>
      </c>
      <c r="AB136" s="61">
        <v>10</v>
      </c>
      <c r="AC136" s="61">
        <v>6</v>
      </c>
      <c r="AD136" s="63">
        <f t="shared" si="30"/>
        <v>0.6</v>
      </c>
      <c r="AE136" s="61">
        <v>1</v>
      </c>
      <c r="AF136" s="61">
        <v>0</v>
      </c>
      <c r="AG136" s="63">
        <f t="shared" si="31"/>
        <v>0</v>
      </c>
      <c r="AH136" s="61">
        <v>56.531364222442129</v>
      </c>
      <c r="AI136" s="61">
        <v>71</v>
      </c>
      <c r="AJ136" s="63">
        <f t="shared" si="32"/>
        <v>1.2559399720237785</v>
      </c>
      <c r="AK136" s="61">
        <v>2.3879727217638953</v>
      </c>
      <c r="AL136" s="61">
        <v>0</v>
      </c>
      <c r="AM136" s="63">
        <f t="shared" si="33"/>
        <v>0</v>
      </c>
      <c r="AN136" s="61">
        <v>2.1637635230807177</v>
      </c>
      <c r="AO136" s="61">
        <v>2</v>
      </c>
      <c r="AP136" s="63">
        <f t="shared" si="34"/>
        <v>0.9243154247985681</v>
      </c>
      <c r="AQ136" s="61">
        <v>3.5844234810878199</v>
      </c>
      <c r="AR136" s="61">
        <v>0</v>
      </c>
      <c r="AS136" s="63">
        <f t="shared" si="35"/>
        <v>0</v>
      </c>
      <c r="AT136" s="61">
        <v>3</v>
      </c>
      <c r="AU136" s="61">
        <v>0</v>
      </c>
      <c r="AV136" s="63">
        <f t="shared" si="36"/>
        <v>0</v>
      </c>
      <c r="AW136" s="61">
        <v>1.177782007687485</v>
      </c>
      <c r="AX136" s="61">
        <v>0</v>
      </c>
      <c r="AY136" s="63">
        <f t="shared" si="37"/>
        <v>0</v>
      </c>
      <c r="AZ136" s="61">
        <v>4</v>
      </c>
      <c r="BA136" s="61">
        <v>2</v>
      </c>
      <c r="BB136" s="63">
        <f t="shared" si="38"/>
        <v>0.5</v>
      </c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</row>
    <row r="137" spans="1:87" x14ac:dyDescent="0.25">
      <c r="A137" s="213">
        <v>3047</v>
      </c>
      <c r="B137" s="213">
        <v>11768</v>
      </c>
      <c r="C137" s="213">
        <v>1099165514</v>
      </c>
      <c r="D137" s="213" t="s">
        <v>704</v>
      </c>
      <c r="E137" s="213" t="s">
        <v>546</v>
      </c>
      <c r="F137" s="213" t="s">
        <v>546</v>
      </c>
      <c r="G137" s="213" t="s">
        <v>490</v>
      </c>
      <c r="H137" s="213" t="s">
        <v>491</v>
      </c>
      <c r="I137" s="213" t="s">
        <v>1218</v>
      </c>
      <c r="J137" s="213" t="s">
        <v>112</v>
      </c>
      <c r="K137" s="213" t="s">
        <v>698</v>
      </c>
      <c r="L137" s="213">
        <v>43004</v>
      </c>
      <c r="M137" s="213"/>
      <c r="N137" s="213"/>
      <c r="O137" s="231"/>
      <c r="P137" s="232">
        <v>17641</v>
      </c>
      <c r="Q137" s="61">
        <v>39094.81</v>
      </c>
      <c r="R137" s="63">
        <f t="shared" si="26"/>
        <v>2.2161334391474403</v>
      </c>
      <c r="S137" s="61">
        <v>4616</v>
      </c>
      <c r="T137" s="61">
        <v>630.4</v>
      </c>
      <c r="U137" s="63">
        <f t="shared" si="27"/>
        <v>0.1365684575389948</v>
      </c>
      <c r="V137" s="61">
        <v>8979.5150405262775</v>
      </c>
      <c r="W137" s="61">
        <v>3876.95</v>
      </c>
      <c r="X137" s="63">
        <f t="shared" si="28"/>
        <v>0.43175494249996565</v>
      </c>
      <c r="Y137" s="61">
        <v>0</v>
      </c>
      <c r="Z137" s="102">
        <v>0</v>
      </c>
      <c r="AA137" s="63" t="e">
        <f t="shared" si="29"/>
        <v>#DIV/0!</v>
      </c>
      <c r="AB137" s="61">
        <v>10</v>
      </c>
      <c r="AC137" s="61">
        <v>4</v>
      </c>
      <c r="AD137" s="63">
        <f t="shared" si="30"/>
        <v>0.4</v>
      </c>
      <c r="AE137" s="61">
        <v>1</v>
      </c>
      <c r="AF137" s="61">
        <v>0</v>
      </c>
      <c r="AG137" s="63">
        <f t="shared" si="31"/>
        <v>0</v>
      </c>
      <c r="AH137" s="61">
        <v>56.531364222442129</v>
      </c>
      <c r="AI137" s="61">
        <v>49</v>
      </c>
      <c r="AJ137" s="63">
        <f t="shared" si="32"/>
        <v>0.86677547365021335</v>
      </c>
      <c r="AK137" s="61">
        <v>2.3879727217638953</v>
      </c>
      <c r="AL137" s="61">
        <v>0</v>
      </c>
      <c r="AM137" s="63">
        <f t="shared" si="33"/>
        <v>0</v>
      </c>
      <c r="AN137" s="61">
        <v>2.1637635230807177</v>
      </c>
      <c r="AO137" s="61">
        <v>0</v>
      </c>
      <c r="AP137" s="63">
        <f t="shared" si="34"/>
        <v>0</v>
      </c>
      <c r="AQ137" s="61">
        <v>3.5844234810878199</v>
      </c>
      <c r="AR137" s="61">
        <v>1</v>
      </c>
      <c r="AS137" s="63">
        <f t="shared" si="35"/>
        <v>0.27898489262672577</v>
      </c>
      <c r="AT137" s="61">
        <v>3</v>
      </c>
      <c r="AU137" s="61">
        <v>0</v>
      </c>
      <c r="AV137" s="63">
        <f t="shared" si="36"/>
        <v>0</v>
      </c>
      <c r="AW137" s="61">
        <v>0.51629481891546158</v>
      </c>
      <c r="AX137" s="61">
        <v>0</v>
      </c>
      <c r="AY137" s="63">
        <f t="shared" si="37"/>
        <v>0</v>
      </c>
      <c r="AZ137" s="61">
        <v>4</v>
      </c>
      <c r="BA137" s="61">
        <v>1</v>
      </c>
      <c r="BB137" s="63">
        <f t="shared" si="38"/>
        <v>0.25</v>
      </c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</row>
    <row r="138" spans="1:87" x14ac:dyDescent="0.25">
      <c r="A138" s="128">
        <v>8220</v>
      </c>
      <c r="B138" s="128">
        <v>11768</v>
      </c>
      <c r="C138" s="128">
        <v>1075262004</v>
      </c>
      <c r="D138" s="128" t="s">
        <v>705</v>
      </c>
      <c r="E138" s="128" t="s">
        <v>546</v>
      </c>
      <c r="F138" s="128" t="s">
        <v>546</v>
      </c>
      <c r="G138" s="128" t="s">
        <v>385</v>
      </c>
      <c r="H138" s="128" t="s">
        <v>385</v>
      </c>
      <c r="I138" s="128" t="s">
        <v>1218</v>
      </c>
      <c r="J138" s="128" t="s">
        <v>112</v>
      </c>
      <c r="K138" s="128" t="s">
        <v>698</v>
      </c>
      <c r="L138" s="128">
        <v>43004</v>
      </c>
      <c r="M138" s="128" t="s">
        <v>1148</v>
      </c>
      <c r="N138" s="128"/>
      <c r="O138" s="156">
        <v>0.5</v>
      </c>
      <c r="P138" s="157">
        <v>37670</v>
      </c>
      <c r="Q138" s="61">
        <v>78583.509999999995</v>
      </c>
      <c r="R138" s="63">
        <f t="shared" si="26"/>
        <v>2.08610326519777</v>
      </c>
      <c r="S138" s="61">
        <v>5635</v>
      </c>
      <c r="T138" s="61">
        <v>1216.52</v>
      </c>
      <c r="U138" s="63">
        <f t="shared" si="27"/>
        <v>0.21588642413487133</v>
      </c>
      <c r="V138" s="61">
        <v>8133.3701729636023</v>
      </c>
      <c r="W138" s="61">
        <v>10149.029999999999</v>
      </c>
      <c r="X138" s="63">
        <f t="shared" si="28"/>
        <v>1.2478259053961072</v>
      </c>
      <c r="Y138" s="61">
        <v>1721</v>
      </c>
      <c r="Z138" s="102">
        <v>0</v>
      </c>
      <c r="AA138" s="63">
        <f t="shared" si="29"/>
        <v>0</v>
      </c>
      <c r="AB138" s="61">
        <v>5</v>
      </c>
      <c r="AC138" s="61">
        <v>9</v>
      </c>
      <c r="AD138" s="63">
        <f t="shared" si="30"/>
        <v>1.8</v>
      </c>
      <c r="AE138" s="61">
        <v>1</v>
      </c>
      <c r="AF138" s="61">
        <v>1</v>
      </c>
      <c r="AG138" s="63">
        <f t="shared" si="31"/>
        <v>1</v>
      </c>
      <c r="AH138" s="61">
        <v>29.765682111221064</v>
      </c>
      <c r="AI138" s="61">
        <v>91</v>
      </c>
      <c r="AJ138" s="63">
        <f t="shared" si="32"/>
        <v>3.0572119819049881</v>
      </c>
      <c r="AK138" s="61">
        <v>1.5919818145092635</v>
      </c>
      <c r="AL138" s="61">
        <v>1</v>
      </c>
      <c r="AM138" s="63">
        <f t="shared" si="33"/>
        <v>0.62814787888029688</v>
      </c>
      <c r="AN138" s="61">
        <v>1.4425090153871452</v>
      </c>
      <c r="AO138" s="61">
        <v>3</v>
      </c>
      <c r="AP138" s="63">
        <f t="shared" si="34"/>
        <v>2.0797097057967782</v>
      </c>
      <c r="AQ138" s="61">
        <v>2.6883176108158651</v>
      </c>
      <c r="AR138" s="61">
        <v>3</v>
      </c>
      <c r="AS138" s="63">
        <f t="shared" si="35"/>
        <v>1.1159395705069031</v>
      </c>
      <c r="AT138" s="61">
        <v>2</v>
      </c>
      <c r="AU138" s="61">
        <v>0</v>
      </c>
      <c r="AV138" s="63">
        <f t="shared" si="36"/>
        <v>0</v>
      </c>
      <c r="AW138" s="61">
        <v>1.1024786479533721</v>
      </c>
      <c r="AX138" s="61">
        <v>0</v>
      </c>
      <c r="AY138" s="63">
        <f t="shared" si="37"/>
        <v>0</v>
      </c>
      <c r="AZ138" s="61">
        <v>2</v>
      </c>
      <c r="BA138" s="61">
        <v>0</v>
      </c>
      <c r="BB138" s="63">
        <f t="shared" si="38"/>
        <v>0</v>
      </c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</row>
    <row r="139" spans="1:87" x14ac:dyDescent="0.25">
      <c r="A139" s="128">
        <v>825</v>
      </c>
      <c r="B139" s="128">
        <v>19282</v>
      </c>
      <c r="C139" s="128">
        <v>2012891798</v>
      </c>
      <c r="D139" s="128" t="s">
        <v>706</v>
      </c>
      <c r="E139" s="128" t="s">
        <v>541</v>
      </c>
      <c r="F139" s="128" t="s">
        <v>541</v>
      </c>
      <c r="G139" s="128" t="s">
        <v>199</v>
      </c>
      <c r="H139" s="128" t="s">
        <v>200</v>
      </c>
      <c r="I139" s="128" t="s">
        <v>1218</v>
      </c>
      <c r="J139" s="128" t="s">
        <v>112</v>
      </c>
      <c r="K139" s="128" t="s">
        <v>482</v>
      </c>
      <c r="L139" s="128">
        <v>13013</v>
      </c>
      <c r="M139" s="128"/>
      <c r="N139" s="128"/>
      <c r="O139" s="156"/>
      <c r="P139" s="157">
        <v>256822</v>
      </c>
      <c r="Q139" s="61">
        <v>0</v>
      </c>
      <c r="R139" s="63">
        <f t="shared" si="26"/>
        <v>0</v>
      </c>
      <c r="S139" s="61">
        <v>34208</v>
      </c>
      <c r="T139" s="61">
        <v>0</v>
      </c>
      <c r="U139" s="63">
        <f t="shared" si="27"/>
        <v>0</v>
      </c>
      <c r="V139" s="61">
        <v>69164.483035343364</v>
      </c>
      <c r="W139" s="61">
        <v>0</v>
      </c>
      <c r="X139" s="63">
        <f t="shared" si="28"/>
        <v>0</v>
      </c>
      <c r="Y139" s="61">
        <v>2961</v>
      </c>
      <c r="Z139" s="102">
        <v>0</v>
      </c>
      <c r="AA139" s="63">
        <f t="shared" si="29"/>
        <v>0</v>
      </c>
      <c r="AB139" s="61">
        <v>61</v>
      </c>
      <c r="AC139" s="61">
        <v>0</v>
      </c>
      <c r="AD139" s="63">
        <f t="shared" si="30"/>
        <v>0</v>
      </c>
      <c r="AE139" s="61">
        <v>9</v>
      </c>
      <c r="AF139" s="61">
        <v>0</v>
      </c>
      <c r="AG139" s="63">
        <f t="shared" si="31"/>
        <v>0</v>
      </c>
      <c r="AH139" s="61">
        <v>327.35555525520914</v>
      </c>
      <c r="AI139" s="61">
        <v>0</v>
      </c>
      <c r="AJ139" s="63">
        <f t="shared" si="32"/>
        <v>0</v>
      </c>
      <c r="AK139" s="61">
        <v>13.53184542332874</v>
      </c>
      <c r="AL139" s="61">
        <v>0</v>
      </c>
      <c r="AM139" s="63">
        <f t="shared" si="33"/>
        <v>0</v>
      </c>
      <c r="AN139" s="61">
        <v>12.261326630790734</v>
      </c>
      <c r="AO139" s="61">
        <v>0</v>
      </c>
      <c r="AP139" s="63">
        <f t="shared" si="34"/>
        <v>0</v>
      </c>
      <c r="AQ139" s="61">
        <v>25.987070237886694</v>
      </c>
      <c r="AR139" s="61">
        <v>0</v>
      </c>
      <c r="AS139" s="63">
        <f t="shared" si="35"/>
        <v>0</v>
      </c>
      <c r="AT139" s="61">
        <v>20</v>
      </c>
      <c r="AU139" s="61">
        <v>0</v>
      </c>
      <c r="AV139" s="63">
        <f t="shared" si="36"/>
        <v>0</v>
      </c>
      <c r="AW139" s="61">
        <v>7.5163464646849203</v>
      </c>
      <c r="AX139" s="61">
        <v>0</v>
      </c>
      <c r="AY139" s="63">
        <f t="shared" si="37"/>
        <v>0</v>
      </c>
      <c r="AZ139" s="61">
        <v>24</v>
      </c>
      <c r="BA139" s="61">
        <v>0</v>
      </c>
      <c r="BB139" s="63">
        <f t="shared" si="38"/>
        <v>0</v>
      </c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</row>
    <row r="140" spans="1:87" x14ac:dyDescent="0.25">
      <c r="A140" s="128">
        <v>19506</v>
      </c>
      <c r="B140" s="128">
        <v>825</v>
      </c>
      <c r="C140" s="128">
        <v>1064203035</v>
      </c>
      <c r="D140" s="128" t="s">
        <v>707</v>
      </c>
      <c r="E140" s="128" t="s">
        <v>544</v>
      </c>
      <c r="F140" s="128" t="s">
        <v>544</v>
      </c>
      <c r="G140" s="128" t="s">
        <v>216</v>
      </c>
      <c r="H140" s="128" t="s">
        <v>217</v>
      </c>
      <c r="I140" s="128" t="s">
        <v>1218</v>
      </c>
      <c r="J140" s="128" t="s">
        <v>112</v>
      </c>
      <c r="K140" s="128" t="s">
        <v>482</v>
      </c>
      <c r="L140" s="128">
        <v>13013</v>
      </c>
      <c r="M140" s="128"/>
      <c r="N140" s="128"/>
      <c r="O140" s="156"/>
      <c r="P140" s="157">
        <v>256822</v>
      </c>
      <c r="Q140" s="61">
        <v>0</v>
      </c>
      <c r="R140" s="63">
        <f t="shared" si="26"/>
        <v>0</v>
      </c>
      <c r="S140" s="61">
        <v>34208</v>
      </c>
      <c r="T140" s="61">
        <v>0</v>
      </c>
      <c r="U140" s="63">
        <f t="shared" si="27"/>
        <v>0</v>
      </c>
      <c r="V140" s="61">
        <v>69164.483035343364</v>
      </c>
      <c r="W140" s="61">
        <v>0</v>
      </c>
      <c r="X140" s="63">
        <f t="shared" si="28"/>
        <v>0</v>
      </c>
      <c r="Y140" s="61">
        <v>2961</v>
      </c>
      <c r="Z140" s="102">
        <v>0</v>
      </c>
      <c r="AA140" s="63">
        <f t="shared" si="29"/>
        <v>0</v>
      </c>
      <c r="AB140" s="61">
        <v>61</v>
      </c>
      <c r="AC140" s="61">
        <v>0</v>
      </c>
      <c r="AD140" s="63">
        <f t="shared" si="30"/>
        <v>0</v>
      </c>
      <c r="AE140" s="61">
        <v>9</v>
      </c>
      <c r="AF140" s="61">
        <v>0</v>
      </c>
      <c r="AG140" s="63">
        <f t="shared" si="31"/>
        <v>0</v>
      </c>
      <c r="AH140" s="61">
        <v>327.35555525520914</v>
      </c>
      <c r="AI140" s="61">
        <v>3</v>
      </c>
      <c r="AJ140" s="63">
        <f t="shared" si="32"/>
        <v>9.1643473032286711E-3</v>
      </c>
      <c r="AK140" s="61">
        <v>13.53184542332874</v>
      </c>
      <c r="AL140" s="61">
        <v>0</v>
      </c>
      <c r="AM140" s="63">
        <f t="shared" si="33"/>
        <v>0</v>
      </c>
      <c r="AN140" s="61">
        <v>12.261326630790734</v>
      </c>
      <c r="AO140" s="61">
        <v>0</v>
      </c>
      <c r="AP140" s="63">
        <f t="shared" si="34"/>
        <v>0</v>
      </c>
      <c r="AQ140" s="61">
        <v>25.987070237886694</v>
      </c>
      <c r="AR140" s="61">
        <v>0</v>
      </c>
      <c r="AS140" s="63">
        <f t="shared" si="35"/>
        <v>0</v>
      </c>
      <c r="AT140" s="61">
        <v>20</v>
      </c>
      <c r="AU140" s="61">
        <v>0</v>
      </c>
      <c r="AV140" s="63">
        <f t="shared" si="36"/>
        <v>0</v>
      </c>
      <c r="AW140" s="61">
        <v>7.5163464646849203</v>
      </c>
      <c r="AX140" s="61">
        <v>0</v>
      </c>
      <c r="AY140" s="63">
        <f t="shared" si="37"/>
        <v>0</v>
      </c>
      <c r="AZ140" s="61">
        <v>24</v>
      </c>
      <c r="BA140" s="61">
        <v>0</v>
      </c>
      <c r="BB140" s="63">
        <f t="shared" si="38"/>
        <v>0</v>
      </c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</row>
    <row r="141" spans="1:87" x14ac:dyDescent="0.25">
      <c r="A141" s="128">
        <v>19554</v>
      </c>
      <c r="B141" s="128">
        <v>19506</v>
      </c>
      <c r="C141" s="128">
        <v>1088354160</v>
      </c>
      <c r="D141" s="128" t="s">
        <v>708</v>
      </c>
      <c r="E141" s="128" t="s">
        <v>546</v>
      </c>
      <c r="F141" s="128" t="s">
        <v>546</v>
      </c>
      <c r="G141" s="128" t="s">
        <v>219</v>
      </c>
      <c r="H141" s="128" t="s">
        <v>219</v>
      </c>
      <c r="I141" s="128" t="s">
        <v>1218</v>
      </c>
      <c r="J141" s="128" t="s">
        <v>112</v>
      </c>
      <c r="K141" s="128" t="s">
        <v>482</v>
      </c>
      <c r="L141" s="128">
        <v>13013</v>
      </c>
      <c r="M141" s="128" t="s">
        <v>1215</v>
      </c>
      <c r="N141" s="128"/>
      <c r="O141" s="156"/>
      <c r="P141" s="157">
        <v>47084</v>
      </c>
      <c r="Q141" s="61">
        <v>40863.5</v>
      </c>
      <c r="R141" s="63">
        <f t="shared" si="26"/>
        <v>0.86788505649477532</v>
      </c>
      <c r="S141" s="61">
        <v>5342</v>
      </c>
      <c r="T141" s="61">
        <v>0</v>
      </c>
      <c r="U141" s="63">
        <f t="shared" si="27"/>
        <v>0</v>
      </c>
      <c r="V141" s="61">
        <v>13080.155262993432</v>
      </c>
      <c r="W141" s="61">
        <v>8403.0400000000009</v>
      </c>
      <c r="X141" s="63">
        <f t="shared" si="28"/>
        <v>0.64242662499381831</v>
      </c>
      <c r="Y141" s="61">
        <v>740</v>
      </c>
      <c r="Z141" s="102">
        <v>0</v>
      </c>
      <c r="AA141" s="63">
        <f t="shared" si="29"/>
        <v>0</v>
      </c>
      <c r="AB141" s="61">
        <v>12</v>
      </c>
      <c r="AC141" s="61">
        <v>7</v>
      </c>
      <c r="AD141" s="63">
        <f t="shared" si="30"/>
        <v>0.58333333333333337</v>
      </c>
      <c r="AE141" s="61">
        <v>2</v>
      </c>
      <c r="AF141" s="61">
        <v>1</v>
      </c>
      <c r="AG141" s="63">
        <f t="shared" si="31"/>
        <v>0.5</v>
      </c>
      <c r="AH141" s="61">
        <v>65.464416254219572</v>
      </c>
      <c r="AI141" s="61">
        <v>42</v>
      </c>
      <c r="AJ141" s="63">
        <f t="shared" si="32"/>
        <v>0.64156991543161968</v>
      </c>
      <c r="AK141" s="61">
        <v>2.3879727217638953</v>
      </c>
      <c r="AL141" s="61">
        <v>1</v>
      </c>
      <c r="AM141" s="63">
        <f t="shared" si="33"/>
        <v>0.41876525258686453</v>
      </c>
      <c r="AN141" s="61">
        <v>2.1637635230807177</v>
      </c>
      <c r="AO141" s="61">
        <v>0</v>
      </c>
      <c r="AP141" s="63">
        <f t="shared" si="34"/>
        <v>0</v>
      </c>
      <c r="AQ141" s="61">
        <v>3.5844234810878199</v>
      </c>
      <c r="AR141" s="61">
        <v>1</v>
      </c>
      <c r="AS141" s="63">
        <f t="shared" si="35"/>
        <v>0.27898489262672577</v>
      </c>
      <c r="AT141" s="61">
        <v>2</v>
      </c>
      <c r="AU141" s="61">
        <v>1</v>
      </c>
      <c r="AV141" s="63">
        <f t="shared" si="36"/>
        <v>0.5</v>
      </c>
      <c r="AW141" s="61">
        <v>1.3779958763004134</v>
      </c>
      <c r="AX141" s="61">
        <v>0</v>
      </c>
      <c r="AY141" s="63">
        <f t="shared" si="37"/>
        <v>0</v>
      </c>
      <c r="AZ141" s="61">
        <v>5</v>
      </c>
      <c r="BA141" s="61">
        <v>1</v>
      </c>
      <c r="BB141" s="63">
        <f t="shared" si="38"/>
        <v>0.2</v>
      </c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</row>
    <row r="142" spans="1:87" x14ac:dyDescent="0.25">
      <c r="A142" s="213">
        <v>19480</v>
      </c>
      <c r="B142" s="213">
        <v>19506</v>
      </c>
      <c r="C142" s="213">
        <v>1006275190</v>
      </c>
      <c r="D142" s="213" t="s">
        <v>709</v>
      </c>
      <c r="E142" s="213" t="s">
        <v>546</v>
      </c>
      <c r="F142" s="213" t="s">
        <v>546</v>
      </c>
      <c r="G142" s="213" t="s">
        <v>205</v>
      </c>
      <c r="H142" s="213" t="s">
        <v>205</v>
      </c>
      <c r="I142" s="213" t="s">
        <v>1218</v>
      </c>
      <c r="J142" s="213" t="s">
        <v>112</v>
      </c>
      <c r="K142" s="213" t="s">
        <v>482</v>
      </c>
      <c r="L142" s="213">
        <v>13013</v>
      </c>
      <c r="M142" s="213" t="s">
        <v>1219</v>
      </c>
      <c r="N142" s="213"/>
      <c r="O142" s="231">
        <v>0.2</v>
      </c>
      <c r="P142" s="232">
        <v>41948</v>
      </c>
      <c r="Q142" s="61">
        <v>29999.14</v>
      </c>
      <c r="R142" s="63">
        <f t="shared" si="26"/>
        <v>0.71515066272527894</v>
      </c>
      <c r="S142" s="61">
        <v>5189</v>
      </c>
      <c r="T142" s="61">
        <v>0</v>
      </c>
      <c r="U142" s="63">
        <f t="shared" si="27"/>
        <v>0</v>
      </c>
      <c r="V142" s="61">
        <v>10786.749935401342</v>
      </c>
      <c r="W142" s="61">
        <v>11013.49</v>
      </c>
      <c r="X142" s="63">
        <f t="shared" si="28"/>
        <v>1.0210202392710073</v>
      </c>
      <c r="Y142" s="61">
        <v>444</v>
      </c>
      <c r="Z142" s="102">
        <v>0</v>
      </c>
      <c r="AA142" s="63">
        <f t="shared" si="29"/>
        <v>0</v>
      </c>
      <c r="AB142" s="61">
        <v>10</v>
      </c>
      <c r="AC142" s="61">
        <v>3</v>
      </c>
      <c r="AD142" s="63">
        <f t="shared" si="30"/>
        <v>0.3</v>
      </c>
      <c r="AE142" s="61">
        <v>1</v>
      </c>
      <c r="AF142" s="61">
        <v>0</v>
      </c>
      <c r="AG142" s="63">
        <f t="shared" si="31"/>
        <v>0</v>
      </c>
      <c r="AH142" s="61">
        <v>53.564838206553404</v>
      </c>
      <c r="AI142" s="61">
        <v>25</v>
      </c>
      <c r="AJ142" s="63">
        <f t="shared" si="32"/>
        <v>0.46672408313073871</v>
      </c>
      <c r="AK142" s="61">
        <v>2.3879727217638953</v>
      </c>
      <c r="AL142" s="61">
        <v>1</v>
      </c>
      <c r="AM142" s="63">
        <f t="shared" si="33"/>
        <v>0.41876525258686453</v>
      </c>
      <c r="AN142" s="61">
        <v>2.1637635230807177</v>
      </c>
      <c r="AO142" s="61">
        <v>0</v>
      </c>
      <c r="AP142" s="63">
        <f t="shared" si="34"/>
        <v>0</v>
      </c>
      <c r="AQ142" s="61">
        <v>2.6883176108158651</v>
      </c>
      <c r="AR142" s="61">
        <v>3</v>
      </c>
      <c r="AS142" s="63">
        <f t="shared" si="35"/>
        <v>1.1159395705069031</v>
      </c>
      <c r="AT142" s="61">
        <v>11</v>
      </c>
      <c r="AU142" s="61">
        <v>16</v>
      </c>
      <c r="AV142" s="63">
        <f t="shared" si="36"/>
        <v>1.4545454545454546</v>
      </c>
      <c r="AW142" s="61">
        <v>1.2276818243787644</v>
      </c>
      <c r="AX142" s="61">
        <v>0</v>
      </c>
      <c r="AY142" s="63">
        <f t="shared" si="37"/>
        <v>0</v>
      </c>
      <c r="AZ142" s="61">
        <v>4</v>
      </c>
      <c r="BA142" s="61">
        <v>1</v>
      </c>
      <c r="BB142" s="63">
        <f t="shared" si="38"/>
        <v>0.25</v>
      </c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</row>
    <row r="143" spans="1:87" x14ac:dyDescent="0.25">
      <c r="A143" s="207">
        <v>19534</v>
      </c>
      <c r="B143" s="207">
        <v>19506</v>
      </c>
      <c r="C143" s="207">
        <v>1045376108</v>
      </c>
      <c r="D143" s="207" t="s">
        <v>711</v>
      </c>
      <c r="E143" s="207" t="s">
        <v>546</v>
      </c>
      <c r="F143" s="207" t="s">
        <v>546</v>
      </c>
      <c r="G143" s="207" t="s">
        <v>202</v>
      </c>
      <c r="H143" s="207" t="s">
        <v>203</v>
      </c>
      <c r="I143" s="207" t="s">
        <v>1218</v>
      </c>
      <c r="J143" s="207" t="s">
        <v>112</v>
      </c>
      <c r="K143" s="207" t="s">
        <v>482</v>
      </c>
      <c r="L143" s="207">
        <v>13013</v>
      </c>
      <c r="M143" s="207" t="s">
        <v>1143</v>
      </c>
      <c r="N143" s="207"/>
      <c r="O143" s="229">
        <v>0.5</v>
      </c>
      <c r="P143" s="230">
        <v>36811</v>
      </c>
      <c r="Q143" s="61">
        <v>61933.06</v>
      </c>
      <c r="R143" s="63">
        <f t="shared" si="26"/>
        <v>1.6824606775148732</v>
      </c>
      <c r="S143" s="61">
        <v>4442</v>
      </c>
      <c r="T143" s="61">
        <v>0</v>
      </c>
      <c r="U143" s="63">
        <f t="shared" si="27"/>
        <v>0</v>
      </c>
      <c r="V143" s="61">
        <v>9202.122582875576</v>
      </c>
      <c r="W143" s="61">
        <v>12406.97</v>
      </c>
      <c r="X143" s="63">
        <f t="shared" si="28"/>
        <v>1.348272628218232</v>
      </c>
      <c r="Y143" s="61">
        <v>474</v>
      </c>
      <c r="Z143" s="102">
        <v>0</v>
      </c>
      <c r="AA143" s="63">
        <f t="shared" si="29"/>
        <v>0</v>
      </c>
      <c r="AB143" s="61">
        <v>7</v>
      </c>
      <c r="AC143" s="61">
        <v>4</v>
      </c>
      <c r="AD143" s="63">
        <f t="shared" si="30"/>
        <v>0.5714285714285714</v>
      </c>
      <c r="AE143" s="61">
        <v>1</v>
      </c>
      <c r="AF143" s="61">
        <v>0</v>
      </c>
      <c r="AG143" s="63">
        <f t="shared" si="31"/>
        <v>0</v>
      </c>
      <c r="AH143" s="61">
        <v>37.698734142998511</v>
      </c>
      <c r="AI143" s="61">
        <v>23</v>
      </c>
      <c r="AJ143" s="63">
        <f t="shared" si="32"/>
        <v>0.61010006099293945</v>
      </c>
      <c r="AK143" s="61">
        <v>1.5919818145092635</v>
      </c>
      <c r="AL143" s="61">
        <v>5</v>
      </c>
      <c r="AM143" s="63">
        <f t="shared" si="33"/>
        <v>3.1407393944014843</v>
      </c>
      <c r="AN143" s="61">
        <v>1.4425090153871452</v>
      </c>
      <c r="AO143" s="61">
        <v>1</v>
      </c>
      <c r="AP143" s="63">
        <f t="shared" si="34"/>
        <v>0.69323656859892613</v>
      </c>
      <c r="AQ143" s="61">
        <v>1.79221174054391</v>
      </c>
      <c r="AR143" s="61">
        <v>4</v>
      </c>
      <c r="AS143" s="63">
        <f t="shared" si="35"/>
        <v>2.2318791410138061</v>
      </c>
      <c r="AT143" s="61">
        <v>1</v>
      </c>
      <c r="AU143" s="61">
        <v>1</v>
      </c>
      <c r="AV143" s="63">
        <f t="shared" si="36"/>
        <v>1</v>
      </c>
      <c r="AW143" s="61">
        <v>1.0773385057024578</v>
      </c>
      <c r="AX143" s="61">
        <v>0</v>
      </c>
      <c r="AY143" s="63">
        <f t="shared" si="37"/>
        <v>0</v>
      </c>
      <c r="AZ143" s="61">
        <v>3</v>
      </c>
      <c r="BA143" s="61">
        <v>3</v>
      </c>
      <c r="BB143" s="63">
        <f t="shared" si="38"/>
        <v>1</v>
      </c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</row>
    <row r="144" spans="1:87" x14ac:dyDescent="0.25">
      <c r="A144" s="128">
        <v>19553</v>
      </c>
      <c r="B144" s="128">
        <v>19506</v>
      </c>
      <c r="C144" s="128">
        <v>1041407568</v>
      </c>
      <c r="D144" s="128" t="s">
        <v>712</v>
      </c>
      <c r="E144" s="128" t="s">
        <v>546</v>
      </c>
      <c r="F144" s="128" t="s">
        <v>546</v>
      </c>
      <c r="G144" s="128" t="s">
        <v>386</v>
      </c>
      <c r="H144" s="128" t="s">
        <v>386</v>
      </c>
      <c r="I144" s="128" t="s">
        <v>1218</v>
      </c>
      <c r="J144" s="128" t="s">
        <v>112</v>
      </c>
      <c r="K144" s="128" t="s">
        <v>482</v>
      </c>
      <c r="L144" s="128">
        <v>13013</v>
      </c>
      <c r="M144" s="128" t="s">
        <v>1146</v>
      </c>
      <c r="N144" s="128">
        <v>6</v>
      </c>
      <c r="O144" s="156">
        <v>0.1</v>
      </c>
      <c r="P144" s="157">
        <v>39379</v>
      </c>
      <c r="Q144" s="61">
        <v>33621.75</v>
      </c>
      <c r="R144" s="63">
        <f t="shared" si="26"/>
        <v>0.8537989791513243</v>
      </c>
      <c r="S144" s="61">
        <v>9003</v>
      </c>
      <c r="T144" s="61">
        <v>3847.83</v>
      </c>
      <c r="U144" s="63">
        <f t="shared" si="27"/>
        <v>0.42739420193268912</v>
      </c>
      <c r="V144" s="61">
        <v>13622.017572671597</v>
      </c>
      <c r="W144" s="61">
        <v>6479.12</v>
      </c>
      <c r="X144" s="63">
        <f t="shared" si="28"/>
        <v>0.47563585683506737</v>
      </c>
      <c r="Y144" s="61">
        <v>355</v>
      </c>
      <c r="Z144" s="102">
        <v>0</v>
      </c>
      <c r="AA144" s="63">
        <f t="shared" si="29"/>
        <v>0</v>
      </c>
      <c r="AB144" s="61">
        <v>11</v>
      </c>
      <c r="AC144" s="61">
        <v>4</v>
      </c>
      <c r="AD144" s="63">
        <f t="shared" si="30"/>
        <v>0.36363636363636365</v>
      </c>
      <c r="AE144" s="61">
        <v>2</v>
      </c>
      <c r="AF144" s="61">
        <v>0</v>
      </c>
      <c r="AG144" s="63">
        <f t="shared" si="31"/>
        <v>0</v>
      </c>
      <c r="AH144" s="61">
        <v>58.531364222442129</v>
      </c>
      <c r="AI144" s="61">
        <v>15</v>
      </c>
      <c r="AJ144" s="63">
        <f t="shared" si="32"/>
        <v>0.25627285813797401</v>
      </c>
      <c r="AK144" s="61">
        <v>2.3879727217638953</v>
      </c>
      <c r="AL144" s="61">
        <v>1</v>
      </c>
      <c r="AM144" s="63">
        <f t="shared" si="33"/>
        <v>0.41876525258686453</v>
      </c>
      <c r="AN144" s="61">
        <v>2.1637635230807177</v>
      </c>
      <c r="AO144" s="61">
        <v>2</v>
      </c>
      <c r="AP144" s="63">
        <f t="shared" si="34"/>
        <v>0.9243154247985681</v>
      </c>
      <c r="AQ144" s="61">
        <v>3.5844234810878199</v>
      </c>
      <c r="AR144" s="61">
        <v>2</v>
      </c>
      <c r="AS144" s="63">
        <f t="shared" si="35"/>
        <v>0.55796978525345153</v>
      </c>
      <c r="AT144" s="61">
        <v>2</v>
      </c>
      <c r="AU144" s="61">
        <v>1</v>
      </c>
      <c r="AV144" s="63">
        <f t="shared" si="36"/>
        <v>0.5</v>
      </c>
      <c r="AW144" s="61">
        <v>1.1524955316632823</v>
      </c>
      <c r="AX144" s="61">
        <v>0</v>
      </c>
      <c r="AY144" s="63">
        <f t="shared" si="37"/>
        <v>0</v>
      </c>
      <c r="AZ144" s="61">
        <v>4</v>
      </c>
      <c r="BA144" s="61">
        <v>5</v>
      </c>
      <c r="BB144" s="63">
        <f t="shared" si="38"/>
        <v>1.25</v>
      </c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</row>
    <row r="145" spans="1:87" x14ac:dyDescent="0.25">
      <c r="A145" s="128">
        <v>19481</v>
      </c>
      <c r="B145" s="128">
        <v>19506</v>
      </c>
      <c r="C145" s="128">
        <v>1096582471</v>
      </c>
      <c r="D145" s="128" t="s">
        <v>730</v>
      </c>
      <c r="E145" s="128" t="s">
        <v>546</v>
      </c>
      <c r="F145" s="128" t="s">
        <v>546</v>
      </c>
      <c r="G145" s="128" t="s">
        <v>215</v>
      </c>
      <c r="H145" s="128" t="s">
        <v>215</v>
      </c>
      <c r="I145" s="128" t="s">
        <v>1218</v>
      </c>
      <c r="J145" s="128" t="s">
        <v>112</v>
      </c>
      <c r="K145" s="128" t="s">
        <v>482</v>
      </c>
      <c r="L145" s="128">
        <v>13013</v>
      </c>
      <c r="M145" s="128" t="s">
        <v>1219</v>
      </c>
      <c r="N145" s="128"/>
      <c r="O145" s="156">
        <v>0.2</v>
      </c>
      <c r="P145" s="157">
        <v>41948</v>
      </c>
      <c r="Q145" s="61">
        <v>90426.99000000002</v>
      </c>
      <c r="R145" s="63">
        <f t="shared" si="26"/>
        <v>2.1556925240774296</v>
      </c>
      <c r="S145" s="61">
        <v>5352</v>
      </c>
      <c r="T145" s="61">
        <v>3216.52</v>
      </c>
      <c r="U145" s="63">
        <f t="shared" si="27"/>
        <v>0.60099402092675636</v>
      </c>
      <c r="V145" s="61">
        <v>11204.420108729817</v>
      </c>
      <c r="W145" s="61">
        <v>18552.559999999998</v>
      </c>
      <c r="X145" s="63">
        <f t="shared" si="28"/>
        <v>1.6558250958070511</v>
      </c>
      <c r="Y145" s="61">
        <v>385</v>
      </c>
      <c r="Z145" s="102">
        <v>0</v>
      </c>
      <c r="AA145" s="63">
        <f t="shared" si="29"/>
        <v>0</v>
      </c>
      <c r="AB145" s="61">
        <v>10</v>
      </c>
      <c r="AC145" s="61">
        <v>8</v>
      </c>
      <c r="AD145" s="63">
        <f t="shared" si="30"/>
        <v>0.8</v>
      </c>
      <c r="AE145" s="61">
        <v>1</v>
      </c>
      <c r="AF145" s="61">
        <v>2</v>
      </c>
      <c r="AG145" s="63">
        <f t="shared" si="31"/>
        <v>2</v>
      </c>
      <c r="AH145" s="61">
        <v>53.564838206553404</v>
      </c>
      <c r="AI145" s="61">
        <v>44</v>
      </c>
      <c r="AJ145" s="63">
        <f t="shared" si="32"/>
        <v>0.82143438631010013</v>
      </c>
      <c r="AK145" s="61">
        <v>2.3879727217638953</v>
      </c>
      <c r="AL145" s="61">
        <v>1</v>
      </c>
      <c r="AM145" s="63">
        <f t="shared" si="33"/>
        <v>0.41876525258686453</v>
      </c>
      <c r="AN145" s="61">
        <v>2.1637635230807177</v>
      </c>
      <c r="AO145" s="61">
        <v>1</v>
      </c>
      <c r="AP145" s="63">
        <f t="shared" si="34"/>
        <v>0.46215771239928405</v>
      </c>
      <c r="AQ145" s="61">
        <v>10.75327044326346</v>
      </c>
      <c r="AR145" s="61">
        <v>5</v>
      </c>
      <c r="AS145" s="63">
        <f t="shared" si="35"/>
        <v>0.46497482104454291</v>
      </c>
      <c r="AT145" s="61">
        <v>2</v>
      </c>
      <c r="AU145" s="61">
        <v>3</v>
      </c>
      <c r="AV145" s="63">
        <f t="shared" si="36"/>
        <v>1.5</v>
      </c>
      <c r="AW145" s="61">
        <v>1.2276818243787644</v>
      </c>
      <c r="AX145" s="61">
        <v>0</v>
      </c>
      <c r="AY145" s="63">
        <f t="shared" si="37"/>
        <v>0</v>
      </c>
      <c r="AZ145" s="61">
        <v>4</v>
      </c>
      <c r="BA145" s="61">
        <v>2</v>
      </c>
      <c r="BB145" s="63">
        <f t="shared" si="38"/>
        <v>0.5</v>
      </c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</row>
    <row r="146" spans="1:87" x14ac:dyDescent="0.25">
      <c r="A146" s="128">
        <v>3187</v>
      </c>
      <c r="B146" s="128">
        <v>19506</v>
      </c>
      <c r="C146" s="128">
        <v>1014232787</v>
      </c>
      <c r="D146" s="128" t="s">
        <v>729</v>
      </c>
      <c r="E146" s="128" t="s">
        <v>546</v>
      </c>
      <c r="F146" s="128" t="s">
        <v>546</v>
      </c>
      <c r="G146" s="128" t="s">
        <v>209</v>
      </c>
      <c r="H146" s="128" t="s">
        <v>210</v>
      </c>
      <c r="I146" s="128" t="s">
        <v>1218</v>
      </c>
      <c r="J146" s="128" t="s">
        <v>112</v>
      </c>
      <c r="K146" s="128" t="s">
        <v>482</v>
      </c>
      <c r="L146" s="128">
        <v>13013</v>
      </c>
      <c r="M146" s="128" t="s">
        <v>1146</v>
      </c>
      <c r="N146" s="128">
        <v>9</v>
      </c>
      <c r="O146" s="156">
        <v>0.1</v>
      </c>
      <c r="P146" s="157">
        <v>49652</v>
      </c>
      <c r="Q146" s="61">
        <v>35075.65</v>
      </c>
      <c r="R146" s="63">
        <f t="shared" si="26"/>
        <v>0.70642975106742933</v>
      </c>
      <c r="S146" s="61">
        <v>4880</v>
      </c>
      <c r="T146" s="61">
        <v>0</v>
      </c>
      <c r="U146" s="63">
        <f t="shared" si="27"/>
        <v>0</v>
      </c>
      <c r="V146" s="61">
        <v>11269.017572671597</v>
      </c>
      <c r="W146" s="61">
        <v>8924.3700000000008</v>
      </c>
      <c r="X146" s="63">
        <f t="shared" si="28"/>
        <v>0.79193860001091998</v>
      </c>
      <c r="Y146" s="61">
        <v>563</v>
      </c>
      <c r="Z146" s="102">
        <v>130</v>
      </c>
      <c r="AA146" s="63">
        <f t="shared" si="29"/>
        <v>0.23090586145648312</v>
      </c>
      <c r="AB146" s="61">
        <v>11</v>
      </c>
      <c r="AC146" s="61">
        <v>6</v>
      </c>
      <c r="AD146" s="63">
        <f t="shared" si="30"/>
        <v>0.54545454545454541</v>
      </c>
      <c r="AE146" s="61">
        <v>2</v>
      </c>
      <c r="AF146" s="61">
        <v>2</v>
      </c>
      <c r="AG146" s="63">
        <f t="shared" si="31"/>
        <v>1</v>
      </c>
      <c r="AH146" s="61">
        <v>58.531364222442129</v>
      </c>
      <c r="AI146" s="61">
        <v>29</v>
      </c>
      <c r="AJ146" s="63">
        <f t="shared" si="32"/>
        <v>0.4954608590667498</v>
      </c>
      <c r="AK146" s="61">
        <v>2.3879727217638953</v>
      </c>
      <c r="AL146" s="61">
        <v>3</v>
      </c>
      <c r="AM146" s="63">
        <f t="shared" si="33"/>
        <v>1.2562957577605935</v>
      </c>
      <c r="AN146" s="61">
        <v>2.1637635230807177</v>
      </c>
      <c r="AO146" s="61">
        <v>1</v>
      </c>
      <c r="AP146" s="63">
        <f t="shared" si="34"/>
        <v>0.46215771239928405</v>
      </c>
      <c r="AQ146" s="61">
        <v>3.5844234810878199</v>
      </c>
      <c r="AR146" s="61">
        <v>0</v>
      </c>
      <c r="AS146" s="63">
        <f t="shared" si="35"/>
        <v>0</v>
      </c>
      <c r="AT146" s="61">
        <v>2</v>
      </c>
      <c r="AU146" s="61">
        <v>3</v>
      </c>
      <c r="AV146" s="63">
        <f t="shared" si="36"/>
        <v>1.5</v>
      </c>
      <c r="AW146" s="61">
        <v>1.4531529022612379</v>
      </c>
      <c r="AX146" s="61">
        <v>0</v>
      </c>
      <c r="AY146" s="63">
        <f t="shared" si="37"/>
        <v>0</v>
      </c>
      <c r="AZ146" s="61">
        <v>4</v>
      </c>
      <c r="BA146" s="61">
        <v>0</v>
      </c>
      <c r="BB146" s="63">
        <f t="shared" si="38"/>
        <v>0</v>
      </c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</row>
    <row r="147" spans="1:87" x14ac:dyDescent="0.25">
      <c r="A147" s="128">
        <v>21899</v>
      </c>
      <c r="B147" s="128">
        <v>19282</v>
      </c>
      <c r="C147" s="128">
        <v>1024518704</v>
      </c>
      <c r="D147" s="128" t="s">
        <v>590</v>
      </c>
      <c r="E147" s="128" t="s">
        <v>541</v>
      </c>
      <c r="F147" s="128" t="s">
        <v>541</v>
      </c>
      <c r="G147" s="128" t="s">
        <v>247</v>
      </c>
      <c r="H147" s="128" t="s">
        <v>247</v>
      </c>
      <c r="I147" s="128" t="s">
        <v>1218</v>
      </c>
      <c r="J147" s="128" t="s">
        <v>112</v>
      </c>
      <c r="K147" s="128" t="s">
        <v>714</v>
      </c>
      <c r="L147" s="128">
        <v>13015</v>
      </c>
      <c r="M147" s="128"/>
      <c r="N147" s="128"/>
      <c r="O147" s="156"/>
      <c r="P147" s="157">
        <v>513647</v>
      </c>
      <c r="Q147" s="61">
        <v>0</v>
      </c>
      <c r="R147" s="63">
        <f t="shared" si="26"/>
        <v>0</v>
      </c>
      <c r="S147" s="61">
        <v>68419</v>
      </c>
      <c r="T147" s="61">
        <v>0</v>
      </c>
      <c r="U147" s="63">
        <f t="shared" si="27"/>
        <v>0</v>
      </c>
      <c r="V147" s="61">
        <v>138310.4744851829</v>
      </c>
      <c r="W147" s="61">
        <v>0</v>
      </c>
      <c r="X147" s="63">
        <f t="shared" si="28"/>
        <v>0</v>
      </c>
      <c r="Y147" s="61">
        <v>10365</v>
      </c>
      <c r="Z147" s="102">
        <v>0</v>
      </c>
      <c r="AA147" s="63">
        <f t="shared" si="29"/>
        <v>0</v>
      </c>
      <c r="AB147" s="61">
        <v>118</v>
      </c>
      <c r="AC147" s="61">
        <v>1</v>
      </c>
      <c r="AD147" s="63">
        <f t="shared" si="30"/>
        <v>8.4745762711864406E-3</v>
      </c>
      <c r="AE147" s="61">
        <v>16</v>
      </c>
      <c r="AF147" s="61">
        <v>0</v>
      </c>
      <c r="AG147" s="63">
        <f t="shared" si="31"/>
        <v>0</v>
      </c>
      <c r="AH147" s="61">
        <v>657.61068855808446</v>
      </c>
      <c r="AI147" s="61">
        <v>0</v>
      </c>
      <c r="AJ147" s="63">
        <f t="shared" si="32"/>
        <v>0</v>
      </c>
      <c r="AK147" s="61">
        <v>25.471709032148215</v>
      </c>
      <c r="AL147" s="61">
        <v>0</v>
      </c>
      <c r="AM147" s="63">
        <f t="shared" si="33"/>
        <v>0</v>
      </c>
      <c r="AN147" s="61">
        <v>27.407671292355758</v>
      </c>
      <c r="AO147" s="61">
        <v>0</v>
      </c>
      <c r="AP147" s="63">
        <f t="shared" si="34"/>
        <v>0</v>
      </c>
      <c r="AQ147" s="61">
        <v>47.493611124413611</v>
      </c>
      <c r="AR147" s="61">
        <v>0</v>
      </c>
      <c r="AS147" s="63">
        <f t="shared" si="35"/>
        <v>0</v>
      </c>
      <c r="AT147" s="61">
        <v>37</v>
      </c>
      <c r="AU147" s="61">
        <v>0</v>
      </c>
      <c r="AV147" s="63">
        <f t="shared" si="36"/>
        <v>0</v>
      </c>
      <c r="AW147" s="61">
        <v>15.032780729633814</v>
      </c>
      <c r="AX147" s="61">
        <v>0</v>
      </c>
      <c r="AY147" s="63">
        <f t="shared" si="37"/>
        <v>0</v>
      </c>
      <c r="AZ147" s="61">
        <v>40</v>
      </c>
      <c r="BA147" s="61">
        <v>0</v>
      </c>
      <c r="BB147" s="63">
        <f t="shared" si="38"/>
        <v>0</v>
      </c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</row>
    <row r="148" spans="1:87" x14ac:dyDescent="0.25">
      <c r="A148" s="123">
        <v>21584</v>
      </c>
      <c r="B148" s="123">
        <v>21899</v>
      </c>
      <c r="C148" s="123">
        <v>1003129549</v>
      </c>
      <c r="D148" s="123" t="s">
        <v>637</v>
      </c>
      <c r="E148" s="123" t="s">
        <v>544</v>
      </c>
      <c r="F148" s="123" t="s">
        <v>544</v>
      </c>
      <c r="G148" s="123" t="s">
        <v>125</v>
      </c>
      <c r="H148" s="123" t="s">
        <v>125</v>
      </c>
      <c r="I148" s="123" t="s">
        <v>1218</v>
      </c>
      <c r="J148" s="123" t="s">
        <v>112</v>
      </c>
      <c r="K148" s="123" t="s">
        <v>714</v>
      </c>
      <c r="L148" s="123">
        <v>13015</v>
      </c>
      <c r="M148" s="123"/>
      <c r="N148" s="123"/>
      <c r="O148" s="154"/>
      <c r="P148" s="155">
        <v>303052</v>
      </c>
      <c r="Q148" s="61">
        <v>0</v>
      </c>
      <c r="R148" s="63">
        <f t="shared" si="26"/>
        <v>0</v>
      </c>
      <c r="S148" s="61">
        <v>37881</v>
      </c>
      <c r="T148" s="61">
        <v>0</v>
      </c>
      <c r="U148" s="63">
        <f t="shared" si="27"/>
        <v>0</v>
      </c>
      <c r="V148" s="61">
        <v>78256.608122573292</v>
      </c>
      <c r="W148" s="61">
        <v>0</v>
      </c>
      <c r="X148" s="63">
        <f t="shared" si="28"/>
        <v>0</v>
      </c>
      <c r="Y148" s="61">
        <v>3524.1</v>
      </c>
      <c r="Z148" s="102">
        <v>0</v>
      </c>
      <c r="AA148" s="63">
        <f t="shared" si="29"/>
        <v>0</v>
      </c>
      <c r="AB148" s="61">
        <v>66</v>
      </c>
      <c r="AC148" s="61">
        <v>0</v>
      </c>
      <c r="AD148" s="63">
        <f t="shared" si="30"/>
        <v>0</v>
      </c>
      <c r="AE148" s="61">
        <v>9</v>
      </c>
      <c r="AF148" s="61">
        <v>0</v>
      </c>
      <c r="AG148" s="63">
        <f t="shared" si="31"/>
        <v>0</v>
      </c>
      <c r="AH148" s="61">
        <v>367.98734142998512</v>
      </c>
      <c r="AI148" s="61">
        <v>0</v>
      </c>
      <c r="AJ148" s="63">
        <f t="shared" si="32"/>
        <v>0</v>
      </c>
      <c r="AK148" s="61">
        <v>14.327836330583372</v>
      </c>
      <c r="AL148" s="61">
        <v>0</v>
      </c>
      <c r="AM148" s="63">
        <f t="shared" si="33"/>
        <v>0</v>
      </c>
      <c r="AN148" s="61">
        <v>15.146344661565024</v>
      </c>
      <c r="AO148" s="61">
        <v>0</v>
      </c>
      <c r="AP148" s="63">
        <f t="shared" si="34"/>
        <v>0</v>
      </c>
      <c r="AQ148" s="61">
        <v>19.714329145983008</v>
      </c>
      <c r="AR148" s="61">
        <v>0</v>
      </c>
      <c r="AS148" s="63">
        <f t="shared" si="35"/>
        <v>0</v>
      </c>
      <c r="AT148" s="61">
        <v>27</v>
      </c>
      <c r="AU148" s="61">
        <v>0</v>
      </c>
      <c r="AV148" s="63">
        <f t="shared" si="36"/>
        <v>0</v>
      </c>
      <c r="AW148" s="61">
        <v>8.8693485325077077</v>
      </c>
      <c r="AX148" s="61">
        <v>0</v>
      </c>
      <c r="AY148" s="63">
        <f t="shared" si="37"/>
        <v>0</v>
      </c>
      <c r="AZ148" s="61">
        <v>24</v>
      </c>
      <c r="BA148" s="61">
        <v>0</v>
      </c>
      <c r="BB148" s="63">
        <f t="shared" si="38"/>
        <v>0</v>
      </c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</row>
    <row r="149" spans="1:87" x14ac:dyDescent="0.25">
      <c r="A149" s="128">
        <v>8936</v>
      </c>
      <c r="B149" s="128">
        <v>21584</v>
      </c>
      <c r="C149" s="128">
        <v>1091990729</v>
      </c>
      <c r="D149" s="128" t="s">
        <v>717</v>
      </c>
      <c r="E149" s="128" t="s">
        <v>546</v>
      </c>
      <c r="F149" s="128" t="s">
        <v>546</v>
      </c>
      <c r="G149" s="128" t="s">
        <v>387</v>
      </c>
      <c r="H149" s="128" t="s">
        <v>388</v>
      </c>
      <c r="I149" s="128" t="s">
        <v>1218</v>
      </c>
      <c r="J149" s="128" t="s">
        <v>112</v>
      </c>
      <c r="K149" s="128" t="s">
        <v>714</v>
      </c>
      <c r="L149" s="128">
        <v>13015</v>
      </c>
      <c r="M149" s="128" t="s">
        <v>1143</v>
      </c>
      <c r="N149" s="128"/>
      <c r="O149" s="156">
        <v>0.5</v>
      </c>
      <c r="P149" s="157">
        <v>46228</v>
      </c>
      <c r="Q149" s="61">
        <v>61486.97</v>
      </c>
      <c r="R149" s="63">
        <f t="shared" si="26"/>
        <v>1.3300806870295059</v>
      </c>
      <c r="S149" s="61">
        <v>6157</v>
      </c>
      <c r="T149" s="61">
        <v>2260.87</v>
      </c>
      <c r="U149" s="63">
        <f t="shared" si="27"/>
        <v>0.36720318336852359</v>
      </c>
      <c r="V149" s="61">
        <v>11020.482724787134</v>
      </c>
      <c r="W149" s="61">
        <v>13398.4</v>
      </c>
      <c r="X149" s="63">
        <f t="shared" si="28"/>
        <v>1.2157725151063015</v>
      </c>
      <c r="Y149" s="61">
        <v>725.55000000000007</v>
      </c>
      <c r="Z149" s="102">
        <v>530</v>
      </c>
      <c r="AA149" s="63">
        <f t="shared" si="29"/>
        <v>0.73048032527048434</v>
      </c>
      <c r="AB149" s="61">
        <v>9</v>
      </c>
      <c r="AC149" s="61">
        <v>6</v>
      </c>
      <c r="AD149" s="63">
        <f t="shared" si="30"/>
        <v>0.66666666666666663</v>
      </c>
      <c r="AE149" s="61">
        <v>1</v>
      </c>
      <c r="AF149" s="61">
        <v>3</v>
      </c>
      <c r="AG149" s="63">
        <f t="shared" si="31"/>
        <v>3</v>
      </c>
      <c r="AH149" s="61">
        <v>48.598312190664679</v>
      </c>
      <c r="AI149" s="61">
        <v>26</v>
      </c>
      <c r="AJ149" s="63">
        <f t="shared" si="32"/>
        <v>0.53499800359310379</v>
      </c>
      <c r="AK149" s="61">
        <v>1.5919818145092635</v>
      </c>
      <c r="AL149" s="61">
        <v>3</v>
      </c>
      <c r="AM149" s="63">
        <f t="shared" si="33"/>
        <v>1.8844436366408905</v>
      </c>
      <c r="AN149" s="61">
        <v>2.1637635230807177</v>
      </c>
      <c r="AO149" s="61">
        <v>4</v>
      </c>
      <c r="AP149" s="63">
        <f t="shared" si="34"/>
        <v>1.8486308495971362</v>
      </c>
      <c r="AQ149" s="61">
        <v>2.6883176108158651</v>
      </c>
      <c r="AR149" s="61">
        <v>0</v>
      </c>
      <c r="AS149" s="63">
        <f t="shared" si="35"/>
        <v>0</v>
      </c>
      <c r="AT149" s="61">
        <v>2</v>
      </c>
      <c r="AU149" s="61">
        <v>3</v>
      </c>
      <c r="AV149" s="63">
        <f t="shared" si="36"/>
        <v>1.5</v>
      </c>
      <c r="AW149" s="61">
        <v>1.3529435343134719</v>
      </c>
      <c r="AX149" s="61">
        <v>0</v>
      </c>
      <c r="AY149" s="63">
        <f t="shared" si="37"/>
        <v>0</v>
      </c>
      <c r="AZ149" s="61">
        <v>3</v>
      </c>
      <c r="BA149" s="61">
        <v>2</v>
      </c>
      <c r="BB149" s="63">
        <f t="shared" si="38"/>
        <v>0.66666666666666663</v>
      </c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</row>
    <row r="150" spans="1:87" x14ac:dyDescent="0.25">
      <c r="A150" s="128">
        <v>4468</v>
      </c>
      <c r="B150" s="128">
        <v>21584</v>
      </c>
      <c r="C150" s="128">
        <v>1010894671</v>
      </c>
      <c r="D150" s="128" t="s">
        <v>716</v>
      </c>
      <c r="E150" s="128" t="s">
        <v>546</v>
      </c>
      <c r="F150" s="128" t="s">
        <v>546</v>
      </c>
      <c r="G150" s="128" t="s">
        <v>310</v>
      </c>
      <c r="H150" s="128" t="s">
        <v>311</v>
      </c>
      <c r="I150" s="128" t="s">
        <v>1218</v>
      </c>
      <c r="J150" s="128" t="s">
        <v>112</v>
      </c>
      <c r="K150" s="128" t="s">
        <v>714</v>
      </c>
      <c r="L150" s="128">
        <v>13015</v>
      </c>
      <c r="M150" s="128"/>
      <c r="N150" s="128"/>
      <c r="O150" s="156"/>
      <c r="P150" s="157">
        <v>66774</v>
      </c>
      <c r="Q150" s="61">
        <v>32308.7</v>
      </c>
      <c r="R150" s="63">
        <f t="shared" si="26"/>
        <v>0.48385149908647079</v>
      </c>
      <c r="S150" s="61">
        <v>6784</v>
      </c>
      <c r="T150" s="61">
        <v>0</v>
      </c>
      <c r="U150" s="63">
        <f t="shared" si="27"/>
        <v>0</v>
      </c>
      <c r="V150" s="61">
        <v>16304.51598595943</v>
      </c>
      <c r="W150" s="61">
        <v>2666.95</v>
      </c>
      <c r="X150" s="63">
        <f t="shared" si="28"/>
        <v>0.16357124629131178</v>
      </c>
      <c r="Y150" s="61">
        <v>621.9</v>
      </c>
      <c r="Z150" s="102">
        <v>0</v>
      </c>
      <c r="AA150" s="63">
        <f t="shared" si="29"/>
        <v>0</v>
      </c>
      <c r="AB150" s="61">
        <v>15</v>
      </c>
      <c r="AC150" s="61">
        <v>2</v>
      </c>
      <c r="AD150" s="63">
        <f t="shared" si="30"/>
        <v>0.13333333333333333</v>
      </c>
      <c r="AE150" s="61">
        <v>2</v>
      </c>
      <c r="AF150" s="61">
        <v>2</v>
      </c>
      <c r="AG150" s="63">
        <f t="shared" si="31"/>
        <v>1</v>
      </c>
      <c r="AH150" s="61">
        <v>85.297046333663189</v>
      </c>
      <c r="AI150" s="61">
        <v>35</v>
      </c>
      <c r="AJ150" s="63">
        <f t="shared" si="32"/>
        <v>0.41033073833632805</v>
      </c>
      <c r="AK150" s="61">
        <v>3.1839636290185269</v>
      </c>
      <c r="AL150" s="61">
        <v>1</v>
      </c>
      <c r="AM150" s="63">
        <f t="shared" si="33"/>
        <v>0.31407393944014844</v>
      </c>
      <c r="AN150" s="61">
        <v>3.6062725384678629</v>
      </c>
      <c r="AO150" s="61">
        <v>1</v>
      </c>
      <c r="AP150" s="63">
        <f t="shared" si="34"/>
        <v>0.27729462743957045</v>
      </c>
      <c r="AQ150" s="61">
        <v>4.4805293513597748</v>
      </c>
      <c r="AR150" s="61">
        <v>0</v>
      </c>
      <c r="AS150" s="63">
        <f t="shared" si="35"/>
        <v>0</v>
      </c>
      <c r="AT150" s="61">
        <v>3</v>
      </c>
      <c r="AU150" s="61">
        <v>0</v>
      </c>
      <c r="AV150" s="63">
        <f t="shared" si="36"/>
        <v>0</v>
      </c>
      <c r="AW150" s="61">
        <v>1.9542582755093834</v>
      </c>
      <c r="AX150" s="61">
        <v>0</v>
      </c>
      <c r="AY150" s="63">
        <f t="shared" si="37"/>
        <v>0</v>
      </c>
      <c r="AZ150" s="61">
        <v>6</v>
      </c>
      <c r="BA150" s="61">
        <v>0</v>
      </c>
      <c r="BB150" s="63">
        <f t="shared" si="38"/>
        <v>0</v>
      </c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</row>
    <row r="151" spans="1:87" x14ac:dyDescent="0.25">
      <c r="A151" s="128">
        <v>21578</v>
      </c>
      <c r="B151" s="128">
        <v>21584</v>
      </c>
      <c r="C151" s="128">
        <v>1004533178</v>
      </c>
      <c r="D151" s="128" t="s">
        <v>718</v>
      </c>
      <c r="E151" s="128" t="s">
        <v>546</v>
      </c>
      <c r="F151" s="128" t="s">
        <v>546</v>
      </c>
      <c r="G151" s="128" t="s">
        <v>129</v>
      </c>
      <c r="H151" s="128" t="s">
        <v>129</v>
      </c>
      <c r="I151" s="128" t="s">
        <v>1218</v>
      </c>
      <c r="J151" s="128" t="s">
        <v>112</v>
      </c>
      <c r="K151" s="128" t="s">
        <v>714</v>
      </c>
      <c r="L151" s="128">
        <v>13015</v>
      </c>
      <c r="M151" s="128" t="s">
        <v>1215</v>
      </c>
      <c r="N151" s="128"/>
      <c r="O151" s="156"/>
      <c r="P151" s="157">
        <v>71911</v>
      </c>
      <c r="Q151" s="61">
        <v>66464.37</v>
      </c>
      <c r="R151" s="63">
        <f t="shared" si="26"/>
        <v>0.92425873649372137</v>
      </c>
      <c r="S151" s="61">
        <v>8895</v>
      </c>
      <c r="T151" s="61">
        <v>0</v>
      </c>
      <c r="U151" s="63">
        <f t="shared" si="27"/>
        <v>0</v>
      </c>
      <c r="V151" s="61">
        <v>21084.130453621943</v>
      </c>
      <c r="W151" s="61">
        <v>5153.47</v>
      </c>
      <c r="X151" s="63">
        <f t="shared" si="28"/>
        <v>0.24442411847791948</v>
      </c>
      <c r="Y151" s="61">
        <v>1036.5</v>
      </c>
      <c r="Z151" s="102">
        <v>80</v>
      </c>
      <c r="AA151" s="63">
        <f t="shared" si="29"/>
        <v>7.7182826821032322E-2</v>
      </c>
      <c r="AB151" s="61">
        <v>15</v>
      </c>
      <c r="AC151" s="61">
        <v>5</v>
      </c>
      <c r="AD151" s="63">
        <f t="shared" si="30"/>
        <v>0.33333333333333331</v>
      </c>
      <c r="AE151" s="61">
        <v>2</v>
      </c>
      <c r="AF151" s="61">
        <v>0</v>
      </c>
      <c r="AG151" s="63">
        <f t="shared" si="31"/>
        <v>0</v>
      </c>
      <c r="AH151" s="61">
        <v>85.297046333663189</v>
      </c>
      <c r="AI151" s="61">
        <v>41</v>
      </c>
      <c r="AJ151" s="63">
        <f t="shared" si="32"/>
        <v>0.48067315062255572</v>
      </c>
      <c r="AK151" s="61">
        <v>3.1839636290185269</v>
      </c>
      <c r="AL151" s="61">
        <v>1</v>
      </c>
      <c r="AM151" s="63">
        <f t="shared" si="33"/>
        <v>0.31407393944014844</v>
      </c>
      <c r="AN151" s="61">
        <v>3.6062725384678629</v>
      </c>
      <c r="AO151" s="61">
        <v>2</v>
      </c>
      <c r="AP151" s="63">
        <f t="shared" si="34"/>
        <v>0.5545892548791409</v>
      </c>
      <c r="AQ151" s="61">
        <v>4.4805293513597748</v>
      </c>
      <c r="AR151" s="61">
        <v>1</v>
      </c>
      <c r="AS151" s="63">
        <f t="shared" si="35"/>
        <v>0.22318791410138061</v>
      </c>
      <c r="AT151" s="61">
        <v>3</v>
      </c>
      <c r="AU151" s="61">
        <v>4</v>
      </c>
      <c r="AV151" s="63">
        <f t="shared" si="36"/>
        <v>1.3333333333333333</v>
      </c>
      <c r="AW151" s="61">
        <v>2.1046015941856901</v>
      </c>
      <c r="AX151" s="61">
        <v>0</v>
      </c>
      <c r="AY151" s="63">
        <f t="shared" si="37"/>
        <v>0</v>
      </c>
      <c r="AZ151" s="61">
        <v>5</v>
      </c>
      <c r="BA151" s="61">
        <v>1</v>
      </c>
      <c r="BB151" s="63">
        <f t="shared" si="38"/>
        <v>0.2</v>
      </c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</row>
    <row r="152" spans="1:87" x14ac:dyDescent="0.25">
      <c r="A152" s="128">
        <v>21658</v>
      </c>
      <c r="B152" s="128">
        <v>21584</v>
      </c>
      <c r="C152" s="128">
        <v>1051156162</v>
      </c>
      <c r="D152" s="128" t="s">
        <v>719</v>
      </c>
      <c r="E152" s="128" t="s">
        <v>546</v>
      </c>
      <c r="F152" s="128" t="s">
        <v>546</v>
      </c>
      <c r="G152" s="128" t="s">
        <v>126</v>
      </c>
      <c r="H152" s="128" t="s">
        <v>126</v>
      </c>
      <c r="I152" s="128" t="s">
        <v>1218</v>
      </c>
      <c r="J152" s="128" t="s">
        <v>112</v>
      </c>
      <c r="K152" s="128" t="s">
        <v>714</v>
      </c>
      <c r="L152" s="128">
        <v>13015</v>
      </c>
      <c r="M152" s="128" t="s">
        <v>1219</v>
      </c>
      <c r="N152" s="128"/>
      <c r="O152" s="156">
        <v>0.2</v>
      </c>
      <c r="P152" s="157">
        <v>56501</v>
      </c>
      <c r="Q152" s="61">
        <v>75709.58</v>
      </c>
      <c r="R152" s="63">
        <f t="shared" si="26"/>
        <v>1.3399688501088476</v>
      </c>
      <c r="S152" s="61">
        <v>8644</v>
      </c>
      <c r="T152" s="61">
        <v>0</v>
      </c>
      <c r="U152" s="63">
        <f t="shared" si="27"/>
        <v>0</v>
      </c>
      <c r="V152" s="61">
        <v>16132.61286138584</v>
      </c>
      <c r="W152" s="61">
        <v>15257.819999999998</v>
      </c>
      <c r="X152" s="63">
        <f t="shared" si="28"/>
        <v>0.94577488042995816</v>
      </c>
      <c r="Y152" s="61">
        <v>1140.1500000000001</v>
      </c>
      <c r="Z152" s="102">
        <v>0</v>
      </c>
      <c r="AA152" s="63">
        <f t="shared" si="29"/>
        <v>0</v>
      </c>
      <c r="AB152" s="61">
        <v>13</v>
      </c>
      <c r="AC152" s="61">
        <v>4</v>
      </c>
      <c r="AD152" s="63">
        <f t="shared" si="30"/>
        <v>0.30769230769230771</v>
      </c>
      <c r="AE152" s="61">
        <v>2</v>
      </c>
      <c r="AF152" s="61">
        <v>0</v>
      </c>
      <c r="AG152" s="63">
        <f t="shared" si="31"/>
        <v>0</v>
      </c>
      <c r="AH152" s="61">
        <v>70.430942270108289</v>
      </c>
      <c r="AI152" s="61">
        <v>57</v>
      </c>
      <c r="AJ152" s="63">
        <f t="shared" si="32"/>
        <v>0.80930338517125677</v>
      </c>
      <c r="AK152" s="61">
        <v>3.1839636290185269</v>
      </c>
      <c r="AL152" s="61">
        <v>2</v>
      </c>
      <c r="AM152" s="63">
        <f t="shared" si="33"/>
        <v>0.62814787888029688</v>
      </c>
      <c r="AN152" s="61">
        <v>2.8850180307742903</v>
      </c>
      <c r="AO152" s="61">
        <v>1</v>
      </c>
      <c r="AP152" s="63">
        <f t="shared" si="34"/>
        <v>0.34661828429946306</v>
      </c>
      <c r="AQ152" s="61">
        <v>3.5844234810878199</v>
      </c>
      <c r="AR152" s="61">
        <v>2</v>
      </c>
      <c r="AS152" s="63">
        <f t="shared" si="35"/>
        <v>0.55796978525345153</v>
      </c>
      <c r="AT152" s="61">
        <v>16</v>
      </c>
      <c r="AU152" s="61">
        <v>10</v>
      </c>
      <c r="AV152" s="63">
        <f t="shared" si="36"/>
        <v>0.625</v>
      </c>
      <c r="AW152" s="61">
        <v>1.6536009049114275</v>
      </c>
      <c r="AX152" s="61">
        <v>3</v>
      </c>
      <c r="AY152" s="63">
        <f t="shared" si="37"/>
        <v>1.8142225195266752</v>
      </c>
      <c r="AZ152" s="61">
        <v>5</v>
      </c>
      <c r="BA152" s="61">
        <v>2</v>
      </c>
      <c r="BB152" s="63">
        <f t="shared" si="38"/>
        <v>0.4</v>
      </c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</row>
    <row r="153" spans="1:87" x14ac:dyDescent="0.25">
      <c r="A153" s="213">
        <v>24186</v>
      </c>
      <c r="B153" s="213">
        <v>21584</v>
      </c>
      <c r="C153" s="213">
        <v>1061212906</v>
      </c>
      <c r="D153" s="213" t="s">
        <v>1192</v>
      </c>
      <c r="E153" s="213" t="s">
        <v>546</v>
      </c>
      <c r="F153" s="213" t="s">
        <v>546</v>
      </c>
      <c r="G153" s="213" t="s">
        <v>1193</v>
      </c>
      <c r="H153" s="213" t="s">
        <v>1193</v>
      </c>
      <c r="I153" s="213" t="s">
        <v>1218</v>
      </c>
      <c r="J153" s="213" t="s">
        <v>112</v>
      </c>
      <c r="K153" s="213" t="s">
        <v>714</v>
      </c>
      <c r="L153" s="213">
        <v>13015</v>
      </c>
      <c r="M153" s="213" t="s">
        <v>1146</v>
      </c>
      <c r="N153" s="213">
        <v>5</v>
      </c>
      <c r="O153" s="231">
        <v>0.1</v>
      </c>
      <c r="P153" s="232">
        <v>61638</v>
      </c>
      <c r="Q153" s="61">
        <v>21417.4</v>
      </c>
      <c r="R153" s="63">
        <f t="shared" si="26"/>
        <v>0.34747071611668129</v>
      </c>
      <c r="S153" s="61">
        <v>7401</v>
      </c>
      <c r="T153" s="61">
        <v>0</v>
      </c>
      <c r="U153" s="63">
        <f t="shared" si="27"/>
        <v>0</v>
      </c>
      <c r="V153" s="61">
        <v>13714.866096818943</v>
      </c>
      <c r="W153" s="61">
        <v>4613.47</v>
      </c>
      <c r="X153" s="63">
        <f t="shared" si="28"/>
        <v>0.33638461851771623</v>
      </c>
      <c r="Y153" s="61">
        <v>0</v>
      </c>
      <c r="Z153" s="102">
        <v>0</v>
      </c>
      <c r="AA153" s="63" t="e">
        <f t="shared" si="29"/>
        <v>#DIV/0!</v>
      </c>
      <c r="AB153" s="61">
        <v>14</v>
      </c>
      <c r="AC153" s="61">
        <v>12</v>
      </c>
      <c r="AD153" s="63">
        <f t="shared" si="30"/>
        <v>0.8571428571428571</v>
      </c>
      <c r="AE153" s="61">
        <v>2</v>
      </c>
      <c r="AF153" s="61">
        <v>3</v>
      </c>
      <c r="AG153" s="63">
        <f t="shared" si="31"/>
        <v>1.5</v>
      </c>
      <c r="AH153" s="61">
        <v>78.363994301885739</v>
      </c>
      <c r="AI153" s="61">
        <v>25</v>
      </c>
      <c r="AJ153" s="63">
        <f t="shared" si="32"/>
        <v>0.31902406484910895</v>
      </c>
      <c r="AK153" s="61">
        <v>3.1839636290185269</v>
      </c>
      <c r="AL153" s="61">
        <v>1</v>
      </c>
      <c r="AM153" s="63">
        <f t="shared" si="33"/>
        <v>0.31407393944014844</v>
      </c>
      <c r="AN153" s="61">
        <v>2.8850180307742903</v>
      </c>
      <c r="AO153" s="61">
        <v>0</v>
      </c>
      <c r="AP153" s="63">
        <f t="shared" si="34"/>
        <v>0</v>
      </c>
      <c r="AQ153" s="61">
        <v>4.4805293513597748</v>
      </c>
      <c r="AR153" s="61">
        <v>1</v>
      </c>
      <c r="AS153" s="63">
        <f t="shared" si="35"/>
        <v>0.22318791410138061</v>
      </c>
      <c r="AT153" s="61">
        <v>3</v>
      </c>
      <c r="AU153" s="61">
        <v>6</v>
      </c>
      <c r="AV153" s="63">
        <f t="shared" si="36"/>
        <v>2</v>
      </c>
      <c r="AW153" s="61">
        <v>1.8039442235877343</v>
      </c>
      <c r="AX153" s="61">
        <v>0</v>
      </c>
      <c r="AY153" s="63">
        <f t="shared" si="37"/>
        <v>0</v>
      </c>
      <c r="AZ153" s="61">
        <v>5</v>
      </c>
      <c r="BA153" s="61">
        <v>0</v>
      </c>
      <c r="BB153" s="63">
        <f t="shared" si="38"/>
        <v>0</v>
      </c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</row>
    <row r="154" spans="1:87" x14ac:dyDescent="0.25">
      <c r="A154" s="123">
        <v>1932</v>
      </c>
      <c r="B154" s="123">
        <v>21899</v>
      </c>
      <c r="C154" s="123">
        <v>1052336151</v>
      </c>
      <c r="D154" s="123" t="s">
        <v>673</v>
      </c>
      <c r="E154" s="123" t="s">
        <v>544</v>
      </c>
      <c r="F154" s="123" t="s">
        <v>544</v>
      </c>
      <c r="G154" s="123" t="s">
        <v>391</v>
      </c>
      <c r="H154" s="123" t="s">
        <v>392</v>
      </c>
      <c r="I154" s="123" t="s">
        <v>1218</v>
      </c>
      <c r="J154" s="123" t="s">
        <v>112</v>
      </c>
      <c r="K154" s="123" t="s">
        <v>714</v>
      </c>
      <c r="L154" s="123">
        <v>13015</v>
      </c>
      <c r="M154" s="123"/>
      <c r="N154" s="123"/>
      <c r="O154" s="154"/>
      <c r="P154" s="155">
        <v>210595</v>
      </c>
      <c r="Q154" s="61">
        <v>0</v>
      </c>
      <c r="R154" s="63">
        <f t="shared" si="26"/>
        <v>0</v>
      </c>
      <c r="S154" s="61">
        <v>30538</v>
      </c>
      <c r="T154" s="61">
        <v>0</v>
      </c>
      <c r="U154" s="63">
        <f t="shared" si="27"/>
        <v>0</v>
      </c>
      <c r="V154" s="61">
        <v>60053.866362609588</v>
      </c>
      <c r="W154" s="61">
        <v>0</v>
      </c>
      <c r="X154" s="63">
        <f t="shared" si="28"/>
        <v>0</v>
      </c>
      <c r="Y154" s="61">
        <v>6840.9000000000015</v>
      </c>
      <c r="Z154" s="102">
        <v>0</v>
      </c>
      <c r="AA154" s="63">
        <f t="shared" si="29"/>
        <v>0</v>
      </c>
      <c r="AB154" s="61">
        <v>52</v>
      </c>
      <c r="AC154" s="61">
        <v>0</v>
      </c>
      <c r="AD154" s="63">
        <f t="shared" si="30"/>
        <v>0</v>
      </c>
      <c r="AE154" s="61">
        <v>7</v>
      </c>
      <c r="AF154" s="61">
        <v>0</v>
      </c>
      <c r="AG154" s="63">
        <f t="shared" si="31"/>
        <v>0</v>
      </c>
      <c r="AH154" s="61">
        <v>289.62334712809934</v>
      </c>
      <c r="AI154" s="61">
        <v>2</v>
      </c>
      <c r="AJ154" s="63">
        <f t="shared" si="32"/>
        <v>6.9055206351006206E-3</v>
      </c>
      <c r="AK154" s="61">
        <v>11.143872701564844</v>
      </c>
      <c r="AL154" s="61">
        <v>0</v>
      </c>
      <c r="AM154" s="63">
        <f t="shared" si="33"/>
        <v>0</v>
      </c>
      <c r="AN154" s="61">
        <v>12.261326630790734</v>
      </c>
      <c r="AO154" s="61">
        <v>1</v>
      </c>
      <c r="AP154" s="63">
        <f t="shared" si="34"/>
        <v>8.1557243364579535E-2</v>
      </c>
      <c r="AQ154" s="61">
        <v>27.779281978430603</v>
      </c>
      <c r="AR154" s="61">
        <v>0</v>
      </c>
      <c r="AS154" s="63">
        <f t="shared" si="35"/>
        <v>0</v>
      </c>
      <c r="AT154" s="61">
        <v>10</v>
      </c>
      <c r="AU154" s="61">
        <v>0</v>
      </c>
      <c r="AV154" s="63">
        <f t="shared" si="36"/>
        <v>0</v>
      </c>
      <c r="AW154" s="61">
        <v>6.1634321971261059</v>
      </c>
      <c r="AX154" s="61">
        <v>0</v>
      </c>
      <c r="AY154" s="63">
        <f t="shared" si="37"/>
        <v>0</v>
      </c>
      <c r="AZ154" s="61">
        <v>16</v>
      </c>
      <c r="BA154" s="61">
        <v>0</v>
      </c>
      <c r="BB154" s="63">
        <f t="shared" si="38"/>
        <v>0</v>
      </c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</row>
    <row r="155" spans="1:87" x14ac:dyDescent="0.25">
      <c r="A155" s="128">
        <v>10439</v>
      </c>
      <c r="B155" s="128">
        <v>1932</v>
      </c>
      <c r="C155" s="128">
        <v>1074025709</v>
      </c>
      <c r="D155" s="128" t="s">
        <v>722</v>
      </c>
      <c r="E155" s="128" t="s">
        <v>546</v>
      </c>
      <c r="F155" s="128" t="s">
        <v>546</v>
      </c>
      <c r="G155" s="128" t="s">
        <v>162</v>
      </c>
      <c r="H155" s="128" t="s">
        <v>162</v>
      </c>
      <c r="I155" s="128" t="s">
        <v>1218</v>
      </c>
      <c r="J155" s="128" t="s">
        <v>112</v>
      </c>
      <c r="K155" s="128" t="s">
        <v>714</v>
      </c>
      <c r="L155" s="128">
        <v>13015</v>
      </c>
      <c r="M155" s="128" t="s">
        <v>1219</v>
      </c>
      <c r="N155" s="128"/>
      <c r="O155" s="156">
        <v>0.2</v>
      </c>
      <c r="P155" s="157">
        <v>51365</v>
      </c>
      <c r="Q155" s="61">
        <v>58613.090000000011</v>
      </c>
      <c r="R155" s="63">
        <f t="shared" si="26"/>
        <v>1.1411095103669817</v>
      </c>
      <c r="S155" s="61">
        <v>8644</v>
      </c>
      <c r="T155" s="61">
        <v>0</v>
      </c>
      <c r="U155" s="63">
        <f t="shared" si="27"/>
        <v>0</v>
      </c>
      <c r="V155" s="61">
        <v>16130.570781444134</v>
      </c>
      <c r="W155" s="61">
        <v>14449.99</v>
      </c>
      <c r="X155" s="63">
        <f t="shared" si="28"/>
        <v>0.89581392969817308</v>
      </c>
      <c r="Y155" s="61">
        <v>725.55000000000007</v>
      </c>
      <c r="Z155" s="102">
        <v>128</v>
      </c>
      <c r="AA155" s="63">
        <f t="shared" si="29"/>
        <v>0.17641788987664528</v>
      </c>
      <c r="AB155" s="61">
        <v>13</v>
      </c>
      <c r="AC155" s="61">
        <v>7</v>
      </c>
      <c r="AD155" s="63">
        <f t="shared" si="30"/>
        <v>0.53846153846153844</v>
      </c>
      <c r="AE155" s="61">
        <v>2</v>
      </c>
      <c r="AF155" s="61">
        <v>2</v>
      </c>
      <c r="AG155" s="63">
        <f t="shared" si="31"/>
        <v>1</v>
      </c>
      <c r="AH155" s="61">
        <v>70.430942270108289</v>
      </c>
      <c r="AI155" s="61">
        <v>67</v>
      </c>
      <c r="AJ155" s="63">
        <f t="shared" si="32"/>
        <v>0.95128643520130185</v>
      </c>
      <c r="AK155" s="61">
        <v>3.1839636290185269</v>
      </c>
      <c r="AL155" s="61">
        <v>1</v>
      </c>
      <c r="AM155" s="63">
        <f t="shared" si="33"/>
        <v>0.31407393944014844</v>
      </c>
      <c r="AN155" s="61">
        <v>2.8850180307742903</v>
      </c>
      <c r="AO155" s="61">
        <v>3</v>
      </c>
      <c r="AP155" s="63">
        <f t="shared" si="34"/>
        <v>1.0398548528983891</v>
      </c>
      <c r="AQ155" s="61">
        <v>17.026011535167143</v>
      </c>
      <c r="AR155" s="61">
        <v>7</v>
      </c>
      <c r="AS155" s="63">
        <f t="shared" si="35"/>
        <v>0.41113563123938535</v>
      </c>
      <c r="AT155" s="61">
        <v>3</v>
      </c>
      <c r="AU155" s="61">
        <v>0</v>
      </c>
      <c r="AV155" s="63">
        <f t="shared" si="36"/>
        <v>0</v>
      </c>
      <c r="AW155" s="61">
        <v>1.5032868529897785</v>
      </c>
      <c r="AX155" s="61">
        <v>0</v>
      </c>
      <c r="AY155" s="63">
        <f t="shared" si="37"/>
        <v>0</v>
      </c>
      <c r="AZ155" s="61">
        <v>4</v>
      </c>
      <c r="BA155" s="61">
        <v>4</v>
      </c>
      <c r="BB155" s="63">
        <f t="shared" si="38"/>
        <v>1</v>
      </c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</row>
    <row r="156" spans="1:87" x14ac:dyDescent="0.25">
      <c r="A156" s="128">
        <v>10621</v>
      </c>
      <c r="B156" s="128">
        <v>1932</v>
      </c>
      <c r="C156" s="128">
        <v>1086160171</v>
      </c>
      <c r="D156" s="128" t="s">
        <v>723</v>
      </c>
      <c r="E156" s="128" t="s">
        <v>546</v>
      </c>
      <c r="F156" s="128" t="s">
        <v>546</v>
      </c>
      <c r="G156" s="128" t="s">
        <v>163</v>
      </c>
      <c r="H156" s="128" t="s">
        <v>163</v>
      </c>
      <c r="I156" s="128" t="s">
        <v>1218</v>
      </c>
      <c r="J156" s="128" t="s">
        <v>112</v>
      </c>
      <c r="K156" s="128" t="s">
        <v>714</v>
      </c>
      <c r="L156" s="128">
        <v>13015</v>
      </c>
      <c r="M156" s="128" t="s">
        <v>1215</v>
      </c>
      <c r="N156" s="128"/>
      <c r="O156" s="156"/>
      <c r="P156" s="157">
        <v>56501</v>
      </c>
      <c r="Q156" s="61">
        <v>30113.06</v>
      </c>
      <c r="R156" s="63">
        <f t="shared" si="26"/>
        <v>0.53296508026406619</v>
      </c>
      <c r="S156" s="61">
        <v>8211</v>
      </c>
      <c r="T156" s="61">
        <v>0</v>
      </c>
      <c r="U156" s="63">
        <f t="shared" si="27"/>
        <v>0</v>
      </c>
      <c r="V156" s="61">
        <v>17773.759148393186</v>
      </c>
      <c r="W156" s="61">
        <v>6980.8600000000006</v>
      </c>
      <c r="X156" s="63">
        <f t="shared" si="28"/>
        <v>0.39276215806216191</v>
      </c>
      <c r="Y156" s="61">
        <v>414.6</v>
      </c>
      <c r="Z156" s="102">
        <v>0</v>
      </c>
      <c r="AA156" s="63">
        <f t="shared" si="29"/>
        <v>0</v>
      </c>
      <c r="AB156" s="61">
        <v>15</v>
      </c>
      <c r="AC156" s="61">
        <v>6</v>
      </c>
      <c r="AD156" s="63">
        <f t="shared" si="30"/>
        <v>0.4</v>
      </c>
      <c r="AE156" s="61">
        <v>2</v>
      </c>
      <c r="AF156" s="61">
        <v>2</v>
      </c>
      <c r="AG156" s="63">
        <f t="shared" si="31"/>
        <v>1</v>
      </c>
      <c r="AH156" s="61">
        <v>85.297046333663189</v>
      </c>
      <c r="AI156" s="61">
        <v>73</v>
      </c>
      <c r="AJ156" s="63">
        <f t="shared" si="32"/>
        <v>0.85583268281576996</v>
      </c>
      <c r="AK156" s="61">
        <v>3.1839636290185269</v>
      </c>
      <c r="AL156" s="61">
        <v>2</v>
      </c>
      <c r="AM156" s="63">
        <f t="shared" si="33"/>
        <v>0.62814787888029688</v>
      </c>
      <c r="AN156" s="61">
        <v>3.6062725384678629</v>
      </c>
      <c r="AO156" s="61">
        <v>3</v>
      </c>
      <c r="AP156" s="63">
        <f t="shared" si="34"/>
        <v>0.83188388231871135</v>
      </c>
      <c r="AQ156" s="61">
        <v>4.4805293513597748</v>
      </c>
      <c r="AR156" s="61">
        <v>2</v>
      </c>
      <c r="AS156" s="63">
        <f t="shared" si="35"/>
        <v>0.44637582820276123</v>
      </c>
      <c r="AT156" s="61">
        <v>3</v>
      </c>
      <c r="AU156" s="61">
        <v>6</v>
      </c>
      <c r="AV156" s="63">
        <f t="shared" si="36"/>
        <v>2</v>
      </c>
      <c r="AW156" s="61">
        <v>1.6536009049114275</v>
      </c>
      <c r="AX156" s="61">
        <v>0</v>
      </c>
      <c r="AY156" s="63">
        <f t="shared" si="37"/>
        <v>0</v>
      </c>
      <c r="AZ156" s="61">
        <v>5</v>
      </c>
      <c r="BA156" s="61">
        <v>1</v>
      </c>
      <c r="BB156" s="63">
        <f t="shared" si="38"/>
        <v>0.2</v>
      </c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</row>
    <row r="157" spans="1:87" x14ac:dyDescent="0.25">
      <c r="A157" s="128">
        <v>21686</v>
      </c>
      <c r="B157" s="128">
        <v>1932</v>
      </c>
      <c r="C157" s="128">
        <v>1057769414</v>
      </c>
      <c r="D157" s="128" t="s">
        <v>721</v>
      </c>
      <c r="E157" s="128" t="s">
        <v>546</v>
      </c>
      <c r="F157" s="128" t="s">
        <v>546</v>
      </c>
      <c r="G157" s="128" t="s">
        <v>180</v>
      </c>
      <c r="H157" s="128" t="s">
        <v>180</v>
      </c>
      <c r="I157" s="128" t="s">
        <v>1218</v>
      </c>
      <c r="J157" s="128" t="s">
        <v>112</v>
      </c>
      <c r="K157" s="128" t="s">
        <v>714</v>
      </c>
      <c r="L157" s="128">
        <v>13015</v>
      </c>
      <c r="M157" s="128" t="s">
        <v>1145</v>
      </c>
      <c r="N157" s="128"/>
      <c r="O157" s="156">
        <v>0.5</v>
      </c>
      <c r="P157" s="157">
        <v>41092</v>
      </c>
      <c r="Q157" s="61">
        <v>26865.230000000003</v>
      </c>
      <c r="R157" s="63">
        <f t="shared" si="26"/>
        <v>0.65378248807553785</v>
      </c>
      <c r="S157" s="61">
        <v>5600</v>
      </c>
      <c r="T157" s="61">
        <v>0</v>
      </c>
      <c r="U157" s="63">
        <f t="shared" si="27"/>
        <v>0</v>
      </c>
      <c r="V157" s="61">
        <v>10010.777284379079</v>
      </c>
      <c r="W157" s="61">
        <v>3739.56</v>
      </c>
      <c r="X157" s="63">
        <f t="shared" si="28"/>
        <v>0.37355341086603217</v>
      </c>
      <c r="Y157" s="61">
        <v>5286.1500000000005</v>
      </c>
      <c r="Z157" s="102">
        <v>9088</v>
      </c>
      <c r="AA157" s="63">
        <f t="shared" si="29"/>
        <v>1.7192096327194648</v>
      </c>
      <c r="AB157" s="61">
        <v>9</v>
      </c>
      <c r="AC157" s="61">
        <v>6</v>
      </c>
      <c r="AD157" s="63">
        <f t="shared" si="30"/>
        <v>0.66666666666666663</v>
      </c>
      <c r="AE157" s="61">
        <v>1</v>
      </c>
      <c r="AF157" s="61">
        <v>0</v>
      </c>
      <c r="AG157" s="63">
        <f t="shared" si="31"/>
        <v>0</v>
      </c>
      <c r="AH157" s="61">
        <v>48.598312190664679</v>
      </c>
      <c r="AI157" s="61">
        <v>40</v>
      </c>
      <c r="AJ157" s="63">
        <f t="shared" si="32"/>
        <v>0.82307385168169811</v>
      </c>
      <c r="AK157" s="61">
        <v>1.5919818145092635</v>
      </c>
      <c r="AL157" s="61">
        <v>2</v>
      </c>
      <c r="AM157" s="63">
        <f t="shared" si="33"/>
        <v>1.2562957577605938</v>
      </c>
      <c r="AN157" s="61">
        <v>2.1637635230807177</v>
      </c>
      <c r="AO157" s="61">
        <v>3</v>
      </c>
      <c r="AP157" s="63">
        <f t="shared" si="34"/>
        <v>1.3864731371978523</v>
      </c>
      <c r="AQ157" s="61">
        <v>1.79221174054391</v>
      </c>
      <c r="AR157" s="61">
        <v>1</v>
      </c>
      <c r="AS157" s="63">
        <f t="shared" si="35"/>
        <v>0.55796978525345153</v>
      </c>
      <c r="AT157" s="61">
        <v>1</v>
      </c>
      <c r="AU157" s="61">
        <v>3</v>
      </c>
      <c r="AV157" s="63">
        <f t="shared" si="36"/>
        <v>3</v>
      </c>
      <c r="AW157" s="61">
        <v>1.2026294823918229</v>
      </c>
      <c r="AX157" s="61">
        <v>0</v>
      </c>
      <c r="AY157" s="63">
        <f t="shared" si="37"/>
        <v>0</v>
      </c>
      <c r="AZ157" s="61">
        <v>2</v>
      </c>
      <c r="BA157" s="61">
        <v>1</v>
      </c>
      <c r="BB157" s="63">
        <f t="shared" si="38"/>
        <v>0.5</v>
      </c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</row>
    <row r="158" spans="1:87" s="62" customFormat="1" x14ac:dyDescent="0.25">
      <c r="A158" s="233">
        <v>12148</v>
      </c>
      <c r="B158" s="233">
        <v>1932</v>
      </c>
      <c r="C158" s="233">
        <v>1061312664</v>
      </c>
      <c r="D158" s="233" t="s">
        <v>724</v>
      </c>
      <c r="E158" s="233" t="s">
        <v>546</v>
      </c>
      <c r="F158" s="233" t="s">
        <v>546</v>
      </c>
      <c r="G158" s="233" t="s">
        <v>130</v>
      </c>
      <c r="H158" s="233" t="s">
        <v>130</v>
      </c>
      <c r="I158" s="233" t="s">
        <v>1218</v>
      </c>
      <c r="J158" s="233" t="s">
        <v>112</v>
      </c>
      <c r="K158" s="233" t="s">
        <v>714</v>
      </c>
      <c r="L158" s="233">
        <v>13015</v>
      </c>
      <c r="M158" s="233"/>
      <c r="N158" s="233"/>
      <c r="O158" s="234"/>
      <c r="P158" s="235">
        <v>61637</v>
      </c>
      <c r="Q158" s="61">
        <v>25783.489999999998</v>
      </c>
      <c r="R158" s="63">
        <f t="shared" si="26"/>
        <v>0.41831189058520041</v>
      </c>
      <c r="S158" s="61">
        <v>8083</v>
      </c>
      <c r="T158" s="61">
        <v>0</v>
      </c>
      <c r="U158" s="63">
        <f t="shared" si="27"/>
        <v>0</v>
      </c>
      <c r="V158" s="61">
        <v>16138.759148393188</v>
      </c>
      <c r="W158" s="61">
        <v>3091.3</v>
      </c>
      <c r="X158" s="63">
        <f t="shared" si="28"/>
        <v>0.19154508544157667</v>
      </c>
      <c r="Y158" s="61">
        <v>414.6</v>
      </c>
      <c r="Z158" s="102">
        <v>50</v>
      </c>
      <c r="AA158" s="63">
        <f t="shared" si="29"/>
        <v>0.120598166907863</v>
      </c>
      <c r="AB158" s="61">
        <v>15</v>
      </c>
      <c r="AC158" s="61">
        <v>2</v>
      </c>
      <c r="AD158" s="63">
        <f t="shared" si="30"/>
        <v>0.13333333333333333</v>
      </c>
      <c r="AE158" s="61">
        <v>2</v>
      </c>
      <c r="AF158" s="61">
        <v>3</v>
      </c>
      <c r="AG158" s="63">
        <f t="shared" si="31"/>
        <v>1.5</v>
      </c>
      <c r="AH158" s="61">
        <v>85.297046333663189</v>
      </c>
      <c r="AI158" s="61">
        <v>24</v>
      </c>
      <c r="AJ158" s="63">
        <f t="shared" si="32"/>
        <v>0.28136964914491064</v>
      </c>
      <c r="AK158" s="61">
        <v>3.1839636290185269</v>
      </c>
      <c r="AL158" s="61">
        <v>1</v>
      </c>
      <c r="AM158" s="63">
        <f t="shared" si="33"/>
        <v>0.31407393944014844</v>
      </c>
      <c r="AN158" s="61">
        <v>3.6062725384678629</v>
      </c>
      <c r="AO158" s="61">
        <v>1</v>
      </c>
      <c r="AP158" s="63">
        <f t="shared" si="34"/>
        <v>0.27729462743957045</v>
      </c>
      <c r="AQ158" s="61">
        <v>4.4805293513597748</v>
      </c>
      <c r="AR158" s="61">
        <v>0</v>
      </c>
      <c r="AS158" s="63">
        <f t="shared" si="35"/>
        <v>0</v>
      </c>
      <c r="AT158" s="61">
        <v>3</v>
      </c>
      <c r="AU158" s="61">
        <v>0</v>
      </c>
      <c r="AV158" s="63">
        <f t="shared" si="36"/>
        <v>0</v>
      </c>
      <c r="AW158" s="61">
        <v>1.8039149568330766</v>
      </c>
      <c r="AX158" s="61">
        <v>0</v>
      </c>
      <c r="AY158" s="63">
        <f t="shared" si="37"/>
        <v>0</v>
      </c>
      <c r="AZ158" s="61">
        <v>5</v>
      </c>
      <c r="BA158" s="61">
        <v>2</v>
      </c>
      <c r="BB158" s="63">
        <f t="shared" si="38"/>
        <v>0.4</v>
      </c>
    </row>
    <row r="159" spans="1:87" x14ac:dyDescent="0.25">
      <c r="A159" s="149">
        <v>11769</v>
      </c>
      <c r="B159" s="149">
        <v>19282</v>
      </c>
      <c r="C159" s="149">
        <v>1065921742</v>
      </c>
      <c r="D159" s="149" t="s">
        <v>725</v>
      </c>
      <c r="E159" s="149" t="s">
        <v>541</v>
      </c>
      <c r="F159" s="149" t="s">
        <v>541</v>
      </c>
      <c r="G159" s="149" t="s">
        <v>212</v>
      </c>
      <c r="H159" s="149" t="s">
        <v>212</v>
      </c>
      <c r="I159" s="149" t="s">
        <v>1218</v>
      </c>
      <c r="J159" s="149" t="s">
        <v>112</v>
      </c>
      <c r="K159" s="149" t="s">
        <v>1137</v>
      </c>
      <c r="L159" s="149">
        <v>73002</v>
      </c>
      <c r="M159" s="149"/>
      <c r="N159" s="149"/>
      <c r="O159" s="161"/>
      <c r="P159" s="162">
        <v>255746</v>
      </c>
      <c r="Q159" s="61">
        <v>0</v>
      </c>
      <c r="R159" s="63">
        <f t="shared" si="26"/>
        <v>0</v>
      </c>
      <c r="S159" s="61">
        <v>34112</v>
      </c>
      <c r="T159" s="61">
        <v>0</v>
      </c>
      <c r="U159" s="63">
        <f t="shared" si="27"/>
        <v>0</v>
      </c>
      <c r="V159" s="61">
        <v>68870.325724495342</v>
      </c>
      <c r="W159" s="61">
        <v>0</v>
      </c>
      <c r="X159" s="63">
        <f t="shared" si="28"/>
        <v>0</v>
      </c>
      <c r="Y159" s="61">
        <v>2205</v>
      </c>
      <c r="Z159" s="102">
        <v>0</v>
      </c>
      <c r="AA159" s="63">
        <f t="shared" si="29"/>
        <v>0</v>
      </c>
      <c r="AB159" s="61">
        <v>61</v>
      </c>
      <c r="AC159" s="61">
        <v>0</v>
      </c>
      <c r="AD159" s="63">
        <f t="shared" si="30"/>
        <v>0</v>
      </c>
      <c r="AE159" s="61">
        <v>12</v>
      </c>
      <c r="AF159" s="61">
        <v>0</v>
      </c>
      <c r="AG159" s="63">
        <f t="shared" si="31"/>
        <v>0</v>
      </c>
      <c r="AH159" s="61">
        <v>334.12123736643019</v>
      </c>
      <c r="AI159" s="61">
        <v>0</v>
      </c>
      <c r="AJ159" s="63">
        <f t="shared" si="32"/>
        <v>0</v>
      </c>
      <c r="AK159" s="61">
        <v>8.7558999798009491</v>
      </c>
      <c r="AL159" s="61">
        <v>0</v>
      </c>
      <c r="AM159" s="63">
        <f t="shared" si="33"/>
        <v>0</v>
      </c>
      <c r="AN159" s="61">
        <v>9.3763086000164435</v>
      </c>
      <c r="AO159" s="61">
        <v>0</v>
      </c>
      <c r="AP159" s="63">
        <f t="shared" si="34"/>
        <v>0</v>
      </c>
      <c r="AQ159" s="61">
        <v>20.610435016254964</v>
      </c>
      <c r="AR159" s="61">
        <v>0</v>
      </c>
      <c r="AS159" s="63">
        <f t="shared" si="35"/>
        <v>0</v>
      </c>
      <c r="AT159" s="61">
        <v>12</v>
      </c>
      <c r="AU159" s="61">
        <v>0</v>
      </c>
      <c r="AV159" s="63">
        <f t="shared" si="36"/>
        <v>0</v>
      </c>
      <c r="AW159" s="61">
        <v>7.4848554366732971</v>
      </c>
      <c r="AX159" s="61">
        <v>0</v>
      </c>
      <c r="AY159" s="63">
        <f t="shared" si="37"/>
        <v>0</v>
      </c>
      <c r="AZ159" s="61">
        <v>17</v>
      </c>
      <c r="BA159" s="61">
        <v>0</v>
      </c>
      <c r="BB159" s="63">
        <f t="shared" si="38"/>
        <v>0</v>
      </c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</row>
    <row r="160" spans="1:87" x14ac:dyDescent="0.25">
      <c r="A160" s="236">
        <v>19444</v>
      </c>
      <c r="B160" s="236">
        <v>11769</v>
      </c>
      <c r="C160" s="236">
        <v>1083191039</v>
      </c>
      <c r="D160" s="236" t="s">
        <v>726</v>
      </c>
      <c r="E160" s="236" t="s">
        <v>546</v>
      </c>
      <c r="F160" s="236" t="s">
        <v>546</v>
      </c>
      <c r="G160" s="236" t="s">
        <v>220</v>
      </c>
      <c r="H160" s="236" t="s">
        <v>220</v>
      </c>
      <c r="I160" s="236" t="s">
        <v>1218</v>
      </c>
      <c r="J160" s="236" t="s">
        <v>112</v>
      </c>
      <c r="K160" s="236" t="s">
        <v>521</v>
      </c>
      <c r="L160" s="236">
        <v>73002</v>
      </c>
      <c r="M160" s="236" t="s">
        <v>1146</v>
      </c>
      <c r="N160" s="236">
        <v>5</v>
      </c>
      <c r="O160" s="237">
        <v>0.1</v>
      </c>
      <c r="P160" s="238">
        <v>35804</v>
      </c>
      <c r="Q160" s="61">
        <v>50701.760000000002</v>
      </c>
      <c r="R160" s="63">
        <f t="shared" si="26"/>
        <v>1.4160920567534354</v>
      </c>
      <c r="S160" s="61">
        <v>4794</v>
      </c>
      <c r="T160" s="61">
        <v>6954.78</v>
      </c>
      <c r="U160" s="63">
        <f t="shared" si="27"/>
        <v>1.4507259073842302</v>
      </c>
      <c r="V160" s="61">
        <v>7894.9308731819347</v>
      </c>
      <c r="W160" s="61">
        <v>6782.19</v>
      </c>
      <c r="X160" s="63">
        <f t="shared" si="28"/>
        <v>0.85905628674194312</v>
      </c>
      <c r="Y160" s="61">
        <v>309</v>
      </c>
      <c r="Z160" s="102">
        <v>0</v>
      </c>
      <c r="AA160" s="63">
        <f t="shared" si="29"/>
        <v>0</v>
      </c>
      <c r="AB160" s="61">
        <v>8</v>
      </c>
      <c r="AC160" s="61">
        <v>5</v>
      </c>
      <c r="AD160" s="63">
        <f t="shared" si="30"/>
        <v>0.625</v>
      </c>
      <c r="AE160" s="61">
        <v>1</v>
      </c>
      <c r="AF160" s="61">
        <v>0</v>
      </c>
      <c r="AG160" s="63">
        <f t="shared" si="31"/>
        <v>0</v>
      </c>
      <c r="AH160" s="61">
        <v>48.598312190664679</v>
      </c>
      <c r="AI160" s="61">
        <v>27</v>
      </c>
      <c r="AJ160" s="63">
        <f t="shared" si="32"/>
        <v>0.55557484988514616</v>
      </c>
      <c r="AK160" s="61">
        <v>0.79599090725463173</v>
      </c>
      <c r="AL160" s="61">
        <v>1</v>
      </c>
      <c r="AM160" s="63">
        <f t="shared" si="33"/>
        <v>1.2562957577605938</v>
      </c>
      <c r="AN160" s="61">
        <v>1.4425090153871452</v>
      </c>
      <c r="AO160" s="61">
        <v>5</v>
      </c>
      <c r="AP160" s="63">
        <f t="shared" si="34"/>
        <v>3.4661828429946304</v>
      </c>
      <c r="AQ160" s="61">
        <v>1.79221174054391</v>
      </c>
      <c r="AR160" s="61">
        <v>1</v>
      </c>
      <c r="AS160" s="63">
        <f t="shared" si="35"/>
        <v>0.55796978525345153</v>
      </c>
      <c r="AT160" s="61">
        <v>1</v>
      </c>
      <c r="AU160" s="61">
        <v>2</v>
      </c>
      <c r="AV160" s="63">
        <f t="shared" si="36"/>
        <v>2</v>
      </c>
      <c r="AW160" s="61">
        <v>1.0478668837622123</v>
      </c>
      <c r="AX160" s="61">
        <v>0</v>
      </c>
      <c r="AY160" s="63">
        <f t="shared" si="37"/>
        <v>0</v>
      </c>
      <c r="AZ160" s="61">
        <v>2</v>
      </c>
      <c r="BA160" s="61">
        <v>2</v>
      </c>
      <c r="BB160" s="63">
        <f t="shared" si="38"/>
        <v>1</v>
      </c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</row>
    <row r="161" spans="1:87" x14ac:dyDescent="0.25">
      <c r="A161" s="128">
        <v>19507</v>
      </c>
      <c r="B161" s="128">
        <v>11769</v>
      </c>
      <c r="C161" s="128">
        <v>1060592951</v>
      </c>
      <c r="D161" s="128" t="s">
        <v>728</v>
      </c>
      <c r="E161" s="128" t="s">
        <v>546</v>
      </c>
      <c r="F161" s="128" t="s">
        <v>546</v>
      </c>
      <c r="G161" s="128" t="s">
        <v>201</v>
      </c>
      <c r="H161" s="128" t="s">
        <v>201</v>
      </c>
      <c r="I161" s="128" t="s">
        <v>1218</v>
      </c>
      <c r="J161" s="128" t="s">
        <v>112</v>
      </c>
      <c r="K161" s="128" t="s">
        <v>521</v>
      </c>
      <c r="L161" s="128">
        <v>73002</v>
      </c>
      <c r="M161" s="128" t="s">
        <v>1215</v>
      </c>
      <c r="N161" s="128"/>
      <c r="O161" s="156"/>
      <c r="P161" s="157">
        <v>38362</v>
      </c>
      <c r="Q161" s="61">
        <v>54149.58</v>
      </c>
      <c r="R161" s="63">
        <f t="shared" si="26"/>
        <v>1.4115421510870132</v>
      </c>
      <c r="S161" s="61">
        <v>5443</v>
      </c>
      <c r="T161" s="61">
        <v>10171.299999999999</v>
      </c>
      <c r="U161" s="63">
        <f t="shared" si="27"/>
        <v>1.8686937350725701</v>
      </c>
      <c r="V161" s="61">
        <v>11159.128151021458</v>
      </c>
      <c r="W161" s="61">
        <v>10790.88</v>
      </c>
      <c r="X161" s="63">
        <f t="shared" si="28"/>
        <v>0.96700027582461712</v>
      </c>
      <c r="Y161" s="61">
        <v>397</v>
      </c>
      <c r="Z161" s="102">
        <v>0</v>
      </c>
      <c r="AA161" s="63">
        <f t="shared" si="29"/>
        <v>0</v>
      </c>
      <c r="AB161" s="61">
        <v>10</v>
      </c>
      <c r="AC161" s="61">
        <v>3</v>
      </c>
      <c r="AD161" s="63">
        <f t="shared" si="30"/>
        <v>0.3</v>
      </c>
      <c r="AE161" s="61">
        <v>2</v>
      </c>
      <c r="AF161" s="61">
        <v>0</v>
      </c>
      <c r="AG161" s="63">
        <f t="shared" si="31"/>
        <v>0</v>
      </c>
      <c r="AH161" s="61">
        <v>52.531364222442129</v>
      </c>
      <c r="AI161" s="61">
        <v>46</v>
      </c>
      <c r="AJ161" s="63">
        <f t="shared" si="32"/>
        <v>0.87566734047139327</v>
      </c>
      <c r="AK161" s="61">
        <v>1.5919818145092635</v>
      </c>
      <c r="AL161" s="61">
        <v>1</v>
      </c>
      <c r="AM161" s="63">
        <f t="shared" si="33"/>
        <v>0.62814787888029688</v>
      </c>
      <c r="AN161" s="61">
        <v>1.4425090153871452</v>
      </c>
      <c r="AO161" s="61">
        <v>2</v>
      </c>
      <c r="AP161" s="63">
        <f t="shared" si="34"/>
        <v>1.3864731371978523</v>
      </c>
      <c r="AQ161" s="61">
        <v>3.5844234810878199</v>
      </c>
      <c r="AR161" s="61">
        <v>0</v>
      </c>
      <c r="AS161" s="63">
        <f t="shared" si="35"/>
        <v>0</v>
      </c>
      <c r="AT161" s="61">
        <v>2</v>
      </c>
      <c r="AU161" s="61">
        <v>4</v>
      </c>
      <c r="AV161" s="63">
        <f t="shared" si="36"/>
        <v>2</v>
      </c>
      <c r="AW161" s="61">
        <v>1.1227312421764604</v>
      </c>
      <c r="AX161" s="61">
        <v>1</v>
      </c>
      <c r="AY161" s="63">
        <f t="shared" si="37"/>
        <v>0.89068511005488649</v>
      </c>
      <c r="AZ161" s="61">
        <v>3</v>
      </c>
      <c r="BA161" s="61">
        <v>0</v>
      </c>
      <c r="BB161" s="63">
        <f t="shared" si="38"/>
        <v>0</v>
      </c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</row>
    <row r="162" spans="1:87" x14ac:dyDescent="0.25">
      <c r="A162" s="128">
        <v>19445</v>
      </c>
      <c r="B162" s="128">
        <v>11769</v>
      </c>
      <c r="C162" s="128">
        <v>1061370142</v>
      </c>
      <c r="D162" s="128" t="s">
        <v>1189</v>
      </c>
      <c r="E162" s="128" t="s">
        <v>546</v>
      </c>
      <c r="F162" s="128" t="s">
        <v>546</v>
      </c>
      <c r="G162" s="128" t="s">
        <v>211</v>
      </c>
      <c r="H162" s="128" t="s">
        <v>211</v>
      </c>
      <c r="I162" s="128" t="s">
        <v>1218</v>
      </c>
      <c r="J162" s="128" t="s">
        <v>112</v>
      </c>
      <c r="K162" s="128" t="s">
        <v>521</v>
      </c>
      <c r="L162" s="128">
        <v>73002</v>
      </c>
      <c r="M162" s="128" t="s">
        <v>1215</v>
      </c>
      <c r="N162" s="128"/>
      <c r="O162" s="156"/>
      <c r="P162" s="157">
        <v>40919</v>
      </c>
      <c r="Q162" s="61">
        <v>67900.010000000009</v>
      </c>
      <c r="R162" s="63">
        <f t="shared" si="26"/>
        <v>1.6593760844595422</v>
      </c>
      <c r="S162" s="61">
        <v>4603</v>
      </c>
      <c r="T162" s="61">
        <v>0</v>
      </c>
      <c r="U162" s="63">
        <f t="shared" si="27"/>
        <v>0</v>
      </c>
      <c r="V162" s="61">
        <v>11895.45797769298</v>
      </c>
      <c r="W162" s="61">
        <v>10716.1</v>
      </c>
      <c r="X162" s="63">
        <f t="shared" si="28"/>
        <v>0.90085644622472061</v>
      </c>
      <c r="Y162" s="61">
        <v>176</v>
      </c>
      <c r="Z162" s="102">
        <v>0</v>
      </c>
      <c r="AA162" s="63">
        <f t="shared" si="29"/>
        <v>0</v>
      </c>
      <c r="AB162" s="61">
        <v>10</v>
      </c>
      <c r="AC162" s="61">
        <v>13</v>
      </c>
      <c r="AD162" s="63">
        <f t="shared" si="30"/>
        <v>1.3</v>
      </c>
      <c r="AE162" s="61">
        <v>2</v>
      </c>
      <c r="AF162" s="61">
        <v>0</v>
      </c>
      <c r="AG162" s="63">
        <f t="shared" si="31"/>
        <v>0</v>
      </c>
      <c r="AH162" s="61">
        <v>52.531364222442129</v>
      </c>
      <c r="AI162" s="61">
        <v>41</v>
      </c>
      <c r="AJ162" s="63">
        <f t="shared" si="32"/>
        <v>0.78048610781145922</v>
      </c>
      <c r="AK162" s="61">
        <v>1.5919818145092635</v>
      </c>
      <c r="AL162" s="61">
        <v>5</v>
      </c>
      <c r="AM162" s="63">
        <f t="shared" si="33"/>
        <v>3.1407393944014843</v>
      </c>
      <c r="AN162" s="61">
        <v>1.4425090153871452</v>
      </c>
      <c r="AO162" s="61">
        <v>0</v>
      </c>
      <c r="AP162" s="63">
        <f t="shared" si="34"/>
        <v>0</v>
      </c>
      <c r="AQ162" s="61">
        <v>3.5844234810878199</v>
      </c>
      <c r="AR162" s="61">
        <v>1</v>
      </c>
      <c r="AS162" s="63">
        <f t="shared" si="35"/>
        <v>0.27898489262672577</v>
      </c>
      <c r="AT162" s="61">
        <v>2</v>
      </c>
      <c r="AU162" s="61">
        <v>1</v>
      </c>
      <c r="AV162" s="63">
        <f t="shared" si="36"/>
        <v>0.5</v>
      </c>
      <c r="AW162" s="61">
        <v>1.1975663338360509</v>
      </c>
      <c r="AX162" s="61">
        <v>0</v>
      </c>
      <c r="AY162" s="63">
        <f t="shared" si="37"/>
        <v>0</v>
      </c>
      <c r="AZ162" s="61">
        <v>3</v>
      </c>
      <c r="BA162" s="61">
        <v>1</v>
      </c>
      <c r="BB162" s="63">
        <f t="shared" si="38"/>
        <v>0.33333333333333331</v>
      </c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</row>
    <row r="163" spans="1:87" x14ac:dyDescent="0.25">
      <c r="A163" s="128">
        <v>4872</v>
      </c>
      <c r="B163" s="128">
        <v>11769</v>
      </c>
      <c r="C163" s="128">
        <v>1030921751</v>
      </c>
      <c r="D163" s="128" t="s">
        <v>731</v>
      </c>
      <c r="E163" s="128" t="s">
        <v>546</v>
      </c>
      <c r="F163" s="128" t="s">
        <v>546</v>
      </c>
      <c r="G163" s="128" t="s">
        <v>213</v>
      </c>
      <c r="H163" s="128" t="s">
        <v>214</v>
      </c>
      <c r="I163" s="128" t="s">
        <v>1218</v>
      </c>
      <c r="J163" s="128" t="s">
        <v>112</v>
      </c>
      <c r="K163" s="128" t="s">
        <v>521</v>
      </c>
      <c r="L163" s="128">
        <v>73002</v>
      </c>
      <c r="M163" s="128" t="s">
        <v>1146</v>
      </c>
      <c r="N163" s="128">
        <v>5</v>
      </c>
      <c r="O163" s="156">
        <v>0.1</v>
      </c>
      <c r="P163" s="157">
        <v>35804</v>
      </c>
      <c r="Q163" s="61">
        <v>31448.71</v>
      </c>
      <c r="R163" s="63">
        <f t="shared" si="26"/>
        <v>0.87835744609540833</v>
      </c>
      <c r="S163" s="61">
        <v>4793</v>
      </c>
      <c r="T163" s="61">
        <v>6954.78</v>
      </c>
      <c r="U163" s="63">
        <f t="shared" si="27"/>
        <v>1.4510285833507197</v>
      </c>
      <c r="V163" s="61">
        <v>8676.0008059566208</v>
      </c>
      <c r="W163" s="61">
        <v>6175.6600000000008</v>
      </c>
      <c r="X163" s="63">
        <f t="shared" si="28"/>
        <v>0.71180952354914739</v>
      </c>
      <c r="Y163" s="61">
        <v>198</v>
      </c>
      <c r="Z163" s="102">
        <v>0</v>
      </c>
      <c r="AA163" s="63">
        <f t="shared" si="29"/>
        <v>0</v>
      </c>
      <c r="AB163" s="61">
        <v>8</v>
      </c>
      <c r="AC163" s="61">
        <v>1</v>
      </c>
      <c r="AD163" s="63">
        <f t="shared" si="30"/>
        <v>0.125</v>
      </c>
      <c r="AE163" s="61">
        <v>2</v>
      </c>
      <c r="AF163" s="61">
        <v>0</v>
      </c>
      <c r="AG163" s="63">
        <f t="shared" si="31"/>
        <v>0</v>
      </c>
      <c r="AH163" s="61">
        <v>46.631786174775954</v>
      </c>
      <c r="AI163" s="61">
        <v>24</v>
      </c>
      <c r="AJ163" s="63">
        <f t="shared" si="32"/>
        <v>0.51467039907174028</v>
      </c>
      <c r="AK163" s="61">
        <v>0.79599090725463173</v>
      </c>
      <c r="AL163" s="61">
        <v>1</v>
      </c>
      <c r="AM163" s="63">
        <f t="shared" si="33"/>
        <v>1.2562957577605938</v>
      </c>
      <c r="AN163" s="61">
        <v>1.4425090153871452</v>
      </c>
      <c r="AO163" s="61">
        <v>2</v>
      </c>
      <c r="AP163" s="63">
        <f t="shared" si="34"/>
        <v>1.3864731371978523</v>
      </c>
      <c r="AQ163" s="61">
        <v>2.6883176108158651</v>
      </c>
      <c r="AR163" s="61">
        <v>0</v>
      </c>
      <c r="AS163" s="63">
        <f t="shared" si="35"/>
        <v>0</v>
      </c>
      <c r="AT163" s="61">
        <v>2</v>
      </c>
      <c r="AU163" s="61">
        <v>1</v>
      </c>
      <c r="AV163" s="63">
        <f t="shared" si="36"/>
        <v>0.5</v>
      </c>
      <c r="AW163" s="61">
        <v>1.0478668837622123</v>
      </c>
      <c r="AX163" s="61">
        <v>0</v>
      </c>
      <c r="AY163" s="63">
        <f t="shared" si="37"/>
        <v>0</v>
      </c>
      <c r="AZ163" s="61">
        <v>2</v>
      </c>
      <c r="BA163" s="61">
        <v>0</v>
      </c>
      <c r="BB163" s="63">
        <f t="shared" si="38"/>
        <v>0</v>
      </c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</row>
    <row r="164" spans="1:87" x14ac:dyDescent="0.25">
      <c r="A164" s="227">
        <v>11772</v>
      </c>
      <c r="B164" s="227">
        <v>11769</v>
      </c>
      <c r="C164" s="227">
        <v>1064548900</v>
      </c>
      <c r="D164" s="227" t="s">
        <v>732</v>
      </c>
      <c r="E164" s="227" t="s">
        <v>546</v>
      </c>
      <c r="F164" s="227" t="s">
        <v>546</v>
      </c>
      <c r="G164" s="227" t="s">
        <v>485</v>
      </c>
      <c r="H164" s="227" t="s">
        <v>485</v>
      </c>
      <c r="I164" s="227" t="s">
        <v>1218</v>
      </c>
      <c r="J164" s="227" t="s">
        <v>112</v>
      </c>
      <c r="K164" s="227" t="s">
        <v>521</v>
      </c>
      <c r="L164" s="227">
        <v>73002</v>
      </c>
      <c r="M164" s="227" t="s">
        <v>1148</v>
      </c>
      <c r="N164" s="227"/>
      <c r="O164" s="239">
        <v>0.5</v>
      </c>
      <c r="P164" s="240">
        <v>30690</v>
      </c>
      <c r="Q164" s="61">
        <v>32691.32</v>
      </c>
      <c r="R164" s="63">
        <f t="shared" si="26"/>
        <v>1.0652108178559792</v>
      </c>
      <c r="S164" s="61">
        <v>3322</v>
      </c>
      <c r="T164" s="61">
        <v>6954.78</v>
      </c>
      <c r="U164" s="63">
        <f t="shared" si="27"/>
        <v>2.0935520770620109</v>
      </c>
      <c r="V164" s="61">
        <v>7201.8467755758556</v>
      </c>
      <c r="W164" s="61">
        <v>7385.6600000000008</v>
      </c>
      <c r="X164" s="63">
        <f t="shared" si="28"/>
        <v>1.0255230679230116</v>
      </c>
      <c r="Y164" s="61">
        <v>287</v>
      </c>
      <c r="Z164" s="102">
        <v>0</v>
      </c>
      <c r="AA164" s="63">
        <f t="shared" si="29"/>
        <v>0</v>
      </c>
      <c r="AB164" s="61">
        <v>5</v>
      </c>
      <c r="AC164" s="61">
        <v>1</v>
      </c>
      <c r="AD164" s="63">
        <f t="shared" si="30"/>
        <v>0.2</v>
      </c>
      <c r="AE164" s="61">
        <v>1</v>
      </c>
      <c r="AF164" s="61">
        <v>0</v>
      </c>
      <c r="AG164" s="63">
        <f t="shared" si="31"/>
        <v>0</v>
      </c>
      <c r="AH164" s="61">
        <v>28.765682111221064</v>
      </c>
      <c r="AI164" s="61">
        <v>19</v>
      </c>
      <c r="AJ164" s="63">
        <f t="shared" si="32"/>
        <v>0.66050928069556825</v>
      </c>
      <c r="AK164" s="61">
        <v>0.79599090725463173</v>
      </c>
      <c r="AL164" s="61">
        <v>0</v>
      </c>
      <c r="AM164" s="63">
        <f t="shared" si="33"/>
        <v>0</v>
      </c>
      <c r="AN164" s="61">
        <v>0.72125450769357258</v>
      </c>
      <c r="AO164" s="61">
        <v>1</v>
      </c>
      <c r="AP164" s="63">
        <f t="shared" si="34"/>
        <v>1.3864731371978523</v>
      </c>
      <c r="AQ164" s="61">
        <v>1.79221174054391</v>
      </c>
      <c r="AR164" s="61">
        <v>1</v>
      </c>
      <c r="AS164" s="63">
        <f t="shared" si="35"/>
        <v>0.55796978525345153</v>
      </c>
      <c r="AT164" s="61">
        <v>1</v>
      </c>
      <c r="AU164" s="61">
        <v>0</v>
      </c>
      <c r="AV164" s="63">
        <f t="shared" si="36"/>
        <v>0</v>
      </c>
      <c r="AW164" s="61">
        <v>0.89819670044303135</v>
      </c>
      <c r="AX164" s="61">
        <v>0</v>
      </c>
      <c r="AY164" s="63">
        <f t="shared" si="37"/>
        <v>0</v>
      </c>
      <c r="AZ164" s="61">
        <v>1</v>
      </c>
      <c r="BA164" s="61">
        <v>0</v>
      </c>
      <c r="BB164" s="63">
        <f t="shared" si="38"/>
        <v>0</v>
      </c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</row>
    <row r="165" spans="1:87" x14ac:dyDescent="0.25">
      <c r="A165" s="236">
        <v>19510</v>
      </c>
      <c r="B165" s="236">
        <v>11769</v>
      </c>
      <c r="C165" s="236">
        <v>1088904402</v>
      </c>
      <c r="D165" s="236" t="s">
        <v>727</v>
      </c>
      <c r="E165" s="236" t="s">
        <v>546</v>
      </c>
      <c r="F165" s="236" t="s">
        <v>546</v>
      </c>
      <c r="G165" s="236" t="s">
        <v>204</v>
      </c>
      <c r="H165" s="236" t="s">
        <v>204</v>
      </c>
      <c r="I165" s="236" t="s">
        <v>1218</v>
      </c>
      <c r="J165" s="236" t="s">
        <v>112</v>
      </c>
      <c r="K165" s="236" t="s">
        <v>521</v>
      </c>
      <c r="L165" s="236">
        <v>73002</v>
      </c>
      <c r="M165" s="236" t="s">
        <v>1215</v>
      </c>
      <c r="N165" s="236"/>
      <c r="O165" s="237"/>
      <c r="P165" s="238">
        <v>38362</v>
      </c>
      <c r="Q165" s="61">
        <v>60006.130000000005</v>
      </c>
      <c r="R165" s="63">
        <f t="shared" si="26"/>
        <v>1.5642075491371672</v>
      </c>
      <c r="S165" s="61">
        <v>5439</v>
      </c>
      <c r="T165" s="61">
        <v>6954.78</v>
      </c>
      <c r="U165" s="63">
        <f t="shared" si="27"/>
        <v>1.2786872586872586</v>
      </c>
      <c r="V165" s="61">
        <v>11775.198083796144</v>
      </c>
      <c r="W165" s="61">
        <v>14811.3</v>
      </c>
      <c r="X165" s="63">
        <f t="shared" si="28"/>
        <v>1.2578387127416426</v>
      </c>
      <c r="Y165" s="61">
        <v>485</v>
      </c>
      <c r="Z165" s="102">
        <v>0</v>
      </c>
      <c r="AA165" s="63">
        <f t="shared" si="29"/>
        <v>0</v>
      </c>
      <c r="AB165" s="61">
        <v>10</v>
      </c>
      <c r="AC165" s="61">
        <v>6</v>
      </c>
      <c r="AD165" s="63">
        <f t="shared" si="30"/>
        <v>0.6</v>
      </c>
      <c r="AE165" s="61">
        <v>2</v>
      </c>
      <c r="AF165" s="61">
        <v>2</v>
      </c>
      <c r="AG165" s="63">
        <f t="shared" si="31"/>
        <v>1</v>
      </c>
      <c r="AH165" s="61">
        <v>52.531364222442129</v>
      </c>
      <c r="AI165" s="61">
        <v>12</v>
      </c>
      <c r="AJ165" s="63">
        <f t="shared" si="32"/>
        <v>0.22843495838384173</v>
      </c>
      <c r="AK165" s="61">
        <v>1.5919818145092635</v>
      </c>
      <c r="AL165" s="61">
        <v>0</v>
      </c>
      <c r="AM165" s="63">
        <f t="shared" si="33"/>
        <v>0</v>
      </c>
      <c r="AN165" s="61">
        <v>1.4425090153871452</v>
      </c>
      <c r="AO165" s="61">
        <v>0</v>
      </c>
      <c r="AP165" s="63">
        <f t="shared" si="34"/>
        <v>0</v>
      </c>
      <c r="AQ165" s="61">
        <v>3.5844234810878199</v>
      </c>
      <c r="AR165" s="61">
        <v>2</v>
      </c>
      <c r="AS165" s="63">
        <f t="shared" si="35"/>
        <v>0.55796978525345153</v>
      </c>
      <c r="AT165" s="61">
        <v>2</v>
      </c>
      <c r="AU165" s="61">
        <v>0</v>
      </c>
      <c r="AV165" s="63">
        <f t="shared" si="36"/>
        <v>0</v>
      </c>
      <c r="AW165" s="61">
        <v>1.1227312421764604</v>
      </c>
      <c r="AX165" s="61">
        <v>0</v>
      </c>
      <c r="AY165" s="63">
        <f t="shared" si="37"/>
        <v>0</v>
      </c>
      <c r="AZ165" s="61">
        <v>3</v>
      </c>
      <c r="BA165" s="61">
        <v>6</v>
      </c>
      <c r="BB165" s="63">
        <f t="shared" si="38"/>
        <v>2</v>
      </c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</row>
    <row r="166" spans="1:87" x14ac:dyDescent="0.25">
      <c r="A166" s="128">
        <v>19443</v>
      </c>
      <c r="B166" s="128">
        <v>11769</v>
      </c>
      <c r="C166" s="128">
        <v>1046721559</v>
      </c>
      <c r="D166" s="128" t="s">
        <v>710</v>
      </c>
      <c r="E166" s="128" t="s">
        <v>546</v>
      </c>
      <c r="F166" s="128" t="s">
        <v>546</v>
      </c>
      <c r="G166" s="128" t="s">
        <v>206</v>
      </c>
      <c r="H166" s="128" t="s">
        <v>206</v>
      </c>
      <c r="I166" s="128" t="s">
        <v>1218</v>
      </c>
      <c r="J166" s="128" t="s">
        <v>112</v>
      </c>
      <c r="K166" s="128" t="s">
        <v>521</v>
      </c>
      <c r="L166" s="128">
        <v>73002</v>
      </c>
      <c r="M166" s="128"/>
      <c r="N166" s="128"/>
      <c r="O166" s="156"/>
      <c r="P166" s="157">
        <v>35805</v>
      </c>
      <c r="Q166" s="61">
        <v>38413.050000000003</v>
      </c>
      <c r="R166" s="63">
        <f t="shared" si="26"/>
        <v>1.0728403854210307</v>
      </c>
      <c r="S166" s="61">
        <v>5718</v>
      </c>
      <c r="T166" s="61">
        <v>3738.26</v>
      </c>
      <c r="U166" s="63">
        <f t="shared" si="27"/>
        <v>0.6537705491430571</v>
      </c>
      <c r="V166" s="61">
        <v>10267.763057270353</v>
      </c>
      <c r="W166" s="61">
        <v>12144.79</v>
      </c>
      <c r="X166" s="63">
        <f t="shared" si="28"/>
        <v>1.182807777337691</v>
      </c>
      <c r="Y166" s="61">
        <v>353</v>
      </c>
      <c r="Z166" s="102">
        <v>0</v>
      </c>
      <c r="AA166" s="63">
        <f t="shared" si="29"/>
        <v>0</v>
      </c>
      <c r="AB166" s="61">
        <v>10</v>
      </c>
      <c r="AC166" s="61">
        <v>2</v>
      </c>
      <c r="AD166" s="63">
        <f t="shared" si="30"/>
        <v>0.2</v>
      </c>
      <c r="AE166" s="61">
        <v>2</v>
      </c>
      <c r="AF166" s="61">
        <v>0</v>
      </c>
      <c r="AG166" s="63">
        <f t="shared" si="31"/>
        <v>0</v>
      </c>
      <c r="AH166" s="61">
        <v>52.531364222442129</v>
      </c>
      <c r="AI166" s="61">
        <v>21</v>
      </c>
      <c r="AJ166" s="63">
        <f t="shared" si="32"/>
        <v>0.39976117717172305</v>
      </c>
      <c r="AK166" s="61">
        <v>1.5919818145092635</v>
      </c>
      <c r="AL166" s="61">
        <v>0</v>
      </c>
      <c r="AM166" s="63">
        <f t="shared" si="33"/>
        <v>0</v>
      </c>
      <c r="AN166" s="61">
        <v>1.4425090153871452</v>
      </c>
      <c r="AO166" s="61">
        <v>0</v>
      </c>
      <c r="AP166" s="63">
        <f t="shared" si="34"/>
        <v>0</v>
      </c>
      <c r="AQ166" s="61">
        <v>3.5844234810878199</v>
      </c>
      <c r="AR166" s="61">
        <v>1</v>
      </c>
      <c r="AS166" s="63">
        <f t="shared" si="35"/>
        <v>0.27898489262672577</v>
      </c>
      <c r="AT166" s="61">
        <v>2</v>
      </c>
      <c r="AU166" s="61">
        <v>0</v>
      </c>
      <c r="AV166" s="63">
        <f t="shared" si="36"/>
        <v>0</v>
      </c>
      <c r="AW166" s="61">
        <v>1.0478961505168698</v>
      </c>
      <c r="AX166" s="61">
        <v>0</v>
      </c>
      <c r="AY166" s="63">
        <f t="shared" si="37"/>
        <v>0</v>
      </c>
      <c r="AZ166" s="61">
        <v>3</v>
      </c>
      <c r="BA166" s="61">
        <v>3</v>
      </c>
      <c r="BB166" s="63">
        <f t="shared" si="38"/>
        <v>1</v>
      </c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</row>
    <row r="167" spans="1:87" x14ac:dyDescent="0.25">
      <c r="A167" s="128">
        <v>17055</v>
      </c>
      <c r="B167" s="128">
        <v>12877</v>
      </c>
      <c r="C167" s="128">
        <v>1046948137</v>
      </c>
      <c r="D167" s="128" t="s">
        <v>733</v>
      </c>
      <c r="E167" s="128" t="s">
        <v>537</v>
      </c>
      <c r="F167" s="128" t="s">
        <v>537</v>
      </c>
      <c r="G167" s="128">
        <v>0</v>
      </c>
      <c r="H167" s="128">
        <v>0</v>
      </c>
      <c r="I167" s="128" t="s">
        <v>1218</v>
      </c>
      <c r="J167" s="128" t="s">
        <v>30</v>
      </c>
      <c r="K167" s="128" t="s">
        <v>538</v>
      </c>
      <c r="L167" s="128" t="s">
        <v>539</v>
      </c>
      <c r="M167" s="128"/>
      <c r="N167" s="128"/>
      <c r="O167" s="156"/>
      <c r="P167" s="157">
        <v>5836892.9963080371</v>
      </c>
      <c r="Q167" s="61">
        <v>0</v>
      </c>
      <c r="R167" s="63">
        <f t="shared" si="26"/>
        <v>0</v>
      </c>
      <c r="S167" s="61">
        <v>590030.83628916112</v>
      </c>
      <c r="T167" s="61">
        <v>0</v>
      </c>
      <c r="U167" s="63">
        <f t="shared" si="27"/>
        <v>0</v>
      </c>
      <c r="V167" s="61">
        <v>1204521.812920393</v>
      </c>
      <c r="W167" s="61">
        <v>0</v>
      </c>
      <c r="X167" s="63">
        <f t="shared" si="28"/>
        <v>0</v>
      </c>
      <c r="Y167" s="61">
        <v>65946.629121009915</v>
      </c>
      <c r="Z167" s="102">
        <v>0</v>
      </c>
      <c r="AA167" s="63">
        <f t="shared" si="29"/>
        <v>0</v>
      </c>
      <c r="AB167" s="61">
        <v>901.59983332234594</v>
      </c>
      <c r="AC167" s="61">
        <v>0</v>
      </c>
      <c r="AD167" s="63">
        <f t="shared" si="30"/>
        <v>0</v>
      </c>
      <c r="AE167" s="61">
        <v>131.24245908761407</v>
      </c>
      <c r="AF167" s="61">
        <v>0</v>
      </c>
      <c r="AG167" s="63">
        <f t="shared" si="31"/>
        <v>0</v>
      </c>
      <c r="AH167" s="61">
        <v>4925.7273382312087</v>
      </c>
      <c r="AI167" s="61">
        <v>0</v>
      </c>
      <c r="AJ167" s="63">
        <f t="shared" si="32"/>
        <v>0</v>
      </c>
      <c r="AK167" s="61">
        <v>174.97538065934208</v>
      </c>
      <c r="AL167" s="61">
        <v>0</v>
      </c>
      <c r="AM167" s="63">
        <f t="shared" si="33"/>
        <v>0</v>
      </c>
      <c r="AN167" s="61">
        <v>201.68669846996281</v>
      </c>
      <c r="AO167" s="61">
        <v>0</v>
      </c>
      <c r="AP167" s="63">
        <f t="shared" si="34"/>
        <v>0</v>
      </c>
      <c r="AQ167" s="61">
        <v>414.34854382507689</v>
      </c>
      <c r="AR167" s="61">
        <v>0</v>
      </c>
      <c r="AS167" s="63">
        <f t="shared" si="35"/>
        <v>0</v>
      </c>
      <c r="AT167" s="61">
        <v>354.81107863749043</v>
      </c>
      <c r="AU167" s="61">
        <v>0</v>
      </c>
      <c r="AV167" s="63">
        <f t="shared" si="36"/>
        <v>0</v>
      </c>
      <c r="AW167" s="61">
        <v>170.8269152858559</v>
      </c>
      <c r="AX167" s="61">
        <v>0</v>
      </c>
      <c r="AY167" s="63">
        <f t="shared" si="37"/>
        <v>0</v>
      </c>
      <c r="AZ167" s="61">
        <v>386.80300286642859</v>
      </c>
      <c r="BA167" s="61">
        <v>0</v>
      </c>
      <c r="BB167" s="63">
        <f t="shared" si="38"/>
        <v>0</v>
      </c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</row>
    <row r="168" spans="1:87" x14ac:dyDescent="0.25">
      <c r="A168" s="149">
        <v>21527</v>
      </c>
      <c r="B168" s="149">
        <v>17055</v>
      </c>
      <c r="C168" s="149">
        <v>1050012028</v>
      </c>
      <c r="D168" s="149" t="s">
        <v>734</v>
      </c>
      <c r="E168" s="149" t="s">
        <v>541</v>
      </c>
      <c r="F168" s="149" t="s">
        <v>541</v>
      </c>
      <c r="G168" s="149" t="s">
        <v>31</v>
      </c>
      <c r="H168" s="149" t="s">
        <v>31</v>
      </c>
      <c r="I168" s="149" t="s">
        <v>1218</v>
      </c>
      <c r="J168" s="149" t="s">
        <v>30</v>
      </c>
      <c r="K168" s="149" t="s">
        <v>735</v>
      </c>
      <c r="L168" s="149">
        <v>73011</v>
      </c>
      <c r="M168" s="149"/>
      <c r="N168" s="149"/>
      <c r="O168" s="161"/>
      <c r="P168" s="162">
        <v>1342486</v>
      </c>
      <c r="Q168" s="61">
        <v>0</v>
      </c>
      <c r="R168" s="63">
        <f t="shared" si="26"/>
        <v>0</v>
      </c>
      <c r="S168" s="61">
        <v>129806</v>
      </c>
      <c r="T168" s="61">
        <v>0</v>
      </c>
      <c r="U168" s="63">
        <f t="shared" si="27"/>
        <v>0</v>
      </c>
      <c r="V168" s="61">
        <v>266288.84997071605</v>
      </c>
      <c r="W168" s="61">
        <v>0</v>
      </c>
      <c r="X168" s="63">
        <f t="shared" si="28"/>
        <v>0</v>
      </c>
      <c r="Y168" s="61">
        <v>23081</v>
      </c>
      <c r="Z168" s="102">
        <v>0</v>
      </c>
      <c r="AA168" s="63">
        <f t="shared" si="29"/>
        <v>0</v>
      </c>
      <c r="AB168" s="61">
        <v>200</v>
      </c>
      <c r="AC168" s="61">
        <v>0</v>
      </c>
      <c r="AD168" s="63">
        <f t="shared" si="30"/>
        <v>0</v>
      </c>
      <c r="AE168" s="61">
        <v>29</v>
      </c>
      <c r="AF168" s="61">
        <v>0</v>
      </c>
      <c r="AG168" s="63">
        <f t="shared" si="31"/>
        <v>0</v>
      </c>
      <c r="AH168" s="61">
        <v>1082.9746828599702</v>
      </c>
      <c r="AI168" s="61">
        <v>0</v>
      </c>
      <c r="AJ168" s="63">
        <f t="shared" si="32"/>
        <v>0</v>
      </c>
      <c r="AK168" s="61">
        <v>38.207563548222325</v>
      </c>
      <c r="AL168" s="61">
        <v>0</v>
      </c>
      <c r="AM168" s="63">
        <f t="shared" si="33"/>
        <v>0</v>
      </c>
      <c r="AN168" s="61">
        <v>28.128925800049331</v>
      </c>
      <c r="AO168" s="61">
        <v>0</v>
      </c>
      <c r="AP168" s="63">
        <f t="shared" si="34"/>
        <v>0</v>
      </c>
      <c r="AQ168" s="61">
        <v>66.311834400124667</v>
      </c>
      <c r="AR168" s="61">
        <v>0</v>
      </c>
      <c r="AS168" s="63">
        <f t="shared" si="35"/>
        <v>0</v>
      </c>
      <c r="AT168" s="61">
        <v>106</v>
      </c>
      <c r="AU168" s="61">
        <v>0</v>
      </c>
      <c r="AV168" s="63">
        <f t="shared" si="36"/>
        <v>0</v>
      </c>
      <c r="AW168" s="61">
        <v>39.290208393319105</v>
      </c>
      <c r="AX168" s="61">
        <v>0</v>
      </c>
      <c r="AY168" s="63">
        <f t="shared" si="37"/>
        <v>0</v>
      </c>
      <c r="AZ168" s="61">
        <v>97</v>
      </c>
      <c r="BA168" s="61">
        <v>0</v>
      </c>
      <c r="BB168" s="63">
        <f t="shared" si="38"/>
        <v>0</v>
      </c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</row>
    <row r="169" spans="1:87" x14ac:dyDescent="0.25">
      <c r="A169" s="128">
        <v>10820</v>
      </c>
      <c r="B169" s="128">
        <v>21527</v>
      </c>
      <c r="C169" s="128">
        <v>1051719266</v>
      </c>
      <c r="D169" s="128" t="s">
        <v>742</v>
      </c>
      <c r="E169" s="128" t="s">
        <v>544</v>
      </c>
      <c r="F169" s="128" t="s">
        <v>544</v>
      </c>
      <c r="G169" s="128" t="s">
        <v>37</v>
      </c>
      <c r="H169" s="128" t="s">
        <v>37</v>
      </c>
      <c r="I169" s="128" t="s">
        <v>1218</v>
      </c>
      <c r="J169" s="128" t="s">
        <v>30</v>
      </c>
      <c r="K169" s="128" t="s">
        <v>735</v>
      </c>
      <c r="L169" s="128">
        <v>73011</v>
      </c>
      <c r="M169" s="128"/>
      <c r="N169" s="128"/>
      <c r="O169" s="156"/>
      <c r="P169" s="157">
        <v>633844</v>
      </c>
      <c r="Q169" s="61">
        <v>5400</v>
      </c>
      <c r="R169" s="63">
        <f t="shared" si="26"/>
        <v>8.5194464253033862E-3</v>
      </c>
      <c r="S169" s="61">
        <v>54516</v>
      </c>
      <c r="T169" s="61">
        <v>0</v>
      </c>
      <c r="U169" s="63">
        <f t="shared" si="27"/>
        <v>0</v>
      </c>
      <c r="V169" s="61">
        <v>111821.96848938703</v>
      </c>
      <c r="W169" s="61">
        <v>1468.26</v>
      </c>
      <c r="X169" s="63">
        <f t="shared" si="28"/>
        <v>1.3130335835031842E-2</v>
      </c>
      <c r="Y169" s="61">
        <v>20773</v>
      </c>
      <c r="Z169" s="102">
        <v>0</v>
      </c>
      <c r="AA169" s="63">
        <f t="shared" si="29"/>
        <v>0</v>
      </c>
      <c r="AB169" s="61">
        <v>84</v>
      </c>
      <c r="AC169" s="61">
        <v>1</v>
      </c>
      <c r="AD169" s="63">
        <f t="shared" si="30"/>
        <v>1.1904761904761904E-2</v>
      </c>
      <c r="AE169" s="61">
        <v>13</v>
      </c>
      <c r="AF169" s="61">
        <v>0</v>
      </c>
      <c r="AG169" s="63">
        <f t="shared" si="31"/>
        <v>0</v>
      </c>
      <c r="AH169" s="61">
        <v>452.52292517576552</v>
      </c>
      <c r="AI169" s="61">
        <v>13</v>
      </c>
      <c r="AJ169" s="63">
        <f t="shared" si="32"/>
        <v>2.8727826319408324E-2</v>
      </c>
      <c r="AK169" s="61">
        <v>15.123827237838002</v>
      </c>
      <c r="AL169" s="61">
        <v>1</v>
      </c>
      <c r="AM169" s="63">
        <f t="shared" si="33"/>
        <v>6.6120829355820726E-2</v>
      </c>
      <c r="AN169" s="61">
        <v>12.261326630790734</v>
      </c>
      <c r="AO169" s="61">
        <v>2</v>
      </c>
      <c r="AP169" s="63">
        <f t="shared" si="34"/>
        <v>0.16311448672915907</v>
      </c>
      <c r="AQ169" s="61">
        <v>32.259811329790381</v>
      </c>
      <c r="AR169" s="61">
        <v>0</v>
      </c>
      <c r="AS169" s="63">
        <f t="shared" si="35"/>
        <v>0</v>
      </c>
      <c r="AT169" s="61">
        <v>23</v>
      </c>
      <c r="AU169" s="61">
        <v>1</v>
      </c>
      <c r="AV169" s="63">
        <f t="shared" si="36"/>
        <v>4.3478260869565216E-2</v>
      </c>
      <c r="AW169" s="61">
        <v>18.550556839218402</v>
      </c>
      <c r="AX169" s="61">
        <v>0</v>
      </c>
      <c r="AY169" s="63">
        <f t="shared" si="37"/>
        <v>0</v>
      </c>
      <c r="AZ169" s="61">
        <v>41</v>
      </c>
      <c r="BA169" s="61">
        <v>0</v>
      </c>
      <c r="BB169" s="63">
        <f t="shared" si="38"/>
        <v>0</v>
      </c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</row>
    <row r="170" spans="1:87" x14ac:dyDescent="0.25">
      <c r="A170" s="128">
        <v>10358</v>
      </c>
      <c r="B170" s="128">
        <v>10820</v>
      </c>
      <c r="C170" s="128">
        <v>1072831629</v>
      </c>
      <c r="D170" s="128" t="s">
        <v>740</v>
      </c>
      <c r="E170" s="128" t="s">
        <v>546</v>
      </c>
      <c r="F170" s="128" t="s">
        <v>546</v>
      </c>
      <c r="G170" s="128" t="s">
        <v>32</v>
      </c>
      <c r="H170" s="128" t="s">
        <v>33</v>
      </c>
      <c r="I170" s="128" t="s">
        <v>1218</v>
      </c>
      <c r="J170" s="128" t="s">
        <v>30</v>
      </c>
      <c r="K170" s="128" t="s">
        <v>735</v>
      </c>
      <c r="L170" s="128">
        <v>73011</v>
      </c>
      <c r="M170" s="128" t="s">
        <v>1143</v>
      </c>
      <c r="N170" s="128"/>
      <c r="O170" s="156">
        <v>0.5</v>
      </c>
      <c r="P170" s="157">
        <v>111124</v>
      </c>
      <c r="Q170" s="61">
        <v>106220.04000000002</v>
      </c>
      <c r="R170" s="63">
        <f t="shared" si="26"/>
        <v>0.95586947914041986</v>
      </c>
      <c r="S170" s="61">
        <v>7490</v>
      </c>
      <c r="T170" s="61">
        <v>5567.83</v>
      </c>
      <c r="U170" s="63">
        <f t="shared" si="27"/>
        <v>0.7433684913217623</v>
      </c>
      <c r="V170" s="61">
        <v>13315.387870189868</v>
      </c>
      <c r="W170" s="61">
        <v>21906.949999999997</v>
      </c>
      <c r="X170" s="63">
        <f t="shared" si="28"/>
        <v>1.6452355885963101</v>
      </c>
      <c r="Y170" s="61">
        <v>2308</v>
      </c>
      <c r="Z170" s="102">
        <v>0</v>
      </c>
      <c r="AA170" s="63">
        <f t="shared" si="29"/>
        <v>0</v>
      </c>
      <c r="AB170" s="61">
        <v>10</v>
      </c>
      <c r="AC170" s="61">
        <v>9</v>
      </c>
      <c r="AD170" s="63">
        <f t="shared" si="30"/>
        <v>0.9</v>
      </c>
      <c r="AE170" s="61">
        <v>2</v>
      </c>
      <c r="AF170" s="61">
        <v>1</v>
      </c>
      <c r="AG170" s="63">
        <f t="shared" si="31"/>
        <v>0.5</v>
      </c>
      <c r="AH170" s="61">
        <v>53.698734142998511</v>
      </c>
      <c r="AI170" s="61">
        <v>105</v>
      </c>
      <c r="AJ170" s="63">
        <f t="shared" si="32"/>
        <v>1.9553533556375349</v>
      </c>
      <c r="AK170" s="61">
        <v>1.5919818145092635</v>
      </c>
      <c r="AL170" s="61">
        <v>2</v>
      </c>
      <c r="AM170" s="63">
        <f t="shared" si="33"/>
        <v>1.2562957577605938</v>
      </c>
      <c r="AN170" s="61">
        <v>1.4425090153871452</v>
      </c>
      <c r="AO170" s="61">
        <v>0</v>
      </c>
      <c r="AP170" s="63">
        <f t="shared" si="34"/>
        <v>0</v>
      </c>
      <c r="AQ170" s="61">
        <v>3.5844234810878199</v>
      </c>
      <c r="AR170" s="61">
        <v>4</v>
      </c>
      <c r="AS170" s="63">
        <f t="shared" si="35"/>
        <v>1.1159395705069031</v>
      </c>
      <c r="AT170" s="61">
        <v>2</v>
      </c>
      <c r="AU170" s="61">
        <v>1</v>
      </c>
      <c r="AV170" s="63">
        <f t="shared" si="36"/>
        <v>0.5</v>
      </c>
      <c r="AW170" s="61">
        <v>3.2522388445758037</v>
      </c>
      <c r="AX170" s="61">
        <v>0</v>
      </c>
      <c r="AY170" s="63">
        <f t="shared" si="37"/>
        <v>0</v>
      </c>
      <c r="AZ170" s="61">
        <v>4</v>
      </c>
      <c r="BA170" s="61">
        <v>0</v>
      </c>
      <c r="BB170" s="63">
        <f t="shared" si="38"/>
        <v>0</v>
      </c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</row>
    <row r="171" spans="1:87" x14ac:dyDescent="0.25">
      <c r="A171" s="227">
        <v>32475</v>
      </c>
      <c r="B171" s="227">
        <v>10820</v>
      </c>
      <c r="C171" s="227">
        <v>1091887388</v>
      </c>
      <c r="D171" s="227" t="s">
        <v>746</v>
      </c>
      <c r="E171" s="227" t="s">
        <v>546</v>
      </c>
      <c r="F171" s="227" t="s">
        <v>546</v>
      </c>
      <c r="G171" s="227" t="s">
        <v>492</v>
      </c>
      <c r="H171" s="227" t="s">
        <v>492</v>
      </c>
      <c r="I171" s="227" t="s">
        <v>1218</v>
      </c>
      <c r="J171" s="227" t="s">
        <v>30</v>
      </c>
      <c r="K171" s="227" t="s">
        <v>735</v>
      </c>
      <c r="L171" s="227">
        <v>73011</v>
      </c>
      <c r="M171" s="227" t="s">
        <v>1144</v>
      </c>
      <c r="N171" s="227">
        <v>11</v>
      </c>
      <c r="O171" s="239">
        <v>0.3</v>
      </c>
      <c r="P171" s="240">
        <v>124948</v>
      </c>
      <c r="Q171" s="61">
        <v>26364.34</v>
      </c>
      <c r="R171" s="63">
        <f t="shared" si="26"/>
        <v>0.21100249703876814</v>
      </c>
      <c r="S171" s="61">
        <v>8930</v>
      </c>
      <c r="T171" s="61">
        <v>0</v>
      </c>
      <c r="U171" s="63">
        <f t="shared" si="27"/>
        <v>0</v>
      </c>
      <c r="V171" s="61">
        <v>18630.62623518247</v>
      </c>
      <c r="W171" s="61">
        <v>4084.7799999999997</v>
      </c>
      <c r="X171" s="63">
        <f t="shared" si="28"/>
        <v>0.21925081575015523</v>
      </c>
      <c r="Y171" s="61">
        <v>0</v>
      </c>
      <c r="Z171" s="102">
        <v>0</v>
      </c>
      <c r="AA171" s="63" t="e">
        <f t="shared" si="29"/>
        <v>#DIV/0!</v>
      </c>
      <c r="AB171" s="61">
        <v>14</v>
      </c>
      <c r="AC171" s="61">
        <v>3</v>
      </c>
      <c r="AD171" s="63">
        <f t="shared" si="30"/>
        <v>0.21428571428571427</v>
      </c>
      <c r="AE171" s="61">
        <v>2</v>
      </c>
      <c r="AF171" s="61">
        <v>0</v>
      </c>
      <c r="AG171" s="63">
        <f t="shared" si="31"/>
        <v>0</v>
      </c>
      <c r="AH171" s="61">
        <v>74.598312190664686</v>
      </c>
      <c r="AI171" s="61">
        <v>20</v>
      </c>
      <c r="AJ171" s="63">
        <f t="shared" si="32"/>
        <v>0.26810258050989555</v>
      </c>
      <c r="AK171" s="61">
        <v>2.3879727217638953</v>
      </c>
      <c r="AL171" s="61">
        <v>1</v>
      </c>
      <c r="AM171" s="63">
        <f t="shared" si="33"/>
        <v>0.41876525258686453</v>
      </c>
      <c r="AN171" s="61">
        <v>2.1637635230807177</v>
      </c>
      <c r="AO171" s="61">
        <v>1</v>
      </c>
      <c r="AP171" s="63">
        <f t="shared" si="34"/>
        <v>0.46215771239928405</v>
      </c>
      <c r="AQ171" s="61">
        <v>3.5844234810878199</v>
      </c>
      <c r="AR171" s="61">
        <v>1</v>
      </c>
      <c r="AS171" s="63">
        <f t="shared" si="35"/>
        <v>0.27898489262672577</v>
      </c>
      <c r="AT171" s="61">
        <v>4</v>
      </c>
      <c r="AU171" s="61">
        <v>0</v>
      </c>
      <c r="AV171" s="63">
        <f t="shared" si="36"/>
        <v>0</v>
      </c>
      <c r="AW171" s="61">
        <v>3.656822460963046</v>
      </c>
      <c r="AX171" s="61">
        <v>0</v>
      </c>
      <c r="AY171" s="63">
        <f t="shared" si="37"/>
        <v>0</v>
      </c>
      <c r="AZ171" s="61">
        <v>7</v>
      </c>
      <c r="BA171" s="61">
        <v>0</v>
      </c>
      <c r="BB171" s="63">
        <f t="shared" si="38"/>
        <v>0</v>
      </c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</row>
    <row r="172" spans="1:87" x14ac:dyDescent="0.25">
      <c r="A172" s="236">
        <v>20313</v>
      </c>
      <c r="B172" s="236">
        <v>10820</v>
      </c>
      <c r="C172" s="236">
        <v>1122522244</v>
      </c>
      <c r="D172" s="236" t="s">
        <v>737</v>
      </c>
      <c r="E172" s="236" t="s">
        <v>546</v>
      </c>
      <c r="F172" s="236" t="s">
        <v>546</v>
      </c>
      <c r="G172" s="236" t="s">
        <v>524</v>
      </c>
      <c r="H172" s="236" t="s">
        <v>524</v>
      </c>
      <c r="I172" s="236" t="s">
        <v>1218</v>
      </c>
      <c r="J172" s="236" t="s">
        <v>30</v>
      </c>
      <c r="K172" s="236" t="s">
        <v>735</v>
      </c>
      <c r="L172" s="236">
        <v>73011</v>
      </c>
      <c r="M172" s="236" t="s">
        <v>1207</v>
      </c>
      <c r="N172" s="236"/>
      <c r="O172" s="237">
        <v>0.3</v>
      </c>
      <c r="P172" s="238">
        <v>123000</v>
      </c>
      <c r="Q172" s="61">
        <v>171547.86</v>
      </c>
      <c r="R172" s="63">
        <f t="shared" si="26"/>
        <v>1.3946980487804876</v>
      </c>
      <c r="S172" s="61">
        <v>10113</v>
      </c>
      <c r="T172" s="61">
        <v>2745.2299999999996</v>
      </c>
      <c r="U172" s="63">
        <f t="shared" si="27"/>
        <v>0.27145555225946799</v>
      </c>
      <c r="V172" s="61">
        <v>18630.62623518247</v>
      </c>
      <c r="W172" s="61">
        <v>19584.330000000002</v>
      </c>
      <c r="X172" s="63">
        <f t="shared" si="28"/>
        <v>1.0511901077708563</v>
      </c>
      <c r="Y172" s="61">
        <v>0</v>
      </c>
      <c r="Z172" s="102">
        <v>0</v>
      </c>
      <c r="AA172" s="63" t="e">
        <f t="shared" si="29"/>
        <v>#DIV/0!</v>
      </c>
      <c r="AB172" s="61">
        <v>14</v>
      </c>
      <c r="AC172" s="61">
        <v>5</v>
      </c>
      <c r="AD172" s="63">
        <f t="shared" si="30"/>
        <v>0.35714285714285715</v>
      </c>
      <c r="AE172" s="61">
        <v>2</v>
      </c>
      <c r="AF172" s="61">
        <v>0</v>
      </c>
      <c r="AG172" s="63">
        <f t="shared" si="31"/>
        <v>0</v>
      </c>
      <c r="AH172" s="61">
        <v>74.598312190664686</v>
      </c>
      <c r="AI172" s="61">
        <v>71</v>
      </c>
      <c r="AJ172" s="63">
        <f t="shared" si="32"/>
        <v>0.95176416081012916</v>
      </c>
      <c r="AK172" s="61">
        <v>2.3879727217638953</v>
      </c>
      <c r="AL172" s="61">
        <v>4</v>
      </c>
      <c r="AM172" s="63">
        <f t="shared" si="33"/>
        <v>1.6750610103474581</v>
      </c>
      <c r="AN172" s="61">
        <v>2.1637635230807177</v>
      </c>
      <c r="AO172" s="61">
        <v>3</v>
      </c>
      <c r="AP172" s="63">
        <f t="shared" si="34"/>
        <v>1.3864731371978523</v>
      </c>
      <c r="AQ172" s="61">
        <v>12.545482183807369</v>
      </c>
      <c r="AR172" s="61">
        <v>1</v>
      </c>
      <c r="AS172" s="63">
        <f t="shared" si="35"/>
        <v>7.9709969321921648E-2</v>
      </c>
      <c r="AT172" s="61">
        <v>4</v>
      </c>
      <c r="AU172" s="61">
        <v>1</v>
      </c>
      <c r="AV172" s="63">
        <f t="shared" si="36"/>
        <v>0.25</v>
      </c>
      <c r="AW172" s="61">
        <v>3.5998108228899595</v>
      </c>
      <c r="AX172" s="61">
        <v>0</v>
      </c>
      <c r="AY172" s="63">
        <f t="shared" si="37"/>
        <v>0</v>
      </c>
      <c r="AZ172" s="61">
        <v>7</v>
      </c>
      <c r="BA172" s="61">
        <v>2</v>
      </c>
      <c r="BB172" s="63">
        <f t="shared" si="38"/>
        <v>0.2857142857142857</v>
      </c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</row>
    <row r="173" spans="1:87" x14ac:dyDescent="0.25">
      <c r="A173" s="128">
        <v>32203</v>
      </c>
      <c r="B173" s="128">
        <v>10820</v>
      </c>
      <c r="C173" s="128">
        <v>1094839089</v>
      </c>
      <c r="D173" s="128" t="s">
        <v>739</v>
      </c>
      <c r="E173" s="128" t="s">
        <v>546</v>
      </c>
      <c r="F173" s="128" t="s">
        <v>546</v>
      </c>
      <c r="G173" s="128" t="s">
        <v>479</v>
      </c>
      <c r="H173" s="128" t="s">
        <v>479</v>
      </c>
      <c r="I173" s="128" t="s">
        <v>1218</v>
      </c>
      <c r="J173" s="128" t="s">
        <v>30</v>
      </c>
      <c r="K173" s="128" t="s">
        <v>735</v>
      </c>
      <c r="L173" s="128">
        <v>73011</v>
      </c>
      <c r="M173" s="128" t="s">
        <v>1145</v>
      </c>
      <c r="N173" s="128"/>
      <c r="O173" s="156">
        <v>0.3</v>
      </c>
      <c r="P173" s="157">
        <v>123974</v>
      </c>
      <c r="Q173" s="61">
        <v>60383.489999999991</v>
      </c>
      <c r="R173" s="63">
        <f t="shared" si="26"/>
        <v>0.48706575572297411</v>
      </c>
      <c r="S173" s="61">
        <v>9983</v>
      </c>
      <c r="T173" s="61">
        <v>11171.309999999998</v>
      </c>
      <c r="U173" s="63">
        <f t="shared" si="27"/>
        <v>1.1190333567064006</v>
      </c>
      <c r="V173" s="61">
        <v>18630.62623518247</v>
      </c>
      <c r="W173" s="61">
        <v>4563.9100000000008</v>
      </c>
      <c r="X173" s="63">
        <f t="shared" si="28"/>
        <v>0.24496814773630188</v>
      </c>
      <c r="Y173" s="61">
        <v>16157</v>
      </c>
      <c r="Z173" s="102">
        <v>2470</v>
      </c>
      <c r="AA173" s="63">
        <f t="shared" si="29"/>
        <v>0.1528749148975676</v>
      </c>
      <c r="AB173" s="61">
        <v>14</v>
      </c>
      <c r="AC173" s="61">
        <v>14</v>
      </c>
      <c r="AD173" s="63">
        <f t="shared" si="30"/>
        <v>1</v>
      </c>
      <c r="AE173" s="61">
        <v>2</v>
      </c>
      <c r="AF173" s="61">
        <v>1</v>
      </c>
      <c r="AG173" s="63">
        <f t="shared" si="31"/>
        <v>0.5</v>
      </c>
      <c r="AH173" s="61">
        <v>74.598312190664686</v>
      </c>
      <c r="AI173" s="61">
        <v>18</v>
      </c>
      <c r="AJ173" s="63">
        <f t="shared" si="32"/>
        <v>0.24129232245890597</v>
      </c>
      <c r="AK173" s="61">
        <v>2.3879727217638953</v>
      </c>
      <c r="AL173" s="61">
        <v>1</v>
      </c>
      <c r="AM173" s="63">
        <f t="shared" si="33"/>
        <v>0.41876525258686453</v>
      </c>
      <c r="AN173" s="61">
        <v>2.1637635230807177</v>
      </c>
      <c r="AO173" s="61">
        <v>3</v>
      </c>
      <c r="AP173" s="63">
        <f t="shared" si="34"/>
        <v>1.3864731371978523</v>
      </c>
      <c r="AQ173" s="61">
        <v>3.5844234810878199</v>
      </c>
      <c r="AR173" s="61">
        <v>3</v>
      </c>
      <c r="AS173" s="63">
        <f t="shared" si="35"/>
        <v>0.8369546778801773</v>
      </c>
      <c r="AT173" s="61">
        <v>4</v>
      </c>
      <c r="AU173" s="61">
        <v>1</v>
      </c>
      <c r="AV173" s="63">
        <f t="shared" si="36"/>
        <v>0.25</v>
      </c>
      <c r="AW173" s="61">
        <v>3.6283166419265029</v>
      </c>
      <c r="AX173" s="61">
        <v>0</v>
      </c>
      <c r="AY173" s="63">
        <f t="shared" si="37"/>
        <v>0</v>
      </c>
      <c r="AZ173" s="61">
        <v>7</v>
      </c>
      <c r="BA173" s="61">
        <v>0</v>
      </c>
      <c r="BB173" s="63">
        <f t="shared" si="38"/>
        <v>0</v>
      </c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</row>
    <row r="174" spans="1:87" x14ac:dyDescent="0.25">
      <c r="A174" s="128">
        <v>23962</v>
      </c>
      <c r="B174" s="128">
        <v>10820</v>
      </c>
      <c r="C174" s="128">
        <v>1085093654</v>
      </c>
      <c r="D174" s="128" t="s">
        <v>747</v>
      </c>
      <c r="E174" s="128" t="s">
        <v>546</v>
      </c>
      <c r="F174" s="128" t="s">
        <v>546</v>
      </c>
      <c r="G174" s="128" t="s">
        <v>40</v>
      </c>
      <c r="H174" s="128" t="s">
        <v>40</v>
      </c>
      <c r="I174" s="128" t="s">
        <v>1218</v>
      </c>
      <c r="J174" s="128" t="s">
        <v>30</v>
      </c>
      <c r="K174" s="128" t="s">
        <v>735</v>
      </c>
      <c r="L174" s="128">
        <v>73011</v>
      </c>
      <c r="M174" s="128" t="s">
        <v>1223</v>
      </c>
      <c r="N174" s="128"/>
      <c r="O174" s="156"/>
      <c r="P174" s="157">
        <v>150798</v>
      </c>
      <c r="Q174" s="61">
        <v>135728.72</v>
      </c>
      <c r="R174" s="63">
        <f t="shared" si="26"/>
        <v>0.90006976219843771</v>
      </c>
      <c r="S174" s="61">
        <v>18000</v>
      </c>
      <c r="T174" s="61">
        <v>3499.13</v>
      </c>
      <c r="U174" s="63">
        <f t="shared" si="27"/>
        <v>0.19439611111111113</v>
      </c>
      <c r="V174" s="61">
        <v>42614.701913649747</v>
      </c>
      <c r="W174" s="61">
        <v>34216.47</v>
      </c>
      <c r="X174" s="63">
        <f t="shared" si="28"/>
        <v>0.80292641889958305</v>
      </c>
      <c r="Y174" s="61">
        <v>2308</v>
      </c>
      <c r="Z174" s="102">
        <v>0</v>
      </c>
      <c r="AA174" s="63">
        <f t="shared" si="29"/>
        <v>0</v>
      </c>
      <c r="AB174" s="61">
        <v>32</v>
      </c>
      <c r="AC174" s="61">
        <v>7</v>
      </c>
      <c r="AD174" s="63">
        <f t="shared" si="30"/>
        <v>0.21875</v>
      </c>
      <c r="AE174" s="61">
        <v>5</v>
      </c>
      <c r="AF174" s="61">
        <v>1</v>
      </c>
      <c r="AG174" s="63">
        <f t="shared" si="31"/>
        <v>0.2</v>
      </c>
      <c r="AH174" s="61">
        <v>175.02925446077296</v>
      </c>
      <c r="AI174" s="61">
        <v>63</v>
      </c>
      <c r="AJ174" s="63">
        <f t="shared" si="32"/>
        <v>0.35993982945359215</v>
      </c>
      <c r="AK174" s="61">
        <v>6.3679272580370538</v>
      </c>
      <c r="AL174" s="61">
        <v>0</v>
      </c>
      <c r="AM174" s="63">
        <f t="shared" si="33"/>
        <v>0</v>
      </c>
      <c r="AN174" s="61">
        <v>4.3275270461614355</v>
      </c>
      <c r="AO174" s="61">
        <v>2</v>
      </c>
      <c r="AP174" s="63">
        <f t="shared" si="34"/>
        <v>0.46215771239928405</v>
      </c>
      <c r="AQ174" s="61">
        <v>8.9610587027195496</v>
      </c>
      <c r="AR174" s="61">
        <v>4</v>
      </c>
      <c r="AS174" s="63">
        <f t="shared" si="35"/>
        <v>0.44637582820276123</v>
      </c>
      <c r="AT174" s="61">
        <v>9</v>
      </c>
      <c r="AU174" s="61">
        <v>4</v>
      </c>
      <c r="AV174" s="63">
        <f t="shared" si="36"/>
        <v>0.44444444444444442</v>
      </c>
      <c r="AW174" s="61">
        <v>4.4133680688630905</v>
      </c>
      <c r="AX174" s="61">
        <v>0</v>
      </c>
      <c r="AY174" s="63">
        <f t="shared" si="37"/>
        <v>0</v>
      </c>
      <c r="AZ174" s="61">
        <v>16</v>
      </c>
      <c r="BA174" s="61">
        <v>16</v>
      </c>
      <c r="BB174" s="63">
        <f t="shared" si="38"/>
        <v>1</v>
      </c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</row>
    <row r="175" spans="1:87" x14ac:dyDescent="0.25">
      <c r="A175" s="128">
        <v>10437</v>
      </c>
      <c r="B175" s="128">
        <v>21527</v>
      </c>
      <c r="C175" s="128">
        <v>1062485147</v>
      </c>
      <c r="D175" s="128" t="s">
        <v>736</v>
      </c>
      <c r="E175" s="128" t="s">
        <v>544</v>
      </c>
      <c r="F175" s="128" t="s">
        <v>544</v>
      </c>
      <c r="G175" s="128" t="s">
        <v>426</v>
      </c>
      <c r="H175" s="128" t="s">
        <v>426</v>
      </c>
      <c r="I175" s="128" t="s">
        <v>1218</v>
      </c>
      <c r="J175" s="128" t="s">
        <v>30</v>
      </c>
      <c r="K175" s="128" t="s">
        <v>735</v>
      </c>
      <c r="L175" s="128">
        <v>73011</v>
      </c>
      <c r="M175" s="128"/>
      <c r="N175" s="128"/>
      <c r="O175" s="156"/>
      <c r="P175" s="157">
        <v>708642</v>
      </c>
      <c r="Q175" s="61">
        <v>5825.22</v>
      </c>
      <c r="R175" s="63">
        <f t="shared" si="26"/>
        <v>8.2202579017331742E-3</v>
      </c>
      <c r="S175" s="61">
        <v>75290</v>
      </c>
      <c r="T175" s="61">
        <v>0</v>
      </c>
      <c r="U175" s="63">
        <f t="shared" si="27"/>
        <v>0</v>
      </c>
      <c r="V175" s="61">
        <v>154466.88148132898</v>
      </c>
      <c r="W175" s="61">
        <v>0</v>
      </c>
      <c r="X175" s="63">
        <f t="shared" si="28"/>
        <v>0</v>
      </c>
      <c r="Y175" s="61">
        <v>2308</v>
      </c>
      <c r="Z175" s="102">
        <v>0</v>
      </c>
      <c r="AA175" s="63">
        <f t="shared" si="29"/>
        <v>0</v>
      </c>
      <c r="AB175" s="61">
        <v>116</v>
      </c>
      <c r="AC175" s="61">
        <v>1</v>
      </c>
      <c r="AD175" s="63">
        <f t="shared" si="30"/>
        <v>8.6206896551724137E-3</v>
      </c>
      <c r="AE175" s="61">
        <v>16</v>
      </c>
      <c r="AF175" s="61">
        <v>1</v>
      </c>
      <c r="AG175" s="63">
        <f t="shared" si="31"/>
        <v>6.25E-2</v>
      </c>
      <c r="AH175" s="61">
        <v>630.45175768420472</v>
      </c>
      <c r="AI175" s="61">
        <v>4</v>
      </c>
      <c r="AJ175" s="63">
        <f t="shared" si="32"/>
        <v>6.3446567500944498E-3</v>
      </c>
      <c r="AK175" s="61">
        <v>23.083736310384321</v>
      </c>
      <c r="AL175" s="61">
        <v>0</v>
      </c>
      <c r="AM175" s="63">
        <f t="shared" si="33"/>
        <v>0</v>
      </c>
      <c r="AN175" s="61">
        <v>15.867599169258597</v>
      </c>
      <c r="AO175" s="61">
        <v>1</v>
      </c>
      <c r="AP175" s="63">
        <f t="shared" si="34"/>
        <v>6.3021506236266012E-2</v>
      </c>
      <c r="AQ175" s="61">
        <v>34.052023070334286</v>
      </c>
      <c r="AR175" s="61">
        <v>0</v>
      </c>
      <c r="AS175" s="63">
        <f t="shared" si="35"/>
        <v>0</v>
      </c>
      <c r="AT175" s="61">
        <v>83</v>
      </c>
      <c r="AU175" s="61">
        <v>0</v>
      </c>
      <c r="AV175" s="63">
        <f t="shared" si="36"/>
        <v>0</v>
      </c>
      <c r="AW175" s="61">
        <v>20.739651554100703</v>
      </c>
      <c r="AX175" s="61">
        <v>0</v>
      </c>
      <c r="AY175" s="63">
        <f t="shared" si="37"/>
        <v>0</v>
      </c>
      <c r="AZ175" s="61">
        <v>56</v>
      </c>
      <c r="BA175" s="61">
        <v>0</v>
      </c>
      <c r="BB175" s="63">
        <f t="shared" si="38"/>
        <v>0</v>
      </c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</row>
    <row r="176" spans="1:87" x14ac:dyDescent="0.25">
      <c r="A176" s="227">
        <v>33449</v>
      </c>
      <c r="B176" s="227">
        <v>10437</v>
      </c>
      <c r="C176" s="227">
        <v>1078297759</v>
      </c>
      <c r="D176" s="227" t="s">
        <v>743</v>
      </c>
      <c r="E176" s="227" t="s">
        <v>546</v>
      </c>
      <c r="F176" s="227" t="s">
        <v>546</v>
      </c>
      <c r="G176" s="227" t="s">
        <v>744</v>
      </c>
      <c r="H176" s="227" t="s">
        <v>744</v>
      </c>
      <c r="I176" s="227" t="s">
        <v>1218</v>
      </c>
      <c r="J176" s="227" t="s">
        <v>30</v>
      </c>
      <c r="K176" s="227" t="s">
        <v>735</v>
      </c>
      <c r="L176" s="227">
        <v>73011</v>
      </c>
      <c r="M176" s="227" t="s">
        <v>1143</v>
      </c>
      <c r="N176" s="227"/>
      <c r="O176" s="239">
        <v>0.5</v>
      </c>
      <c r="P176" s="240">
        <v>110922</v>
      </c>
      <c r="Q176" s="61">
        <v>79132.180000000008</v>
      </c>
      <c r="R176" s="63">
        <f t="shared" si="26"/>
        <v>0.713403833324318</v>
      </c>
      <c r="S176" s="61">
        <v>7990</v>
      </c>
      <c r="T176" s="61">
        <v>2934.49</v>
      </c>
      <c r="U176" s="63">
        <f t="shared" si="27"/>
        <v>0.36727033792240299</v>
      </c>
      <c r="V176" s="61">
        <v>13315.387870189868</v>
      </c>
      <c r="W176" s="61">
        <v>13671.980000000001</v>
      </c>
      <c r="X176" s="63">
        <f t="shared" si="28"/>
        <v>1.02678045380927</v>
      </c>
      <c r="Y176" s="61">
        <v>0</v>
      </c>
      <c r="Z176" s="102">
        <v>0</v>
      </c>
      <c r="AA176" s="63" t="e">
        <f t="shared" si="29"/>
        <v>#DIV/0!</v>
      </c>
      <c r="AB176" s="61">
        <v>10</v>
      </c>
      <c r="AC176" s="61">
        <v>6</v>
      </c>
      <c r="AD176" s="63">
        <f t="shared" si="30"/>
        <v>0.6</v>
      </c>
      <c r="AE176" s="61">
        <v>2</v>
      </c>
      <c r="AF176" s="61">
        <v>0</v>
      </c>
      <c r="AG176" s="63">
        <f t="shared" si="31"/>
        <v>0</v>
      </c>
      <c r="AH176" s="61">
        <v>53.698734142998511</v>
      </c>
      <c r="AI176" s="61">
        <v>64</v>
      </c>
      <c r="AJ176" s="63">
        <f t="shared" si="32"/>
        <v>1.1918344262933545</v>
      </c>
      <c r="AK176" s="61">
        <v>1.5919818145092635</v>
      </c>
      <c r="AL176" s="61">
        <v>2</v>
      </c>
      <c r="AM176" s="63">
        <f t="shared" si="33"/>
        <v>1.2562957577605938</v>
      </c>
      <c r="AN176" s="61">
        <v>1.4425090153871452</v>
      </c>
      <c r="AO176" s="61">
        <v>2</v>
      </c>
      <c r="AP176" s="63">
        <f t="shared" si="34"/>
        <v>1.3864731371978523</v>
      </c>
      <c r="AQ176" s="61">
        <v>3.5844234810878199</v>
      </c>
      <c r="AR176" s="61">
        <v>1</v>
      </c>
      <c r="AS176" s="63">
        <f t="shared" si="35"/>
        <v>0.27898489262672577</v>
      </c>
      <c r="AT176" s="61">
        <v>2</v>
      </c>
      <c r="AU176" s="61">
        <v>0</v>
      </c>
      <c r="AV176" s="63">
        <f t="shared" si="36"/>
        <v>0</v>
      </c>
      <c r="AW176" s="61">
        <v>3.2463269601349598</v>
      </c>
      <c r="AX176" s="61">
        <v>0</v>
      </c>
      <c r="AY176" s="63">
        <f t="shared" si="37"/>
        <v>0</v>
      </c>
      <c r="AZ176" s="61">
        <v>4</v>
      </c>
      <c r="BA176" s="61">
        <v>3</v>
      </c>
      <c r="BB176" s="63">
        <f t="shared" si="38"/>
        <v>0.75</v>
      </c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</row>
    <row r="177" spans="1:87" x14ac:dyDescent="0.25">
      <c r="A177" s="236">
        <v>32197</v>
      </c>
      <c r="B177" s="236">
        <v>10437</v>
      </c>
      <c r="C177" s="236">
        <v>1067502060</v>
      </c>
      <c r="D177" s="236" t="s">
        <v>738</v>
      </c>
      <c r="E177" s="236" t="s">
        <v>546</v>
      </c>
      <c r="F177" s="236" t="s">
        <v>546</v>
      </c>
      <c r="G177" s="236" t="s">
        <v>481</v>
      </c>
      <c r="H177" s="236" t="s">
        <v>481</v>
      </c>
      <c r="I177" s="236" t="s">
        <v>1218</v>
      </c>
      <c r="J177" s="236" t="s">
        <v>30</v>
      </c>
      <c r="K177" s="236" t="s">
        <v>735</v>
      </c>
      <c r="L177" s="236">
        <v>73011</v>
      </c>
      <c r="M177" s="236" t="s">
        <v>1208</v>
      </c>
      <c r="N177" s="236"/>
      <c r="O177" s="237">
        <v>0.5</v>
      </c>
      <c r="P177" s="238">
        <v>111326</v>
      </c>
      <c r="Q177" s="61">
        <v>84147.86</v>
      </c>
      <c r="R177" s="63">
        <f t="shared" si="26"/>
        <v>0.75586888956757636</v>
      </c>
      <c r="S177" s="61">
        <v>8918</v>
      </c>
      <c r="T177" s="61">
        <v>3564.35</v>
      </c>
      <c r="U177" s="63">
        <f t="shared" si="27"/>
        <v>0.39968042161919715</v>
      </c>
      <c r="V177" s="61">
        <v>13315.387870189868</v>
      </c>
      <c r="W177" s="61">
        <v>10569.13</v>
      </c>
      <c r="X177" s="63">
        <f t="shared" si="28"/>
        <v>0.79375306998468165</v>
      </c>
      <c r="Y177" s="61">
        <v>0</v>
      </c>
      <c r="Z177" s="102">
        <v>0</v>
      </c>
      <c r="AA177" s="63" t="e">
        <f t="shared" si="29"/>
        <v>#DIV/0!</v>
      </c>
      <c r="AB177" s="61">
        <v>10</v>
      </c>
      <c r="AC177" s="61">
        <v>5</v>
      </c>
      <c r="AD177" s="63">
        <f t="shared" si="30"/>
        <v>0.5</v>
      </c>
      <c r="AE177" s="61">
        <v>2</v>
      </c>
      <c r="AF177" s="61">
        <v>0</v>
      </c>
      <c r="AG177" s="63">
        <f t="shared" si="31"/>
        <v>0</v>
      </c>
      <c r="AH177" s="61">
        <v>53.698734142998511</v>
      </c>
      <c r="AI177" s="61">
        <v>31</v>
      </c>
      <c r="AJ177" s="63">
        <f t="shared" si="32"/>
        <v>0.57729480023584356</v>
      </c>
      <c r="AK177" s="61">
        <v>1.5919818145092635</v>
      </c>
      <c r="AL177" s="61">
        <v>0</v>
      </c>
      <c r="AM177" s="63">
        <f t="shared" si="33"/>
        <v>0</v>
      </c>
      <c r="AN177" s="61">
        <v>1.4425090153871452</v>
      </c>
      <c r="AO177" s="61">
        <v>0</v>
      </c>
      <c r="AP177" s="63">
        <f t="shared" si="34"/>
        <v>0</v>
      </c>
      <c r="AQ177" s="61">
        <v>3.5844234810878199</v>
      </c>
      <c r="AR177" s="61">
        <v>1</v>
      </c>
      <c r="AS177" s="63">
        <f t="shared" si="35"/>
        <v>0.27898489262672577</v>
      </c>
      <c r="AT177" s="61">
        <v>54</v>
      </c>
      <c r="AU177" s="61">
        <v>1</v>
      </c>
      <c r="AV177" s="63">
        <f t="shared" si="36"/>
        <v>1.8518518518518517E-2</v>
      </c>
      <c r="AW177" s="61">
        <v>3.2581507290166476</v>
      </c>
      <c r="AX177" s="61">
        <v>0</v>
      </c>
      <c r="AY177" s="63">
        <f t="shared" si="37"/>
        <v>0</v>
      </c>
      <c r="AZ177" s="61">
        <v>4</v>
      </c>
      <c r="BA177" s="61">
        <v>1</v>
      </c>
      <c r="BB177" s="63">
        <f t="shared" si="38"/>
        <v>0.25</v>
      </c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</row>
    <row r="178" spans="1:87" x14ac:dyDescent="0.25">
      <c r="A178" s="128">
        <v>20536</v>
      </c>
      <c r="B178" s="128">
        <v>10820</v>
      </c>
      <c r="C178" s="128">
        <v>1088445323</v>
      </c>
      <c r="D178" s="128" t="s">
        <v>777</v>
      </c>
      <c r="E178" s="128" t="s">
        <v>546</v>
      </c>
      <c r="F178" s="128" t="s">
        <v>546</v>
      </c>
      <c r="G178" s="128" t="s">
        <v>38</v>
      </c>
      <c r="H178" s="128" t="s">
        <v>38</v>
      </c>
      <c r="I178" s="128" t="s">
        <v>1218</v>
      </c>
      <c r="J178" s="128" t="s">
        <v>30</v>
      </c>
      <c r="K178" s="128" t="s">
        <v>735</v>
      </c>
      <c r="L178" s="128">
        <v>73011</v>
      </c>
      <c r="M178" s="128" t="s">
        <v>1215</v>
      </c>
      <c r="N178" s="128"/>
      <c r="O178" s="156"/>
      <c r="P178" s="157">
        <v>155798</v>
      </c>
      <c r="Q178" s="61">
        <v>193026.95</v>
      </c>
      <c r="R178" s="63">
        <f t="shared" si="26"/>
        <v>1.2389565334599932</v>
      </c>
      <c r="S178" s="61">
        <v>20028</v>
      </c>
      <c r="T178" s="61">
        <v>11212.720000000001</v>
      </c>
      <c r="U178" s="63">
        <f t="shared" si="27"/>
        <v>0.55985220691032556</v>
      </c>
      <c r="V178" s="61">
        <v>42612.701913649747</v>
      </c>
      <c r="W178" s="61">
        <v>20220.719999999998</v>
      </c>
      <c r="X178" s="63">
        <f t="shared" si="28"/>
        <v>0.47452330154927058</v>
      </c>
      <c r="Y178" s="61"/>
      <c r="Z178" s="102">
        <v>0</v>
      </c>
      <c r="AA178" s="63" t="e">
        <f t="shared" si="29"/>
        <v>#DIV/0!</v>
      </c>
      <c r="AB178" s="61">
        <v>32</v>
      </c>
      <c r="AC178" s="61">
        <v>9</v>
      </c>
      <c r="AD178" s="63">
        <f t="shared" si="30"/>
        <v>0.28125</v>
      </c>
      <c r="AE178" s="61">
        <v>4</v>
      </c>
      <c r="AF178" s="61">
        <v>1</v>
      </c>
      <c r="AG178" s="63">
        <f t="shared" si="31"/>
        <v>0.25</v>
      </c>
      <c r="AH178" s="61">
        <v>174.02925446077296</v>
      </c>
      <c r="AI178" s="61">
        <v>120</v>
      </c>
      <c r="AJ178" s="63">
        <f t="shared" si="32"/>
        <v>0.68953924081223128</v>
      </c>
      <c r="AK178" s="61">
        <v>7.1639181652916859</v>
      </c>
      <c r="AL178" s="61">
        <v>3</v>
      </c>
      <c r="AM178" s="63">
        <f t="shared" si="33"/>
        <v>0.41876525258686453</v>
      </c>
      <c r="AN178" s="61">
        <v>4.3275270461614355</v>
      </c>
      <c r="AO178" s="61">
        <v>0</v>
      </c>
      <c r="AP178" s="63">
        <f t="shared" si="34"/>
        <v>0</v>
      </c>
      <c r="AQ178" s="61">
        <v>8.9610587027195496</v>
      </c>
      <c r="AR178" s="61">
        <v>0</v>
      </c>
      <c r="AS178" s="63">
        <f t="shared" si="35"/>
        <v>0</v>
      </c>
      <c r="AT178" s="61">
        <v>9</v>
      </c>
      <c r="AU178" s="61">
        <v>2</v>
      </c>
      <c r="AV178" s="63">
        <f t="shared" si="36"/>
        <v>0.22222222222222221</v>
      </c>
      <c r="AW178" s="61">
        <v>4.5597018421513003</v>
      </c>
      <c r="AX178" s="61">
        <v>0</v>
      </c>
      <c r="AY178" s="63">
        <f t="shared" si="37"/>
        <v>0</v>
      </c>
      <c r="AZ178" s="61">
        <v>16</v>
      </c>
      <c r="BA178" s="61">
        <v>1</v>
      </c>
      <c r="BB178" s="63">
        <f t="shared" si="38"/>
        <v>6.25E-2</v>
      </c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</row>
    <row r="179" spans="1:87" x14ac:dyDescent="0.25">
      <c r="A179" s="128">
        <v>30188</v>
      </c>
      <c r="B179" s="128">
        <v>10437</v>
      </c>
      <c r="C179" s="128">
        <v>1087908651</v>
      </c>
      <c r="D179" s="128" t="s">
        <v>741</v>
      </c>
      <c r="E179" s="128" t="s">
        <v>546</v>
      </c>
      <c r="F179" s="128" t="s">
        <v>546</v>
      </c>
      <c r="G179" s="128" t="s">
        <v>532</v>
      </c>
      <c r="H179" s="128" t="s">
        <v>532</v>
      </c>
      <c r="I179" s="128" t="s">
        <v>1218</v>
      </c>
      <c r="J179" s="128" t="s">
        <v>30</v>
      </c>
      <c r="K179" s="128" t="s">
        <v>735</v>
      </c>
      <c r="L179" s="128">
        <v>73011</v>
      </c>
      <c r="M179" s="128" t="s">
        <v>1215</v>
      </c>
      <c r="N179" s="128"/>
      <c r="O179" s="156"/>
      <c r="P179" s="157">
        <v>160798</v>
      </c>
      <c r="Q179" s="61">
        <v>123013.95</v>
      </c>
      <c r="R179" s="63">
        <f t="shared" si="26"/>
        <v>0.7650216420602246</v>
      </c>
      <c r="S179" s="61">
        <v>17770</v>
      </c>
      <c r="T179" s="61">
        <v>5664.1399999999994</v>
      </c>
      <c r="U179" s="63">
        <f t="shared" si="27"/>
        <v>0.31874732695554303</v>
      </c>
      <c r="V179" s="61">
        <v>42611.701913649747</v>
      </c>
      <c r="W179" s="61">
        <v>13634.55</v>
      </c>
      <c r="X179" s="63">
        <f t="shared" si="28"/>
        <v>0.31997196515712184</v>
      </c>
      <c r="Y179" s="61">
        <v>0</v>
      </c>
      <c r="Z179" s="102">
        <v>0</v>
      </c>
      <c r="AA179" s="63" t="e">
        <f t="shared" si="29"/>
        <v>#DIV/0!</v>
      </c>
      <c r="AB179" s="61">
        <v>32</v>
      </c>
      <c r="AC179" s="61">
        <v>13</v>
      </c>
      <c r="AD179" s="63">
        <f t="shared" si="30"/>
        <v>0.40625</v>
      </c>
      <c r="AE179" s="61">
        <v>4</v>
      </c>
      <c r="AF179" s="61">
        <v>0</v>
      </c>
      <c r="AG179" s="63">
        <f t="shared" si="31"/>
        <v>0</v>
      </c>
      <c r="AH179" s="61">
        <v>174.99578047666171</v>
      </c>
      <c r="AI179" s="61">
        <v>92</v>
      </c>
      <c r="AJ179" s="63">
        <f t="shared" si="32"/>
        <v>0.52572696181248535</v>
      </c>
      <c r="AK179" s="61">
        <v>6.3679272580370538</v>
      </c>
      <c r="AL179" s="61">
        <v>1</v>
      </c>
      <c r="AM179" s="63">
        <f t="shared" si="33"/>
        <v>0.15703696972007422</v>
      </c>
      <c r="AN179" s="61">
        <v>4.3275270461614355</v>
      </c>
      <c r="AO179" s="61">
        <v>4</v>
      </c>
      <c r="AP179" s="63">
        <f t="shared" si="34"/>
        <v>0.9243154247985681</v>
      </c>
      <c r="AQ179" s="61">
        <v>8.9610587027195496</v>
      </c>
      <c r="AR179" s="61">
        <v>1</v>
      </c>
      <c r="AS179" s="63">
        <f t="shared" si="35"/>
        <v>0.11159395705069031</v>
      </c>
      <c r="AT179" s="61">
        <v>9</v>
      </c>
      <c r="AU179" s="61">
        <v>5</v>
      </c>
      <c r="AV179" s="63">
        <f t="shared" si="36"/>
        <v>0.55555555555555558</v>
      </c>
      <c r="AW179" s="61">
        <v>4.70603561543951</v>
      </c>
      <c r="AX179" s="61">
        <v>0</v>
      </c>
      <c r="AY179" s="63">
        <f t="shared" si="37"/>
        <v>0</v>
      </c>
      <c r="AZ179" s="61">
        <v>16</v>
      </c>
      <c r="BA179" s="61">
        <v>1</v>
      </c>
      <c r="BB179" s="63">
        <f t="shared" si="38"/>
        <v>6.25E-2</v>
      </c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</row>
    <row r="180" spans="1:87" x14ac:dyDescent="0.25">
      <c r="A180" s="128">
        <v>5803</v>
      </c>
      <c r="B180" s="128">
        <v>10437</v>
      </c>
      <c r="C180" s="128">
        <v>1087101398</v>
      </c>
      <c r="D180" s="128" t="s">
        <v>748</v>
      </c>
      <c r="E180" s="128" t="s">
        <v>546</v>
      </c>
      <c r="F180" s="128" t="s">
        <v>546</v>
      </c>
      <c r="G180" s="128" t="s">
        <v>483</v>
      </c>
      <c r="H180" s="128" t="s">
        <v>484</v>
      </c>
      <c r="I180" s="128" t="s">
        <v>1218</v>
      </c>
      <c r="J180" s="128" t="s">
        <v>30</v>
      </c>
      <c r="K180" s="128" t="s">
        <v>735</v>
      </c>
      <c r="L180" s="128">
        <v>73011</v>
      </c>
      <c r="M180" s="128" t="s">
        <v>1223</v>
      </c>
      <c r="N180" s="128"/>
      <c r="O180" s="156">
        <v>0.1</v>
      </c>
      <c r="P180" s="157">
        <v>169798</v>
      </c>
      <c r="Q180" s="61">
        <v>61469.579999999987</v>
      </c>
      <c r="R180" s="63">
        <f t="shared" si="26"/>
        <v>0.36201592480476796</v>
      </c>
      <c r="S180" s="61">
        <v>20584</v>
      </c>
      <c r="T180" s="61">
        <v>0</v>
      </c>
      <c r="U180" s="63">
        <f t="shared" si="27"/>
        <v>0</v>
      </c>
      <c r="V180" s="61">
        <v>42611.701913649747</v>
      </c>
      <c r="W180" s="61">
        <v>5276.09</v>
      </c>
      <c r="X180" s="63">
        <f t="shared" si="28"/>
        <v>0.12381786605688043</v>
      </c>
      <c r="Y180" s="61">
        <v>2308</v>
      </c>
      <c r="Z180" s="102">
        <v>0</v>
      </c>
      <c r="AA180" s="63">
        <f t="shared" si="29"/>
        <v>0</v>
      </c>
      <c r="AB180" s="61">
        <v>32</v>
      </c>
      <c r="AC180" s="61">
        <v>4</v>
      </c>
      <c r="AD180" s="63">
        <f t="shared" si="30"/>
        <v>0.125</v>
      </c>
      <c r="AE180" s="61">
        <v>4</v>
      </c>
      <c r="AF180" s="61">
        <v>1</v>
      </c>
      <c r="AG180" s="63">
        <f t="shared" si="31"/>
        <v>0.25</v>
      </c>
      <c r="AH180" s="61">
        <v>174.02925446077296</v>
      </c>
      <c r="AI180" s="61">
        <v>50</v>
      </c>
      <c r="AJ180" s="63">
        <f t="shared" si="32"/>
        <v>0.28730801700509634</v>
      </c>
      <c r="AK180" s="61">
        <v>6.3679272580370538</v>
      </c>
      <c r="AL180" s="61">
        <v>4</v>
      </c>
      <c r="AM180" s="63">
        <f t="shared" si="33"/>
        <v>0.62814787888029688</v>
      </c>
      <c r="AN180" s="61">
        <v>4.3275270461614355</v>
      </c>
      <c r="AO180" s="61">
        <v>5</v>
      </c>
      <c r="AP180" s="63">
        <f t="shared" si="34"/>
        <v>1.1553942809982101</v>
      </c>
      <c r="AQ180" s="61">
        <v>8.9610587027195496</v>
      </c>
      <c r="AR180" s="61">
        <v>1</v>
      </c>
      <c r="AS180" s="63">
        <f t="shared" si="35"/>
        <v>0.11159395705069031</v>
      </c>
      <c r="AT180" s="61">
        <v>9</v>
      </c>
      <c r="AU180" s="61">
        <v>1</v>
      </c>
      <c r="AV180" s="63">
        <f t="shared" si="36"/>
        <v>0.1111111111111111</v>
      </c>
      <c r="AW180" s="61">
        <v>4.9694364073582875</v>
      </c>
      <c r="AX180" s="61">
        <v>0</v>
      </c>
      <c r="AY180" s="63">
        <f t="shared" si="37"/>
        <v>0</v>
      </c>
      <c r="AZ180" s="61">
        <v>16</v>
      </c>
      <c r="BA180" s="61">
        <v>0</v>
      </c>
      <c r="BB180" s="63">
        <f t="shared" si="38"/>
        <v>0</v>
      </c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</row>
    <row r="181" spans="1:87" x14ac:dyDescent="0.25">
      <c r="A181" s="128">
        <v>22075</v>
      </c>
      <c r="B181" s="128">
        <v>17055</v>
      </c>
      <c r="C181" s="128">
        <v>1036090130</v>
      </c>
      <c r="D181" s="128" t="s">
        <v>749</v>
      </c>
      <c r="E181" s="128" t="s">
        <v>541</v>
      </c>
      <c r="F181" s="128" t="s">
        <v>541</v>
      </c>
      <c r="G181" s="128" t="s">
        <v>41</v>
      </c>
      <c r="H181" s="128" t="s">
        <v>41</v>
      </c>
      <c r="I181" s="128" t="s">
        <v>1218</v>
      </c>
      <c r="J181" s="128" t="s">
        <v>30</v>
      </c>
      <c r="K181" s="128" t="s">
        <v>42</v>
      </c>
      <c r="L181" s="128">
        <v>73013</v>
      </c>
      <c r="M181" s="128"/>
      <c r="N181" s="128"/>
      <c r="O181" s="156"/>
      <c r="P181" s="157">
        <v>700427</v>
      </c>
      <c r="Q181" s="61">
        <v>0</v>
      </c>
      <c r="R181" s="63">
        <f t="shared" si="26"/>
        <v>0</v>
      </c>
      <c r="S181" s="61">
        <v>53103</v>
      </c>
      <c r="T181" s="61">
        <v>0</v>
      </c>
      <c r="U181" s="63">
        <f t="shared" si="27"/>
        <v>0</v>
      </c>
      <c r="V181" s="61">
        <v>107699.37034686159</v>
      </c>
      <c r="W181" s="61">
        <v>0</v>
      </c>
      <c r="X181" s="63">
        <f t="shared" si="28"/>
        <v>0</v>
      </c>
      <c r="Y181" s="61">
        <v>6935</v>
      </c>
      <c r="Z181" s="102">
        <v>0</v>
      </c>
      <c r="AA181" s="63">
        <f t="shared" si="29"/>
        <v>0</v>
      </c>
      <c r="AB181" s="61">
        <v>90</v>
      </c>
      <c r="AC181" s="61">
        <v>0</v>
      </c>
      <c r="AD181" s="63">
        <f t="shared" si="30"/>
        <v>0</v>
      </c>
      <c r="AE181" s="61">
        <v>16</v>
      </c>
      <c r="AF181" s="61">
        <v>0</v>
      </c>
      <c r="AG181" s="63">
        <f t="shared" si="31"/>
        <v>0</v>
      </c>
      <c r="AH181" s="61">
        <v>443.52292517576552</v>
      </c>
      <c r="AI181" s="61">
        <v>0</v>
      </c>
      <c r="AJ181" s="63">
        <f t="shared" si="32"/>
        <v>0</v>
      </c>
      <c r="AK181" s="61">
        <v>15.919818145092634</v>
      </c>
      <c r="AL181" s="61">
        <v>0</v>
      </c>
      <c r="AM181" s="63">
        <f t="shared" si="33"/>
        <v>0</v>
      </c>
      <c r="AN181" s="61">
        <v>20.195126215420032</v>
      </c>
      <c r="AO181" s="61">
        <v>0</v>
      </c>
      <c r="AP181" s="63">
        <f t="shared" si="34"/>
        <v>0</v>
      </c>
      <c r="AQ181" s="61">
        <v>49.285822864957524</v>
      </c>
      <c r="AR181" s="61">
        <v>0</v>
      </c>
      <c r="AS181" s="63">
        <f t="shared" si="35"/>
        <v>0</v>
      </c>
      <c r="AT181" s="61">
        <v>0</v>
      </c>
      <c r="AU181" s="61">
        <v>0</v>
      </c>
      <c r="AV181" s="63" t="e">
        <f t="shared" si="36"/>
        <v>#DIV/0!</v>
      </c>
      <c r="AW181" s="61">
        <v>20.499225164588175</v>
      </c>
      <c r="AX181" s="61">
        <v>0</v>
      </c>
      <c r="AY181" s="63">
        <f t="shared" si="37"/>
        <v>0</v>
      </c>
      <c r="AZ181" s="61">
        <v>27</v>
      </c>
      <c r="BA181" s="61">
        <v>0</v>
      </c>
      <c r="BB181" s="63">
        <f t="shared" si="38"/>
        <v>0</v>
      </c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</row>
    <row r="182" spans="1:87" x14ac:dyDescent="0.25">
      <c r="A182" s="128">
        <v>21232</v>
      </c>
      <c r="B182" s="128">
        <v>22075</v>
      </c>
      <c r="C182" s="128">
        <v>1052581749</v>
      </c>
      <c r="D182" s="128" t="s">
        <v>750</v>
      </c>
      <c r="E182" s="128" t="s">
        <v>544</v>
      </c>
      <c r="F182" s="128" t="s">
        <v>544</v>
      </c>
      <c r="G182" s="128" t="s">
        <v>43</v>
      </c>
      <c r="H182" s="128" t="s">
        <v>43</v>
      </c>
      <c r="I182" s="128" t="s">
        <v>1218</v>
      </c>
      <c r="J182" s="128" t="s">
        <v>30</v>
      </c>
      <c r="K182" s="128" t="s">
        <v>42</v>
      </c>
      <c r="L182" s="128">
        <v>73013</v>
      </c>
      <c r="M182" s="128"/>
      <c r="N182" s="128"/>
      <c r="O182" s="156"/>
      <c r="P182" s="157">
        <v>700427</v>
      </c>
      <c r="Q182" s="61">
        <v>0</v>
      </c>
      <c r="R182" s="63">
        <f t="shared" si="26"/>
        <v>0</v>
      </c>
      <c r="S182" s="61">
        <v>53103</v>
      </c>
      <c r="T182" s="61">
        <v>0</v>
      </c>
      <c r="U182" s="63">
        <f t="shared" si="27"/>
        <v>0</v>
      </c>
      <c r="V182" s="61">
        <v>107699.37034686159</v>
      </c>
      <c r="W182" s="61">
        <v>0</v>
      </c>
      <c r="X182" s="63">
        <f t="shared" si="28"/>
        <v>0</v>
      </c>
      <c r="Y182" s="61">
        <v>6935</v>
      </c>
      <c r="Z182" s="102">
        <v>0</v>
      </c>
      <c r="AA182" s="63">
        <f t="shared" si="29"/>
        <v>0</v>
      </c>
      <c r="AB182" s="61">
        <v>90</v>
      </c>
      <c r="AC182" s="61">
        <v>0</v>
      </c>
      <c r="AD182" s="63">
        <f t="shared" si="30"/>
        <v>0</v>
      </c>
      <c r="AE182" s="61">
        <v>16</v>
      </c>
      <c r="AF182" s="61">
        <v>0</v>
      </c>
      <c r="AG182" s="63">
        <f t="shared" si="31"/>
        <v>0</v>
      </c>
      <c r="AH182" s="61">
        <v>443.52292517576552</v>
      </c>
      <c r="AI182" s="61">
        <v>0</v>
      </c>
      <c r="AJ182" s="63">
        <f t="shared" si="32"/>
        <v>0</v>
      </c>
      <c r="AK182" s="61">
        <v>15.919818145092634</v>
      </c>
      <c r="AL182" s="61">
        <v>0</v>
      </c>
      <c r="AM182" s="63">
        <f t="shared" si="33"/>
        <v>0</v>
      </c>
      <c r="AN182" s="61">
        <v>20.195126215420032</v>
      </c>
      <c r="AO182" s="61">
        <v>0</v>
      </c>
      <c r="AP182" s="63">
        <f t="shared" si="34"/>
        <v>0</v>
      </c>
      <c r="AQ182" s="61">
        <v>49.285822864957524</v>
      </c>
      <c r="AR182" s="61">
        <v>0</v>
      </c>
      <c r="AS182" s="63">
        <f t="shared" si="35"/>
        <v>0</v>
      </c>
      <c r="AT182" s="61">
        <v>0</v>
      </c>
      <c r="AU182" s="61">
        <v>0</v>
      </c>
      <c r="AV182" s="63" t="e">
        <f t="shared" si="36"/>
        <v>#DIV/0!</v>
      </c>
      <c r="AW182" s="61">
        <v>20.499225164588175</v>
      </c>
      <c r="AX182" s="61">
        <v>0</v>
      </c>
      <c r="AY182" s="63">
        <f t="shared" si="37"/>
        <v>0</v>
      </c>
      <c r="AZ182" s="61">
        <v>27</v>
      </c>
      <c r="BA182" s="61">
        <v>0</v>
      </c>
      <c r="BB182" s="63">
        <f t="shared" si="38"/>
        <v>0</v>
      </c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</row>
    <row r="183" spans="1:87" x14ac:dyDescent="0.25">
      <c r="A183" s="236">
        <v>5369</v>
      </c>
      <c r="B183" s="236">
        <v>21232</v>
      </c>
      <c r="C183" s="236">
        <v>1053949341</v>
      </c>
      <c r="D183" s="236" t="s">
        <v>751</v>
      </c>
      <c r="E183" s="236" t="s">
        <v>546</v>
      </c>
      <c r="F183" s="236" t="s">
        <v>546</v>
      </c>
      <c r="G183" s="236" t="s">
        <v>427</v>
      </c>
      <c r="H183" s="236" t="s">
        <v>428</v>
      </c>
      <c r="I183" s="236" t="s">
        <v>1218</v>
      </c>
      <c r="J183" s="236" t="s">
        <v>30</v>
      </c>
      <c r="K183" s="236" t="s">
        <v>42</v>
      </c>
      <c r="L183" s="236">
        <v>73013</v>
      </c>
      <c r="M183" s="236" t="s">
        <v>1215</v>
      </c>
      <c r="N183" s="236"/>
      <c r="O183" s="237"/>
      <c r="P183" s="238">
        <v>140105</v>
      </c>
      <c r="Q183" s="61">
        <v>47893.05</v>
      </c>
      <c r="R183" s="63">
        <f t="shared" si="26"/>
        <v>0.34183683665822062</v>
      </c>
      <c r="S183" s="61">
        <v>13302</v>
      </c>
      <c r="T183" s="61">
        <v>0</v>
      </c>
      <c r="U183" s="63">
        <f t="shared" si="27"/>
        <v>0</v>
      </c>
      <c r="V183" s="61">
        <v>26930.44263324096</v>
      </c>
      <c r="W183" s="61">
        <v>10615.650000000001</v>
      </c>
      <c r="X183" s="63">
        <f t="shared" si="28"/>
        <v>0.39418772816221087</v>
      </c>
      <c r="Y183" s="61">
        <v>0</v>
      </c>
      <c r="Z183" s="102">
        <v>0</v>
      </c>
      <c r="AA183" s="63" t="e">
        <f t="shared" si="29"/>
        <v>#DIV/0!</v>
      </c>
      <c r="AB183" s="61">
        <v>23</v>
      </c>
      <c r="AC183" s="61">
        <v>6</v>
      </c>
      <c r="AD183" s="63">
        <f t="shared" si="30"/>
        <v>0.2608695652173913</v>
      </c>
      <c r="AE183" s="61">
        <v>5</v>
      </c>
      <c r="AF183" s="61">
        <v>0</v>
      </c>
      <c r="AG183" s="63">
        <f t="shared" si="31"/>
        <v>0</v>
      </c>
      <c r="AH183" s="61">
        <v>111.36399430188574</v>
      </c>
      <c r="AI183" s="61">
        <v>47</v>
      </c>
      <c r="AJ183" s="63">
        <f t="shared" si="32"/>
        <v>0.42203945983288194</v>
      </c>
      <c r="AK183" s="61">
        <v>3.1839636290185269</v>
      </c>
      <c r="AL183" s="61">
        <v>1</v>
      </c>
      <c r="AM183" s="63">
        <f t="shared" si="33"/>
        <v>0.31407393944014844</v>
      </c>
      <c r="AN183" s="61">
        <v>5.048781553855008</v>
      </c>
      <c r="AO183" s="61">
        <v>1</v>
      </c>
      <c r="AP183" s="63">
        <f t="shared" si="34"/>
        <v>0.1980675910282646</v>
      </c>
      <c r="AQ183" s="61">
        <v>6.2727410919036846</v>
      </c>
      <c r="AR183" s="61">
        <v>6</v>
      </c>
      <c r="AS183" s="63">
        <f t="shared" si="35"/>
        <v>0.95651963186305977</v>
      </c>
      <c r="AT183" s="61"/>
      <c r="AU183" s="61">
        <v>0</v>
      </c>
      <c r="AV183" s="63" t="e">
        <f t="shared" si="36"/>
        <v>#DIV/0!</v>
      </c>
      <c r="AW183" s="61">
        <v>4.1004186613089253</v>
      </c>
      <c r="AX183" s="61">
        <v>0</v>
      </c>
      <c r="AY183" s="63">
        <f t="shared" si="37"/>
        <v>0</v>
      </c>
      <c r="AZ183" s="61">
        <v>7</v>
      </c>
      <c r="BA183" s="61">
        <v>1</v>
      </c>
      <c r="BB183" s="63">
        <f t="shared" si="38"/>
        <v>0.14285714285714285</v>
      </c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</row>
    <row r="184" spans="1:87" x14ac:dyDescent="0.25">
      <c r="A184" s="128">
        <v>217</v>
      </c>
      <c r="B184" s="128">
        <v>21232</v>
      </c>
      <c r="C184" s="128">
        <v>1063190621</v>
      </c>
      <c r="D184" s="128" t="s">
        <v>752</v>
      </c>
      <c r="E184" s="128" t="s">
        <v>546</v>
      </c>
      <c r="F184" s="128" t="s">
        <v>546</v>
      </c>
      <c r="G184" s="128" t="s">
        <v>44</v>
      </c>
      <c r="H184" s="128" t="s">
        <v>45</v>
      </c>
      <c r="I184" s="128" t="s">
        <v>1218</v>
      </c>
      <c r="J184" s="128" t="s">
        <v>30</v>
      </c>
      <c r="K184" s="128" t="s">
        <v>42</v>
      </c>
      <c r="L184" s="128">
        <v>73013</v>
      </c>
      <c r="M184" s="128" t="s">
        <v>1145</v>
      </c>
      <c r="N184" s="128"/>
      <c r="O184" s="156">
        <v>0.5</v>
      </c>
      <c r="P184" s="157">
        <v>93368</v>
      </c>
      <c r="Q184" s="61">
        <v>32006.959999999999</v>
      </c>
      <c r="R184" s="63">
        <f t="shared" si="26"/>
        <v>0.34280438694199294</v>
      </c>
      <c r="S184" s="61">
        <v>4499</v>
      </c>
      <c r="T184" s="61">
        <v>0</v>
      </c>
      <c r="U184" s="63">
        <f t="shared" si="27"/>
        <v>0</v>
      </c>
      <c r="V184" s="61">
        <v>8973.1745042190396</v>
      </c>
      <c r="W184" s="61">
        <v>7410</v>
      </c>
      <c r="X184" s="63">
        <f t="shared" si="28"/>
        <v>0.82579470582188497</v>
      </c>
      <c r="Y184" s="61">
        <v>3468</v>
      </c>
      <c r="Z184" s="102">
        <v>0</v>
      </c>
      <c r="AA184" s="63">
        <f t="shared" si="29"/>
        <v>0</v>
      </c>
      <c r="AB184" s="61">
        <v>7</v>
      </c>
      <c r="AC184" s="61">
        <v>1</v>
      </c>
      <c r="AD184" s="63">
        <f t="shared" si="30"/>
        <v>0.14285714285714285</v>
      </c>
      <c r="AE184" s="61">
        <v>1</v>
      </c>
      <c r="AF184" s="61">
        <v>0</v>
      </c>
      <c r="AG184" s="63">
        <f t="shared" si="31"/>
        <v>0</v>
      </c>
      <c r="AH184" s="61">
        <v>36.799156095332343</v>
      </c>
      <c r="AI184" s="61">
        <v>31</v>
      </c>
      <c r="AJ184" s="63">
        <f t="shared" si="32"/>
        <v>0.8424106226700151</v>
      </c>
      <c r="AK184" s="61">
        <v>1.5919818145092635</v>
      </c>
      <c r="AL184" s="61">
        <v>0</v>
      </c>
      <c r="AM184" s="63">
        <f t="shared" si="33"/>
        <v>0</v>
      </c>
      <c r="AN184" s="61">
        <v>1.4425090153871452</v>
      </c>
      <c r="AO184" s="61">
        <v>0</v>
      </c>
      <c r="AP184" s="63">
        <f t="shared" si="34"/>
        <v>0</v>
      </c>
      <c r="AQ184" s="61">
        <v>2.6883176108158651</v>
      </c>
      <c r="AR184" s="61">
        <v>3</v>
      </c>
      <c r="AS184" s="63">
        <f t="shared" si="35"/>
        <v>1.1159395705069031</v>
      </c>
      <c r="AT184" s="61"/>
      <c r="AU184" s="61">
        <v>0</v>
      </c>
      <c r="AV184" s="63" t="e">
        <f t="shared" si="36"/>
        <v>#DIV/0!</v>
      </c>
      <c r="AW184" s="61">
        <v>2.7325783488747133</v>
      </c>
      <c r="AX184" s="61">
        <v>0</v>
      </c>
      <c r="AY184" s="63">
        <f t="shared" si="37"/>
        <v>0</v>
      </c>
      <c r="AZ184" s="61">
        <v>2</v>
      </c>
      <c r="BA184" s="61">
        <v>5</v>
      </c>
      <c r="BB184" s="63">
        <f t="shared" si="38"/>
        <v>2.5</v>
      </c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</row>
    <row r="185" spans="1:87" x14ac:dyDescent="0.25">
      <c r="A185" s="128">
        <v>21737</v>
      </c>
      <c r="B185" s="128">
        <v>21232</v>
      </c>
      <c r="C185" s="128">
        <v>1042028231</v>
      </c>
      <c r="D185" s="128" t="s">
        <v>754</v>
      </c>
      <c r="E185" s="128" t="s">
        <v>546</v>
      </c>
      <c r="F185" s="128" t="s">
        <v>546</v>
      </c>
      <c r="G185" s="128" t="s">
        <v>47</v>
      </c>
      <c r="H185" s="128" t="s">
        <v>47</v>
      </c>
      <c r="I185" s="128" t="s">
        <v>1218</v>
      </c>
      <c r="J185" s="128" t="s">
        <v>30</v>
      </c>
      <c r="K185" s="128" t="s">
        <v>42</v>
      </c>
      <c r="L185" s="128">
        <v>73013</v>
      </c>
      <c r="M185" s="128" t="s">
        <v>1215</v>
      </c>
      <c r="N185" s="128"/>
      <c r="O185" s="156"/>
      <c r="P185" s="157">
        <v>150108</v>
      </c>
      <c r="Q185" s="61">
        <v>142812.20000000001</v>
      </c>
      <c r="R185" s="63">
        <f t="shared" si="26"/>
        <v>0.95139632797718987</v>
      </c>
      <c r="S185" s="61">
        <v>13252</v>
      </c>
      <c r="T185" s="61">
        <v>0</v>
      </c>
      <c r="U185" s="63">
        <f t="shared" si="27"/>
        <v>0</v>
      </c>
      <c r="V185" s="61">
        <v>26924.702100481751</v>
      </c>
      <c r="W185" s="61">
        <v>14239.99</v>
      </c>
      <c r="X185" s="63">
        <f t="shared" si="28"/>
        <v>0.52888198899497607</v>
      </c>
      <c r="Y185" s="61">
        <v>0</v>
      </c>
      <c r="Z185" s="102">
        <v>0</v>
      </c>
      <c r="AA185" s="63" t="e">
        <f t="shared" si="29"/>
        <v>#DIV/0!</v>
      </c>
      <c r="AB185" s="61">
        <v>23</v>
      </c>
      <c r="AC185" s="61">
        <v>16</v>
      </c>
      <c r="AD185" s="63">
        <f t="shared" si="30"/>
        <v>0.69565217391304346</v>
      </c>
      <c r="AE185" s="61">
        <v>4</v>
      </c>
      <c r="AF185" s="61">
        <v>0</v>
      </c>
      <c r="AG185" s="63">
        <f t="shared" si="31"/>
        <v>0</v>
      </c>
      <c r="AH185" s="61">
        <v>111.36399430188574</v>
      </c>
      <c r="AI185" s="61">
        <v>58</v>
      </c>
      <c r="AJ185" s="63">
        <f t="shared" si="32"/>
        <v>0.5208146525597267</v>
      </c>
      <c r="AK185" s="61">
        <v>3.9799545362731585</v>
      </c>
      <c r="AL185" s="61">
        <v>2</v>
      </c>
      <c r="AM185" s="63">
        <f t="shared" si="33"/>
        <v>0.50251830310423751</v>
      </c>
      <c r="AN185" s="61">
        <v>5.048781553855008</v>
      </c>
      <c r="AO185" s="61">
        <v>0</v>
      </c>
      <c r="AP185" s="63">
        <f t="shared" si="34"/>
        <v>0</v>
      </c>
      <c r="AQ185" s="61">
        <v>6.2727410919036846</v>
      </c>
      <c r="AR185" s="61">
        <v>4</v>
      </c>
      <c r="AS185" s="63">
        <f t="shared" si="35"/>
        <v>0.63767975457537318</v>
      </c>
      <c r="AT185" s="61"/>
      <c r="AU185" s="61">
        <v>0</v>
      </c>
      <c r="AV185" s="63" t="e">
        <f t="shared" si="36"/>
        <v>#DIV/0!</v>
      </c>
      <c r="AW185" s="61">
        <v>4.3931740081493178</v>
      </c>
      <c r="AX185" s="61">
        <v>0</v>
      </c>
      <c r="AY185" s="63">
        <f t="shared" si="37"/>
        <v>0</v>
      </c>
      <c r="AZ185" s="61">
        <v>7</v>
      </c>
      <c r="BA185" s="61">
        <v>12</v>
      </c>
      <c r="BB185" s="63">
        <f t="shared" si="38"/>
        <v>1.7142857142857142</v>
      </c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</row>
    <row r="186" spans="1:87" x14ac:dyDescent="0.25">
      <c r="A186" s="128">
        <v>3589</v>
      </c>
      <c r="B186" s="128">
        <v>21232</v>
      </c>
      <c r="C186" s="128">
        <v>1021358377</v>
      </c>
      <c r="D186" s="128" t="s">
        <v>755</v>
      </c>
      <c r="E186" s="128" t="s">
        <v>546</v>
      </c>
      <c r="F186" s="128" t="s">
        <v>546</v>
      </c>
      <c r="G186" s="128" t="s">
        <v>48</v>
      </c>
      <c r="H186" s="128" t="s">
        <v>49</v>
      </c>
      <c r="I186" s="128" t="s">
        <v>1218</v>
      </c>
      <c r="J186" s="128" t="s">
        <v>30</v>
      </c>
      <c r="K186" s="128" t="s">
        <v>42</v>
      </c>
      <c r="L186" s="128">
        <v>73013</v>
      </c>
      <c r="M186" s="128" t="s">
        <v>1215</v>
      </c>
      <c r="N186" s="128"/>
      <c r="O186" s="156"/>
      <c r="P186" s="157">
        <v>147108</v>
      </c>
      <c r="Q186" s="61">
        <v>52822.61</v>
      </c>
      <c r="R186" s="63">
        <f t="shared" si="26"/>
        <v>0.35907367376349347</v>
      </c>
      <c r="S186" s="61">
        <v>13277</v>
      </c>
      <c r="T186" s="61">
        <v>7251.3</v>
      </c>
      <c r="U186" s="63">
        <f t="shared" si="27"/>
        <v>0.54615500489568425</v>
      </c>
      <c r="V186" s="61">
        <v>26924.702100481751</v>
      </c>
      <c r="W186" s="61">
        <v>7458.26</v>
      </c>
      <c r="X186" s="63">
        <f t="shared" si="28"/>
        <v>0.27700436469700263</v>
      </c>
      <c r="Y186" s="61">
        <v>0</v>
      </c>
      <c r="Z186" s="102">
        <v>0</v>
      </c>
      <c r="AA186" s="63" t="e">
        <f t="shared" si="29"/>
        <v>#DIV/0!</v>
      </c>
      <c r="AB186" s="61">
        <v>23</v>
      </c>
      <c r="AC186" s="61">
        <v>0</v>
      </c>
      <c r="AD186" s="63">
        <f t="shared" si="30"/>
        <v>0</v>
      </c>
      <c r="AE186" s="61">
        <v>4</v>
      </c>
      <c r="AF186" s="61">
        <v>1</v>
      </c>
      <c r="AG186" s="63">
        <f t="shared" si="31"/>
        <v>0.25</v>
      </c>
      <c r="AH186" s="61">
        <v>110.39746828599702</v>
      </c>
      <c r="AI186" s="61">
        <v>32</v>
      </c>
      <c r="AJ186" s="63">
        <f t="shared" si="32"/>
        <v>0.2898617196283923</v>
      </c>
      <c r="AK186" s="61">
        <v>3.9799545362731585</v>
      </c>
      <c r="AL186" s="61">
        <v>0</v>
      </c>
      <c r="AM186" s="63">
        <f t="shared" si="33"/>
        <v>0</v>
      </c>
      <c r="AN186" s="61">
        <v>5.7700360615485806</v>
      </c>
      <c r="AO186" s="61">
        <v>1</v>
      </c>
      <c r="AP186" s="63">
        <f t="shared" si="34"/>
        <v>0.17330914214973153</v>
      </c>
      <c r="AQ186" s="61">
        <v>6.2727410919036846</v>
      </c>
      <c r="AR186" s="61">
        <v>2</v>
      </c>
      <c r="AS186" s="63">
        <f t="shared" si="35"/>
        <v>0.31883987728768659</v>
      </c>
      <c r="AT186" s="61"/>
      <c r="AU186" s="61">
        <v>0</v>
      </c>
      <c r="AV186" s="63" t="e">
        <f t="shared" si="36"/>
        <v>#DIV/0!</v>
      </c>
      <c r="AW186" s="61">
        <v>4.3053737441763911</v>
      </c>
      <c r="AX186" s="61">
        <v>0</v>
      </c>
      <c r="AY186" s="63">
        <f t="shared" si="37"/>
        <v>0</v>
      </c>
      <c r="AZ186" s="61">
        <v>7</v>
      </c>
      <c r="BA186" s="61">
        <v>4</v>
      </c>
      <c r="BB186" s="63">
        <f t="shared" si="38"/>
        <v>0.5714285714285714</v>
      </c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</row>
    <row r="187" spans="1:87" x14ac:dyDescent="0.25">
      <c r="A187" s="128">
        <v>10443</v>
      </c>
      <c r="B187" s="128">
        <v>21232</v>
      </c>
      <c r="C187" s="128">
        <v>1066321231</v>
      </c>
      <c r="D187" s="128" t="s">
        <v>756</v>
      </c>
      <c r="E187" s="128" t="s">
        <v>546</v>
      </c>
      <c r="F187" s="128" t="s">
        <v>546</v>
      </c>
      <c r="G187" s="128" t="s">
        <v>50</v>
      </c>
      <c r="H187" s="128" t="s">
        <v>50</v>
      </c>
      <c r="I187" s="128" t="s">
        <v>1218</v>
      </c>
      <c r="J187" s="128" t="s">
        <v>30</v>
      </c>
      <c r="K187" s="128" t="s">
        <v>42</v>
      </c>
      <c r="L187" s="128">
        <v>73013</v>
      </c>
      <c r="M187" s="128" t="s">
        <v>1145</v>
      </c>
      <c r="N187" s="128"/>
      <c r="O187" s="156">
        <v>0.5</v>
      </c>
      <c r="P187" s="157">
        <v>91368</v>
      </c>
      <c r="Q187" s="61">
        <v>65240.020000000004</v>
      </c>
      <c r="R187" s="63">
        <f t="shared" si="26"/>
        <v>0.714035767445933</v>
      </c>
      <c r="S187" s="61">
        <v>4398</v>
      </c>
      <c r="T187" s="61">
        <v>0</v>
      </c>
      <c r="U187" s="63">
        <f t="shared" si="27"/>
        <v>0</v>
      </c>
      <c r="V187" s="61">
        <v>8973.1745042190396</v>
      </c>
      <c r="W187" s="61">
        <v>7077.380000000001</v>
      </c>
      <c r="X187" s="63">
        <f t="shared" si="28"/>
        <v>0.78872644198241471</v>
      </c>
      <c r="Y187" s="61">
        <v>3467</v>
      </c>
      <c r="Z187" s="102">
        <v>0</v>
      </c>
      <c r="AA187" s="63">
        <f t="shared" si="29"/>
        <v>0</v>
      </c>
      <c r="AB187" s="61">
        <v>7</v>
      </c>
      <c r="AC187" s="61">
        <v>3</v>
      </c>
      <c r="AD187" s="63">
        <f t="shared" si="30"/>
        <v>0.42857142857142855</v>
      </c>
      <c r="AE187" s="61">
        <v>1</v>
      </c>
      <c r="AF187" s="61">
        <v>1</v>
      </c>
      <c r="AG187" s="63">
        <f t="shared" si="31"/>
        <v>1</v>
      </c>
      <c r="AH187" s="61">
        <v>36.799156095332343</v>
      </c>
      <c r="AI187" s="61">
        <v>71</v>
      </c>
      <c r="AJ187" s="63">
        <f t="shared" si="32"/>
        <v>1.9293920712764863</v>
      </c>
      <c r="AK187" s="61">
        <v>1.5919818145092635</v>
      </c>
      <c r="AL187" s="61">
        <v>1</v>
      </c>
      <c r="AM187" s="63">
        <f t="shared" si="33"/>
        <v>0.62814787888029688</v>
      </c>
      <c r="AN187" s="61">
        <v>1.4425090153871452</v>
      </c>
      <c r="AO187" s="61">
        <v>3</v>
      </c>
      <c r="AP187" s="63">
        <f t="shared" si="34"/>
        <v>2.0797097057967782</v>
      </c>
      <c r="AQ187" s="61">
        <v>2.6883176108158651</v>
      </c>
      <c r="AR187" s="61">
        <v>4</v>
      </c>
      <c r="AS187" s="63">
        <f t="shared" si="35"/>
        <v>1.4879194273425373</v>
      </c>
      <c r="AT187" s="61"/>
      <c r="AU187" s="61">
        <v>0</v>
      </c>
      <c r="AV187" s="63" t="e">
        <f t="shared" si="36"/>
        <v>#DIV/0!</v>
      </c>
      <c r="AW187" s="61">
        <v>2.6740448395594294</v>
      </c>
      <c r="AX187" s="61">
        <v>0</v>
      </c>
      <c r="AY187" s="63">
        <f t="shared" si="37"/>
        <v>0</v>
      </c>
      <c r="AZ187" s="61">
        <v>2</v>
      </c>
      <c r="BA187" s="61">
        <v>1</v>
      </c>
      <c r="BB187" s="63">
        <f t="shared" si="38"/>
        <v>0.5</v>
      </c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</row>
    <row r="188" spans="1:87" x14ac:dyDescent="0.25">
      <c r="A188" s="128">
        <v>21019</v>
      </c>
      <c r="B188" s="128">
        <v>21232</v>
      </c>
      <c r="C188" s="128">
        <v>1049143066</v>
      </c>
      <c r="D188" s="128" t="s">
        <v>757</v>
      </c>
      <c r="E188" s="128" t="s">
        <v>546</v>
      </c>
      <c r="F188" s="128" t="s">
        <v>546</v>
      </c>
      <c r="G188" s="128" t="s">
        <v>51</v>
      </c>
      <c r="H188" s="128" t="s">
        <v>51</v>
      </c>
      <c r="I188" s="128" t="s">
        <v>1218</v>
      </c>
      <c r="J188" s="128" t="s">
        <v>30</v>
      </c>
      <c r="K188" s="128" t="s">
        <v>42</v>
      </c>
      <c r="L188" s="128">
        <v>73013</v>
      </c>
      <c r="M188" s="128" t="s">
        <v>1207</v>
      </c>
      <c r="N188" s="128"/>
      <c r="O188" s="156">
        <v>0.5</v>
      </c>
      <c r="P188" s="157">
        <v>78368</v>
      </c>
      <c r="Q188" s="61">
        <v>119757.43</v>
      </c>
      <c r="R188" s="63">
        <f t="shared" si="26"/>
        <v>1.5281419712127398</v>
      </c>
      <c r="S188" s="61">
        <v>4375</v>
      </c>
      <c r="T188" s="61">
        <v>3216.52</v>
      </c>
      <c r="U188" s="63">
        <f t="shared" si="27"/>
        <v>0.73520457142857143</v>
      </c>
      <c r="V188" s="61">
        <v>8973.1745042190396</v>
      </c>
      <c r="W188" s="61">
        <v>15559.999999999998</v>
      </c>
      <c r="X188" s="63">
        <f t="shared" si="28"/>
        <v>1.7340574389458203</v>
      </c>
      <c r="Y188" s="61">
        <v>0</v>
      </c>
      <c r="Z188" s="102">
        <v>0</v>
      </c>
      <c r="AA188" s="63" t="e">
        <f t="shared" si="29"/>
        <v>#DIV/0!</v>
      </c>
      <c r="AB188" s="61">
        <v>7</v>
      </c>
      <c r="AC188" s="61">
        <v>10</v>
      </c>
      <c r="AD188" s="63">
        <f t="shared" si="30"/>
        <v>1.4285714285714286</v>
      </c>
      <c r="AE188" s="61">
        <v>1</v>
      </c>
      <c r="AF188" s="61">
        <v>0</v>
      </c>
      <c r="AG188" s="63">
        <f t="shared" si="31"/>
        <v>0</v>
      </c>
      <c r="AH188" s="61">
        <v>36.799156095332343</v>
      </c>
      <c r="AI188" s="61">
        <v>52</v>
      </c>
      <c r="AJ188" s="63">
        <f t="shared" si="32"/>
        <v>1.4130758831884125</v>
      </c>
      <c r="AK188" s="61">
        <v>1.5919818145092635</v>
      </c>
      <c r="AL188" s="61">
        <v>11</v>
      </c>
      <c r="AM188" s="63">
        <f t="shared" si="33"/>
        <v>6.9096266676832654</v>
      </c>
      <c r="AN188" s="61">
        <v>1.4425090153871452</v>
      </c>
      <c r="AO188" s="61">
        <v>0</v>
      </c>
      <c r="AP188" s="63">
        <f t="shared" si="34"/>
        <v>0</v>
      </c>
      <c r="AQ188" s="61">
        <v>25.090964367614738</v>
      </c>
      <c r="AR188" s="61">
        <v>8</v>
      </c>
      <c r="AS188" s="63">
        <f t="shared" si="35"/>
        <v>0.31883987728768659</v>
      </c>
      <c r="AT188" s="61"/>
      <c r="AU188" s="61">
        <v>0</v>
      </c>
      <c r="AV188" s="63" t="e">
        <f t="shared" si="36"/>
        <v>#DIV/0!</v>
      </c>
      <c r="AW188" s="61">
        <v>2.2935770290100841</v>
      </c>
      <c r="AX188" s="61">
        <v>0</v>
      </c>
      <c r="AY188" s="63">
        <f t="shared" si="37"/>
        <v>0</v>
      </c>
      <c r="AZ188" s="61">
        <v>2</v>
      </c>
      <c r="BA188" s="61">
        <v>10</v>
      </c>
      <c r="BB188" s="63">
        <f t="shared" si="38"/>
        <v>5</v>
      </c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</row>
    <row r="189" spans="1:87" x14ac:dyDescent="0.25">
      <c r="A189" s="149">
        <v>0</v>
      </c>
      <c r="B189" s="149">
        <v>17055</v>
      </c>
      <c r="C189" s="149">
        <v>0</v>
      </c>
      <c r="D189" s="149" t="s">
        <v>973</v>
      </c>
      <c r="E189" s="149" t="s">
        <v>541</v>
      </c>
      <c r="F189" s="149" t="s">
        <v>541</v>
      </c>
      <c r="G189" s="149">
        <v>0</v>
      </c>
      <c r="H189" s="149">
        <v>0</v>
      </c>
      <c r="I189" s="149" t="s">
        <v>1218</v>
      </c>
      <c r="J189" s="149" t="s">
        <v>30</v>
      </c>
      <c r="K189" s="149" t="s">
        <v>52</v>
      </c>
      <c r="L189" s="149">
        <v>73014</v>
      </c>
      <c r="M189" s="149"/>
      <c r="N189" s="149"/>
      <c r="O189" s="161"/>
      <c r="P189" s="162">
        <v>291845</v>
      </c>
      <c r="Q189" s="61">
        <v>0</v>
      </c>
      <c r="R189" s="63">
        <f t="shared" si="26"/>
        <v>0</v>
      </c>
      <c r="S189" s="61">
        <v>29502</v>
      </c>
      <c r="T189" s="61">
        <v>0</v>
      </c>
      <c r="U189" s="63">
        <f t="shared" si="27"/>
        <v>0</v>
      </c>
      <c r="V189" s="61">
        <v>59801.67177595642</v>
      </c>
      <c r="W189" s="61">
        <v>0</v>
      </c>
      <c r="X189" s="63">
        <f t="shared" si="28"/>
        <v>0</v>
      </c>
      <c r="Y189" s="61">
        <v>4957</v>
      </c>
      <c r="Z189" s="102">
        <v>0</v>
      </c>
      <c r="AA189" s="63">
        <f t="shared" si="29"/>
        <v>0</v>
      </c>
      <c r="AB189" s="61">
        <v>45</v>
      </c>
      <c r="AC189" s="61">
        <v>0</v>
      </c>
      <c r="AD189" s="63">
        <f t="shared" si="30"/>
        <v>0</v>
      </c>
      <c r="AE189" s="61">
        <v>7</v>
      </c>
      <c r="AF189" s="61">
        <v>0</v>
      </c>
      <c r="AG189" s="63">
        <f t="shared" si="31"/>
        <v>0</v>
      </c>
      <c r="AH189" s="61">
        <v>245.66104063554894</v>
      </c>
      <c r="AI189" s="61">
        <v>0</v>
      </c>
      <c r="AJ189" s="63">
        <f t="shared" si="32"/>
        <v>0</v>
      </c>
      <c r="AK189" s="61">
        <v>8.7558999798009491</v>
      </c>
      <c r="AL189" s="61">
        <v>0</v>
      </c>
      <c r="AM189" s="63">
        <f t="shared" si="33"/>
        <v>0</v>
      </c>
      <c r="AN189" s="61">
        <v>11.540072123097161</v>
      </c>
      <c r="AO189" s="61">
        <v>0</v>
      </c>
      <c r="AP189" s="63">
        <f t="shared" si="34"/>
        <v>0</v>
      </c>
      <c r="AQ189" s="61">
        <v>28.67538784870256</v>
      </c>
      <c r="AR189" s="61">
        <v>0</v>
      </c>
      <c r="AS189" s="63">
        <f t="shared" si="35"/>
        <v>0</v>
      </c>
      <c r="AT189" s="61">
        <v>0</v>
      </c>
      <c r="AU189" s="61">
        <v>0</v>
      </c>
      <c r="AV189" s="63" t="e">
        <f t="shared" si="36"/>
        <v>#DIV/0!</v>
      </c>
      <c r="AW189" s="61">
        <v>8.5413560130595148</v>
      </c>
      <c r="AX189" s="61">
        <v>0</v>
      </c>
      <c r="AY189" s="63">
        <f t="shared" si="37"/>
        <v>0</v>
      </c>
      <c r="AZ189" s="61">
        <v>15</v>
      </c>
      <c r="BA189" s="61">
        <v>0</v>
      </c>
      <c r="BB189" s="63">
        <f t="shared" si="38"/>
        <v>0</v>
      </c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</row>
    <row r="190" spans="1:87" x14ac:dyDescent="0.25">
      <c r="A190" s="163">
        <v>21645</v>
      </c>
      <c r="B190" s="163">
        <v>17055</v>
      </c>
      <c r="C190" s="163">
        <v>1048870875</v>
      </c>
      <c r="D190" s="163" t="s">
        <v>759</v>
      </c>
      <c r="E190" s="163" t="s">
        <v>544</v>
      </c>
      <c r="F190" s="163" t="s">
        <v>544</v>
      </c>
      <c r="G190" s="163" t="s">
        <v>53</v>
      </c>
      <c r="H190" s="163" t="s">
        <v>53</v>
      </c>
      <c r="I190" s="163" t="s">
        <v>1218</v>
      </c>
      <c r="J190" s="163" t="s">
        <v>30</v>
      </c>
      <c r="K190" s="163" t="s">
        <v>52</v>
      </c>
      <c r="L190" s="163">
        <v>73014</v>
      </c>
      <c r="M190" s="163"/>
      <c r="N190" s="163"/>
      <c r="O190" s="164"/>
      <c r="P190" s="165">
        <v>291845</v>
      </c>
      <c r="Q190" s="61">
        <v>0</v>
      </c>
      <c r="R190" s="63">
        <f t="shared" si="26"/>
        <v>0</v>
      </c>
      <c r="S190" s="61">
        <v>29502</v>
      </c>
      <c r="T190" s="61">
        <v>0</v>
      </c>
      <c r="U190" s="63">
        <f t="shared" si="27"/>
        <v>0</v>
      </c>
      <c r="V190" s="61">
        <v>59801.67177595642</v>
      </c>
      <c r="W190" s="61">
        <v>0</v>
      </c>
      <c r="X190" s="63">
        <f t="shared" si="28"/>
        <v>0</v>
      </c>
      <c r="Y190" s="61">
        <v>4957</v>
      </c>
      <c r="Z190" s="102">
        <v>0</v>
      </c>
      <c r="AA190" s="63">
        <f t="shared" si="29"/>
        <v>0</v>
      </c>
      <c r="AB190" s="61">
        <v>45</v>
      </c>
      <c r="AC190" s="61">
        <v>0</v>
      </c>
      <c r="AD190" s="63">
        <f t="shared" si="30"/>
        <v>0</v>
      </c>
      <c r="AE190" s="61">
        <v>7</v>
      </c>
      <c r="AF190" s="61">
        <v>0</v>
      </c>
      <c r="AG190" s="63">
        <f t="shared" si="31"/>
        <v>0</v>
      </c>
      <c r="AH190" s="61">
        <v>245.66104063554894</v>
      </c>
      <c r="AI190" s="61">
        <v>0</v>
      </c>
      <c r="AJ190" s="63">
        <f t="shared" si="32"/>
        <v>0</v>
      </c>
      <c r="AK190" s="61">
        <v>8.7558999798009491</v>
      </c>
      <c r="AL190" s="61">
        <v>0</v>
      </c>
      <c r="AM190" s="63">
        <f t="shared" si="33"/>
        <v>0</v>
      </c>
      <c r="AN190" s="61">
        <v>11.540072123097161</v>
      </c>
      <c r="AO190" s="61">
        <v>0</v>
      </c>
      <c r="AP190" s="63">
        <f t="shared" si="34"/>
        <v>0</v>
      </c>
      <c r="AQ190" s="61">
        <v>28.67538784870256</v>
      </c>
      <c r="AR190" s="61">
        <v>0</v>
      </c>
      <c r="AS190" s="63">
        <f t="shared" si="35"/>
        <v>0</v>
      </c>
      <c r="AT190" s="61">
        <v>0</v>
      </c>
      <c r="AU190" s="61">
        <v>0</v>
      </c>
      <c r="AV190" s="63" t="e">
        <f t="shared" si="36"/>
        <v>#DIV/0!</v>
      </c>
      <c r="AW190" s="61">
        <v>8.5413560130595148</v>
      </c>
      <c r="AX190" s="61">
        <v>0</v>
      </c>
      <c r="AY190" s="63">
        <f t="shared" si="37"/>
        <v>0</v>
      </c>
      <c r="AZ190" s="61">
        <v>15</v>
      </c>
      <c r="BA190" s="61">
        <v>0</v>
      </c>
      <c r="BB190" s="63">
        <f t="shared" si="38"/>
        <v>0</v>
      </c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</row>
    <row r="191" spans="1:87" x14ac:dyDescent="0.25">
      <c r="A191" s="128">
        <v>21682</v>
      </c>
      <c r="B191" s="128">
        <v>21645</v>
      </c>
      <c r="C191" s="128">
        <v>1028041018</v>
      </c>
      <c r="D191" s="128" t="s">
        <v>758</v>
      </c>
      <c r="E191" s="128" t="s">
        <v>546</v>
      </c>
      <c r="F191" s="128" t="s">
        <v>546</v>
      </c>
      <c r="G191" s="128" t="s">
        <v>55</v>
      </c>
      <c r="H191" s="128" t="s">
        <v>55</v>
      </c>
      <c r="I191" s="128" t="s">
        <v>1218</v>
      </c>
      <c r="J191" s="128" t="s">
        <v>30</v>
      </c>
      <c r="K191" s="128" t="s">
        <v>52</v>
      </c>
      <c r="L191" s="128">
        <v>73014</v>
      </c>
      <c r="M191" s="128" t="s">
        <v>1143</v>
      </c>
      <c r="N191" s="128"/>
      <c r="O191" s="156">
        <v>0.5</v>
      </c>
      <c r="P191" s="157">
        <v>22173</v>
      </c>
      <c r="Q191" s="61">
        <v>60560.05</v>
      </c>
      <c r="R191" s="63">
        <f t="shared" si="26"/>
        <v>2.7312519731204619</v>
      </c>
      <c r="S191" s="61">
        <v>2926</v>
      </c>
      <c r="T191" s="61">
        <v>0</v>
      </c>
      <c r="U191" s="63">
        <f t="shared" si="27"/>
        <v>0</v>
      </c>
      <c r="V191" s="61">
        <v>4281.0660861748565</v>
      </c>
      <c r="W191" s="61">
        <v>9973.4799999999977</v>
      </c>
      <c r="X191" s="63">
        <f t="shared" si="28"/>
        <v>2.3296720487936518</v>
      </c>
      <c r="Y191" s="61">
        <v>355</v>
      </c>
      <c r="Z191" s="102">
        <v>0</v>
      </c>
      <c r="AA191" s="63">
        <f t="shared" si="29"/>
        <v>0</v>
      </c>
      <c r="AB191" s="61">
        <v>3</v>
      </c>
      <c r="AC191" s="61">
        <v>1</v>
      </c>
      <c r="AD191" s="63">
        <f t="shared" si="30"/>
        <v>0.33333333333333331</v>
      </c>
      <c r="AE191" s="61">
        <v>1</v>
      </c>
      <c r="AF191" s="61">
        <v>0</v>
      </c>
      <c r="AG191" s="63">
        <f t="shared" si="31"/>
        <v>0</v>
      </c>
      <c r="AH191" s="61">
        <v>15.933052031777446</v>
      </c>
      <c r="AI191" s="61">
        <v>36</v>
      </c>
      <c r="AJ191" s="63">
        <f t="shared" si="32"/>
        <v>2.2594541163990627</v>
      </c>
      <c r="AK191" s="61">
        <v>0.79599090725463173</v>
      </c>
      <c r="AL191" s="61">
        <v>2</v>
      </c>
      <c r="AM191" s="63">
        <f t="shared" si="33"/>
        <v>2.5125915155211875</v>
      </c>
      <c r="AN191" s="61">
        <v>0.72125450769357258</v>
      </c>
      <c r="AO191" s="61">
        <v>0</v>
      </c>
      <c r="AP191" s="63">
        <f t="shared" si="34"/>
        <v>0</v>
      </c>
      <c r="AQ191" s="61">
        <v>1.79221174054391</v>
      </c>
      <c r="AR191" s="61">
        <v>1</v>
      </c>
      <c r="AS191" s="63">
        <f t="shared" si="35"/>
        <v>0.55796978525345153</v>
      </c>
      <c r="AT191" s="61">
        <v>0</v>
      </c>
      <c r="AU191" s="61">
        <v>1</v>
      </c>
      <c r="AV191" s="63" t="e">
        <f t="shared" si="36"/>
        <v>#DIV/0!</v>
      </c>
      <c r="AW191" s="61">
        <v>0.64893175102389489</v>
      </c>
      <c r="AX191" s="61">
        <v>0</v>
      </c>
      <c r="AY191" s="63">
        <f t="shared" si="37"/>
        <v>0</v>
      </c>
      <c r="AZ191" s="61">
        <v>1</v>
      </c>
      <c r="BA191" s="61">
        <v>0</v>
      </c>
      <c r="BB191" s="63">
        <f t="shared" si="38"/>
        <v>0</v>
      </c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</row>
    <row r="192" spans="1:87" x14ac:dyDescent="0.25">
      <c r="A192" s="128">
        <v>4477</v>
      </c>
      <c r="B192" s="128">
        <v>21645</v>
      </c>
      <c r="C192" s="128">
        <v>1057592089</v>
      </c>
      <c r="D192" s="128" t="s">
        <v>761</v>
      </c>
      <c r="E192" s="128" t="s">
        <v>546</v>
      </c>
      <c r="F192" s="128" t="s">
        <v>546</v>
      </c>
      <c r="G192" s="128" t="s">
        <v>429</v>
      </c>
      <c r="H192" s="128" t="s">
        <v>430</v>
      </c>
      <c r="I192" s="128" t="s">
        <v>1218</v>
      </c>
      <c r="J192" s="128" t="s">
        <v>30</v>
      </c>
      <c r="K192" s="128" t="s">
        <v>52</v>
      </c>
      <c r="L192" s="128">
        <v>73014</v>
      </c>
      <c r="M192" s="128" t="s">
        <v>1143</v>
      </c>
      <c r="N192" s="128"/>
      <c r="O192" s="156">
        <v>0.5</v>
      </c>
      <c r="P192" s="157">
        <v>23183</v>
      </c>
      <c r="Q192" s="61">
        <v>31240.020000000004</v>
      </c>
      <c r="R192" s="63">
        <f t="shared" si="26"/>
        <v>1.3475400077643103</v>
      </c>
      <c r="S192" s="61">
        <v>3402</v>
      </c>
      <c r="T192" s="61">
        <v>0</v>
      </c>
      <c r="U192" s="63">
        <f t="shared" si="27"/>
        <v>0</v>
      </c>
      <c r="V192" s="61">
        <v>4300.8556864663242</v>
      </c>
      <c r="W192" s="61">
        <v>4336.9600000000009</v>
      </c>
      <c r="X192" s="63">
        <f t="shared" si="28"/>
        <v>1.0083946814693847</v>
      </c>
      <c r="Y192" s="61">
        <v>355</v>
      </c>
      <c r="Z192" s="102">
        <v>0</v>
      </c>
      <c r="AA192" s="63">
        <f t="shared" si="29"/>
        <v>0</v>
      </c>
      <c r="AB192" s="61">
        <v>3</v>
      </c>
      <c r="AC192" s="61">
        <v>0</v>
      </c>
      <c r="AD192" s="63">
        <f t="shared" si="30"/>
        <v>0</v>
      </c>
      <c r="AE192" s="61">
        <v>1</v>
      </c>
      <c r="AF192" s="61">
        <v>0</v>
      </c>
      <c r="AG192" s="63">
        <f t="shared" si="31"/>
        <v>0</v>
      </c>
      <c r="AH192" s="61">
        <v>15.933052031777446</v>
      </c>
      <c r="AI192" s="61">
        <v>21</v>
      </c>
      <c r="AJ192" s="63">
        <f t="shared" si="32"/>
        <v>1.3180149012327866</v>
      </c>
      <c r="AK192" s="61">
        <v>0.79599090725463173</v>
      </c>
      <c r="AL192" s="61">
        <v>2</v>
      </c>
      <c r="AM192" s="63">
        <f t="shared" si="33"/>
        <v>2.5125915155211875</v>
      </c>
      <c r="AN192" s="61">
        <v>0.72125450769357258</v>
      </c>
      <c r="AO192" s="61">
        <v>1</v>
      </c>
      <c r="AP192" s="63">
        <f t="shared" si="34"/>
        <v>1.3864731371978523</v>
      </c>
      <c r="AQ192" s="61">
        <v>1.79221174054391</v>
      </c>
      <c r="AR192" s="61">
        <v>1</v>
      </c>
      <c r="AS192" s="63">
        <f t="shared" si="35"/>
        <v>0.55796978525345153</v>
      </c>
      <c r="AT192" s="61">
        <v>0</v>
      </c>
      <c r="AU192" s="61">
        <v>0</v>
      </c>
      <c r="AV192" s="63" t="e">
        <f t="shared" si="36"/>
        <v>#DIV/0!</v>
      </c>
      <c r="AW192" s="61">
        <v>0.67849117322811325</v>
      </c>
      <c r="AX192" s="61">
        <v>0</v>
      </c>
      <c r="AY192" s="63">
        <f t="shared" si="37"/>
        <v>0</v>
      </c>
      <c r="AZ192" s="61">
        <v>1</v>
      </c>
      <c r="BA192" s="61">
        <v>0</v>
      </c>
      <c r="BB192" s="63">
        <f t="shared" si="38"/>
        <v>0</v>
      </c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</row>
    <row r="193" spans="1:87" x14ac:dyDescent="0.25">
      <c r="A193" s="128">
        <v>4847</v>
      </c>
      <c r="B193" s="128">
        <v>21645</v>
      </c>
      <c r="C193" s="128">
        <v>1057857342</v>
      </c>
      <c r="D193" s="128" t="s">
        <v>765</v>
      </c>
      <c r="E193" s="128" t="s">
        <v>546</v>
      </c>
      <c r="F193" s="128" t="s">
        <v>546</v>
      </c>
      <c r="G193" s="128" t="s">
        <v>60</v>
      </c>
      <c r="H193" s="128" t="s">
        <v>61</v>
      </c>
      <c r="I193" s="128" t="s">
        <v>1218</v>
      </c>
      <c r="J193" s="128" t="s">
        <v>30</v>
      </c>
      <c r="K193" s="128" t="s">
        <v>52</v>
      </c>
      <c r="L193" s="128">
        <v>73014</v>
      </c>
      <c r="M193" s="128" t="s">
        <v>1215</v>
      </c>
      <c r="N193" s="128"/>
      <c r="O193" s="156"/>
      <c r="P193" s="157">
        <v>56000</v>
      </c>
      <c r="Q193" s="61">
        <v>32286.98</v>
      </c>
      <c r="R193" s="63">
        <f t="shared" si="26"/>
        <v>0.57655321428571427</v>
      </c>
      <c r="S193" s="61">
        <v>4976</v>
      </c>
      <c r="T193" s="61">
        <v>6844.35</v>
      </c>
      <c r="U193" s="63">
        <f t="shared" si="27"/>
        <v>1.3754722668810291</v>
      </c>
      <c r="V193" s="61">
        <v>11750.513179503698</v>
      </c>
      <c r="W193" s="61">
        <v>8312.5999999999985</v>
      </c>
      <c r="X193" s="63">
        <f t="shared" si="28"/>
        <v>0.7074244224924221</v>
      </c>
      <c r="Y193" s="61">
        <v>973</v>
      </c>
      <c r="Z193" s="102">
        <v>0</v>
      </c>
      <c r="AA193" s="63">
        <f t="shared" si="29"/>
        <v>0</v>
      </c>
      <c r="AB193" s="61">
        <v>9</v>
      </c>
      <c r="AC193" s="61">
        <v>2</v>
      </c>
      <c r="AD193" s="63">
        <f t="shared" si="30"/>
        <v>0.22222222222222221</v>
      </c>
      <c r="AE193" s="61">
        <v>1</v>
      </c>
      <c r="AF193" s="61">
        <v>0</v>
      </c>
      <c r="AG193" s="63">
        <f t="shared" si="31"/>
        <v>0</v>
      </c>
      <c r="AH193" s="61">
        <v>49.732208127109786</v>
      </c>
      <c r="AI193" s="61">
        <v>14</v>
      </c>
      <c r="AJ193" s="63">
        <f t="shared" si="32"/>
        <v>0.28150770953539034</v>
      </c>
      <c r="AK193" s="61">
        <v>1.5919818145092635</v>
      </c>
      <c r="AL193" s="61">
        <v>2</v>
      </c>
      <c r="AM193" s="63">
        <f t="shared" si="33"/>
        <v>1.2562957577605938</v>
      </c>
      <c r="AN193" s="61">
        <v>2.1637635230807177</v>
      </c>
      <c r="AO193" s="61">
        <v>0</v>
      </c>
      <c r="AP193" s="63">
        <f t="shared" si="34"/>
        <v>0</v>
      </c>
      <c r="AQ193" s="61">
        <v>2.6883176108158651</v>
      </c>
      <c r="AR193" s="61">
        <v>1</v>
      </c>
      <c r="AS193" s="63">
        <f t="shared" si="35"/>
        <v>0.37197985683563434</v>
      </c>
      <c r="AT193" s="61">
        <v>0</v>
      </c>
      <c r="AU193" s="61">
        <v>0</v>
      </c>
      <c r="AV193" s="63" t="e">
        <f t="shared" si="36"/>
        <v>#DIV/0!</v>
      </c>
      <c r="AW193" s="61">
        <v>1.638938260827949</v>
      </c>
      <c r="AX193" s="61">
        <v>0</v>
      </c>
      <c r="AY193" s="63">
        <f t="shared" si="37"/>
        <v>0</v>
      </c>
      <c r="AZ193" s="61">
        <v>3</v>
      </c>
      <c r="BA193" s="61">
        <v>2</v>
      </c>
      <c r="BB193" s="63">
        <f t="shared" si="38"/>
        <v>0.66666666666666663</v>
      </c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</row>
    <row r="194" spans="1:87" s="104" customFormat="1" x14ac:dyDescent="0.25">
      <c r="A194" s="128">
        <v>21685</v>
      </c>
      <c r="B194" s="128">
        <v>21645</v>
      </c>
      <c r="C194" s="128">
        <v>1068180684</v>
      </c>
      <c r="D194" s="128" t="s">
        <v>763</v>
      </c>
      <c r="E194" s="128" t="s">
        <v>546</v>
      </c>
      <c r="F194" s="128" t="s">
        <v>546</v>
      </c>
      <c r="G194" s="128" t="s">
        <v>57</v>
      </c>
      <c r="H194" s="128" t="s">
        <v>57</v>
      </c>
      <c r="I194" s="128" t="s">
        <v>1218</v>
      </c>
      <c r="J194" s="128" t="s">
        <v>30</v>
      </c>
      <c r="K194" s="128" t="s">
        <v>52</v>
      </c>
      <c r="L194" s="128">
        <v>73014</v>
      </c>
      <c r="M194" s="128" t="s">
        <v>1215</v>
      </c>
      <c r="N194" s="128"/>
      <c r="O194" s="156"/>
      <c r="P194" s="157">
        <v>55000</v>
      </c>
      <c r="Q194" s="61">
        <v>27067.83</v>
      </c>
      <c r="R194" s="63">
        <f t="shared" si="26"/>
        <v>0.49214236363636366</v>
      </c>
      <c r="S194" s="61">
        <v>5000</v>
      </c>
      <c r="T194" s="61">
        <v>1216.52</v>
      </c>
      <c r="U194" s="63">
        <f t="shared" si="27"/>
        <v>0.24330399999999999</v>
      </c>
      <c r="V194" s="61">
        <v>11736.320112642719</v>
      </c>
      <c r="W194" s="61">
        <v>4660.87</v>
      </c>
      <c r="X194" s="63">
        <f t="shared" si="28"/>
        <v>0.39713214664102164</v>
      </c>
      <c r="Y194" s="61">
        <v>973</v>
      </c>
      <c r="Z194" s="102">
        <v>0</v>
      </c>
      <c r="AA194" s="63">
        <f t="shared" si="29"/>
        <v>0</v>
      </c>
      <c r="AB194" s="61">
        <v>9</v>
      </c>
      <c r="AC194" s="61">
        <v>0</v>
      </c>
      <c r="AD194" s="63">
        <f t="shared" si="30"/>
        <v>0</v>
      </c>
      <c r="AE194" s="61">
        <v>1</v>
      </c>
      <c r="AF194" s="61">
        <v>1</v>
      </c>
      <c r="AG194" s="63">
        <f t="shared" si="31"/>
        <v>1</v>
      </c>
      <c r="AH194" s="61">
        <v>48.732208127109786</v>
      </c>
      <c r="AI194" s="61">
        <v>33</v>
      </c>
      <c r="AJ194" s="63">
        <f t="shared" si="32"/>
        <v>0.67717021797832433</v>
      </c>
      <c r="AK194" s="61">
        <v>1.5919818145092635</v>
      </c>
      <c r="AL194" s="61">
        <v>3</v>
      </c>
      <c r="AM194" s="63">
        <f t="shared" si="33"/>
        <v>1.8844436366408905</v>
      </c>
      <c r="AN194" s="61">
        <v>2.8850180307742903</v>
      </c>
      <c r="AO194" s="61">
        <v>0</v>
      </c>
      <c r="AP194" s="63">
        <f t="shared" si="34"/>
        <v>0</v>
      </c>
      <c r="AQ194" s="61">
        <v>2.6883176108158651</v>
      </c>
      <c r="AR194" s="61">
        <v>0</v>
      </c>
      <c r="AS194" s="63">
        <f t="shared" si="35"/>
        <v>0</v>
      </c>
      <c r="AT194" s="61">
        <v>0</v>
      </c>
      <c r="AU194" s="61">
        <v>0</v>
      </c>
      <c r="AV194" s="63" t="e">
        <f t="shared" si="36"/>
        <v>#DIV/0!</v>
      </c>
      <c r="AW194" s="61">
        <v>1.6096715061703071</v>
      </c>
      <c r="AX194" s="61">
        <v>0</v>
      </c>
      <c r="AY194" s="63">
        <f t="shared" si="37"/>
        <v>0</v>
      </c>
      <c r="AZ194" s="61">
        <v>3</v>
      </c>
      <c r="BA194" s="61">
        <v>0</v>
      </c>
      <c r="BB194" s="63">
        <f t="shared" si="38"/>
        <v>0</v>
      </c>
    </row>
    <row r="195" spans="1:87" x14ac:dyDescent="0.25">
      <c r="A195" s="236">
        <v>21303</v>
      </c>
      <c r="B195" s="236">
        <v>21645</v>
      </c>
      <c r="C195" s="236">
        <v>1044656633</v>
      </c>
      <c r="D195" s="236" t="s">
        <v>762</v>
      </c>
      <c r="E195" s="236" t="s">
        <v>546</v>
      </c>
      <c r="F195" s="236" t="s">
        <v>546</v>
      </c>
      <c r="G195" s="236" t="s">
        <v>56</v>
      </c>
      <c r="H195" s="236" t="s">
        <v>56</v>
      </c>
      <c r="I195" s="236" t="s">
        <v>1218</v>
      </c>
      <c r="J195" s="236" t="s">
        <v>30</v>
      </c>
      <c r="K195" s="236" t="s">
        <v>52</v>
      </c>
      <c r="L195" s="236">
        <v>73014</v>
      </c>
      <c r="M195" s="236" t="s">
        <v>1215</v>
      </c>
      <c r="N195" s="236"/>
      <c r="O195" s="237"/>
      <c r="P195" s="238">
        <v>57326</v>
      </c>
      <c r="Q195" s="61">
        <v>59083.5</v>
      </c>
      <c r="R195" s="63">
        <f t="shared" si="26"/>
        <v>1.0306579911384015</v>
      </c>
      <c r="S195" s="61">
        <v>5275</v>
      </c>
      <c r="T195" s="61">
        <v>7475.66</v>
      </c>
      <c r="U195" s="63">
        <f t="shared" si="27"/>
        <v>1.4171867298578198</v>
      </c>
      <c r="V195" s="61">
        <v>11715.530512351252</v>
      </c>
      <c r="W195" s="61">
        <v>14145.23</v>
      </c>
      <c r="X195" s="63">
        <f t="shared" si="28"/>
        <v>1.2073913328199013</v>
      </c>
      <c r="Y195" s="61">
        <v>973</v>
      </c>
      <c r="Z195" s="102">
        <v>0</v>
      </c>
      <c r="AA195" s="63">
        <f t="shared" si="29"/>
        <v>0</v>
      </c>
      <c r="AB195" s="61">
        <v>9</v>
      </c>
      <c r="AC195" s="61">
        <v>2</v>
      </c>
      <c r="AD195" s="63">
        <f t="shared" si="30"/>
        <v>0.22222222222222221</v>
      </c>
      <c r="AE195" s="61">
        <v>1</v>
      </c>
      <c r="AF195" s="61">
        <v>1</v>
      </c>
      <c r="AG195" s="63">
        <f t="shared" si="31"/>
        <v>1</v>
      </c>
      <c r="AH195" s="61">
        <v>49.698734142998511</v>
      </c>
      <c r="AI195" s="61">
        <v>20</v>
      </c>
      <c r="AJ195" s="63">
        <f t="shared" si="32"/>
        <v>0.4024247366633899</v>
      </c>
      <c r="AK195" s="61">
        <v>1.5919818145092635</v>
      </c>
      <c r="AL195" s="61">
        <v>1</v>
      </c>
      <c r="AM195" s="63">
        <f t="shared" si="33"/>
        <v>0.62814787888029688</v>
      </c>
      <c r="AN195" s="61">
        <v>2.1637635230807177</v>
      </c>
      <c r="AO195" s="61">
        <v>0</v>
      </c>
      <c r="AP195" s="63">
        <f t="shared" si="34"/>
        <v>0</v>
      </c>
      <c r="AQ195" s="61">
        <v>2.6883176108158651</v>
      </c>
      <c r="AR195" s="61">
        <v>2</v>
      </c>
      <c r="AS195" s="63">
        <f t="shared" si="35"/>
        <v>0.74395971367126867</v>
      </c>
      <c r="AT195" s="61">
        <v>0</v>
      </c>
      <c r="AU195" s="61">
        <v>0</v>
      </c>
      <c r="AV195" s="63" t="e">
        <f t="shared" si="36"/>
        <v>#DIV/0!</v>
      </c>
      <c r="AW195" s="61">
        <v>1.6777459775039822</v>
      </c>
      <c r="AX195" s="61">
        <v>0</v>
      </c>
      <c r="AY195" s="63">
        <f t="shared" si="37"/>
        <v>0</v>
      </c>
      <c r="AZ195" s="61">
        <v>3</v>
      </c>
      <c r="BA195" s="61">
        <v>0</v>
      </c>
      <c r="BB195" s="63">
        <f t="shared" si="38"/>
        <v>0</v>
      </c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</row>
    <row r="196" spans="1:87" x14ac:dyDescent="0.25">
      <c r="A196" s="128">
        <v>21672</v>
      </c>
      <c r="B196" s="128">
        <v>21645</v>
      </c>
      <c r="C196" s="128">
        <v>1044200820</v>
      </c>
      <c r="D196" s="128" t="s">
        <v>760</v>
      </c>
      <c r="E196" s="128" t="s">
        <v>546</v>
      </c>
      <c r="F196" s="128" t="s">
        <v>546</v>
      </c>
      <c r="G196" s="128" t="s">
        <v>54</v>
      </c>
      <c r="H196" s="128" t="s">
        <v>54</v>
      </c>
      <c r="I196" s="128" t="s">
        <v>1218</v>
      </c>
      <c r="J196" s="128" t="s">
        <v>30</v>
      </c>
      <c r="K196" s="128" t="s">
        <v>52</v>
      </c>
      <c r="L196" s="128">
        <v>73014</v>
      </c>
      <c r="M196" s="128" t="s">
        <v>1215</v>
      </c>
      <c r="N196" s="128"/>
      <c r="O196" s="156"/>
      <c r="P196" s="157">
        <v>54000</v>
      </c>
      <c r="Q196" s="61">
        <v>39860.910000000003</v>
      </c>
      <c r="R196" s="63">
        <f t="shared" ref="R196:R259" si="39">Q196/P196</f>
        <v>0.73816500000000007</v>
      </c>
      <c r="S196" s="61">
        <v>5020</v>
      </c>
      <c r="T196" s="61">
        <v>0</v>
      </c>
      <c r="U196" s="63">
        <f t="shared" ref="U196:U259" si="40">T196/S196</f>
        <v>0</v>
      </c>
      <c r="V196" s="61">
        <v>11719.828779066496</v>
      </c>
      <c r="W196" s="61">
        <v>15401.219999999998</v>
      </c>
      <c r="X196" s="63">
        <f t="shared" ref="X196:X259" si="41">W196/V196</f>
        <v>1.3141164679392807</v>
      </c>
      <c r="Y196" s="61">
        <v>973</v>
      </c>
      <c r="Z196" s="102">
        <v>0</v>
      </c>
      <c r="AA196" s="63">
        <f t="shared" ref="AA196:AA259" si="42">Z196/Y196</f>
        <v>0</v>
      </c>
      <c r="AB196" s="61">
        <v>9</v>
      </c>
      <c r="AC196" s="61">
        <v>2</v>
      </c>
      <c r="AD196" s="63">
        <f t="shared" ref="AD196:AD259" si="43">AC196/AB196</f>
        <v>0.22222222222222221</v>
      </c>
      <c r="AE196" s="61">
        <v>1</v>
      </c>
      <c r="AF196" s="61">
        <v>0</v>
      </c>
      <c r="AG196" s="63">
        <f t="shared" ref="AG196:AG259" si="44">AF196/AE196</f>
        <v>0</v>
      </c>
      <c r="AH196" s="61">
        <v>49.698734142998511</v>
      </c>
      <c r="AI196" s="61">
        <v>25</v>
      </c>
      <c r="AJ196" s="63">
        <f t="shared" ref="AJ196:AJ259" si="45">AI196/AH196</f>
        <v>0.50303092082923739</v>
      </c>
      <c r="AK196" s="61">
        <v>1.5919818145092635</v>
      </c>
      <c r="AL196" s="61">
        <v>4</v>
      </c>
      <c r="AM196" s="63">
        <f t="shared" ref="AM196:AM259" si="46">AL196/AK196</f>
        <v>2.5125915155211875</v>
      </c>
      <c r="AN196" s="61">
        <v>2.1637635230807177</v>
      </c>
      <c r="AO196" s="61">
        <v>0</v>
      </c>
      <c r="AP196" s="63">
        <f t="shared" ref="AP196:AP259" si="47">AO196/AN196</f>
        <v>0</v>
      </c>
      <c r="AQ196" s="61">
        <v>2.6883176108158651</v>
      </c>
      <c r="AR196" s="61">
        <v>2</v>
      </c>
      <c r="AS196" s="63">
        <f t="shared" ref="AS196:AS259" si="48">AR196/AQ196</f>
        <v>0.74395971367126867</v>
      </c>
      <c r="AT196" s="61">
        <v>0</v>
      </c>
      <c r="AU196" s="61">
        <v>0</v>
      </c>
      <c r="AV196" s="63" t="e">
        <f t="shared" ref="AV196:AV259" si="49">AU196/AT196</f>
        <v>#DIV/0!</v>
      </c>
      <c r="AW196" s="61">
        <v>1.5804047515126651</v>
      </c>
      <c r="AX196" s="61">
        <v>0</v>
      </c>
      <c r="AY196" s="63">
        <f t="shared" ref="AY196:AY259" si="50">AX196/AW196</f>
        <v>0</v>
      </c>
      <c r="AZ196" s="61">
        <v>3</v>
      </c>
      <c r="BA196" s="61">
        <v>3</v>
      </c>
      <c r="BB196" s="63">
        <f t="shared" ref="BB196:BB259" si="51">BA196/AZ196</f>
        <v>1</v>
      </c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</row>
    <row r="197" spans="1:87" x14ac:dyDescent="0.25">
      <c r="A197" s="128">
        <v>21671</v>
      </c>
      <c r="B197" s="128">
        <v>21645</v>
      </c>
      <c r="C197" s="128">
        <v>1028584595</v>
      </c>
      <c r="D197" s="128" t="s">
        <v>764</v>
      </c>
      <c r="E197" s="128" t="s">
        <v>546</v>
      </c>
      <c r="F197" s="128" t="s">
        <v>546</v>
      </c>
      <c r="G197" s="128" t="s">
        <v>58</v>
      </c>
      <c r="H197" s="128" t="s">
        <v>58</v>
      </c>
      <c r="I197" s="128" t="s">
        <v>1218</v>
      </c>
      <c r="J197" s="128" t="s">
        <v>30</v>
      </c>
      <c r="K197" s="128" t="s">
        <v>52</v>
      </c>
      <c r="L197" s="128">
        <v>73014</v>
      </c>
      <c r="M197" s="128" t="s">
        <v>1207</v>
      </c>
      <c r="N197" s="128"/>
      <c r="O197" s="156">
        <v>0.5</v>
      </c>
      <c r="P197" s="157">
        <v>24163</v>
      </c>
      <c r="Q197" s="61">
        <v>32440.89</v>
      </c>
      <c r="R197" s="63">
        <f t="shared" si="39"/>
        <v>1.3425853577784215</v>
      </c>
      <c r="S197" s="61">
        <v>2903</v>
      </c>
      <c r="T197" s="61">
        <v>0</v>
      </c>
      <c r="U197" s="63">
        <f t="shared" si="40"/>
        <v>0</v>
      </c>
      <c r="V197" s="61">
        <v>4297.5574197510796</v>
      </c>
      <c r="W197" s="61">
        <v>6264.35</v>
      </c>
      <c r="X197" s="63">
        <f t="shared" si="41"/>
        <v>1.457653589736758</v>
      </c>
      <c r="Y197" s="61">
        <v>355</v>
      </c>
      <c r="Z197" s="102">
        <v>0</v>
      </c>
      <c r="AA197" s="63">
        <f t="shared" si="42"/>
        <v>0</v>
      </c>
      <c r="AB197" s="61">
        <v>3</v>
      </c>
      <c r="AC197" s="61">
        <v>1</v>
      </c>
      <c r="AD197" s="63">
        <f t="shared" si="43"/>
        <v>0.33333333333333331</v>
      </c>
      <c r="AE197" s="61">
        <v>1</v>
      </c>
      <c r="AF197" s="61">
        <v>0</v>
      </c>
      <c r="AG197" s="63">
        <f t="shared" si="44"/>
        <v>0</v>
      </c>
      <c r="AH197" s="61">
        <v>15.933052031777446</v>
      </c>
      <c r="AI197" s="61">
        <v>22</v>
      </c>
      <c r="AJ197" s="63">
        <f t="shared" si="45"/>
        <v>1.3807775155772049</v>
      </c>
      <c r="AK197" s="61">
        <v>0.79599090725463173</v>
      </c>
      <c r="AL197" s="61">
        <v>1</v>
      </c>
      <c r="AM197" s="63">
        <f t="shared" si="46"/>
        <v>1.2562957577605938</v>
      </c>
      <c r="AN197" s="61">
        <v>0.72125450769357258</v>
      </c>
      <c r="AO197" s="61">
        <v>1</v>
      </c>
      <c r="AP197" s="63">
        <f t="shared" si="47"/>
        <v>1.3864731371978523</v>
      </c>
      <c r="AQ197" s="61">
        <v>14.33769392435128</v>
      </c>
      <c r="AR197" s="61">
        <v>2</v>
      </c>
      <c r="AS197" s="63">
        <f t="shared" si="48"/>
        <v>0.13949244631336288</v>
      </c>
      <c r="AT197" s="61">
        <v>0</v>
      </c>
      <c r="AU197" s="61">
        <v>0</v>
      </c>
      <c r="AV197" s="63" t="e">
        <f t="shared" si="49"/>
        <v>#DIV/0!</v>
      </c>
      <c r="AW197" s="61">
        <v>0.70717259279260236</v>
      </c>
      <c r="AX197" s="61">
        <v>0</v>
      </c>
      <c r="AY197" s="63">
        <f t="shared" si="50"/>
        <v>0</v>
      </c>
      <c r="AZ197" s="61">
        <v>1</v>
      </c>
      <c r="BA197" s="61">
        <v>1</v>
      </c>
      <c r="BB197" s="63">
        <f t="shared" si="51"/>
        <v>1</v>
      </c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</row>
    <row r="198" spans="1:87" x14ac:dyDescent="0.25">
      <c r="A198" s="128">
        <v>19273</v>
      </c>
      <c r="B198" s="128">
        <v>17055</v>
      </c>
      <c r="C198" s="128">
        <v>1123088518</v>
      </c>
      <c r="D198" s="128" t="s">
        <v>767</v>
      </c>
      <c r="E198" s="128" t="s">
        <v>541</v>
      </c>
      <c r="F198" s="128" t="s">
        <v>541</v>
      </c>
      <c r="G198" s="128" t="s">
        <v>63</v>
      </c>
      <c r="H198" s="128" t="s">
        <v>63</v>
      </c>
      <c r="I198" s="128" t="s">
        <v>1218</v>
      </c>
      <c r="J198" s="128" t="s">
        <v>30</v>
      </c>
      <c r="K198" s="128" t="s">
        <v>768</v>
      </c>
      <c r="L198" s="128">
        <v>73024</v>
      </c>
      <c r="M198" s="128"/>
      <c r="N198" s="128"/>
      <c r="O198" s="156"/>
      <c r="P198" s="157">
        <v>817165</v>
      </c>
      <c r="Q198" s="61">
        <v>0</v>
      </c>
      <c r="R198" s="63">
        <f t="shared" si="39"/>
        <v>0</v>
      </c>
      <c r="S198" s="61">
        <v>82604</v>
      </c>
      <c r="T198" s="61">
        <v>0</v>
      </c>
      <c r="U198" s="63">
        <f t="shared" si="40"/>
        <v>0</v>
      </c>
      <c r="V198" s="61">
        <v>165521.30159005881</v>
      </c>
      <c r="W198" s="61">
        <v>0</v>
      </c>
      <c r="X198" s="63">
        <f t="shared" si="41"/>
        <v>0</v>
      </c>
      <c r="Y198" s="61">
        <v>9233</v>
      </c>
      <c r="Z198" s="102">
        <v>0</v>
      </c>
      <c r="AA198" s="63">
        <f t="shared" si="42"/>
        <v>0</v>
      </c>
      <c r="AB198" s="61">
        <v>126</v>
      </c>
      <c r="AC198" s="61">
        <v>0</v>
      </c>
      <c r="AD198" s="63">
        <f t="shared" si="43"/>
        <v>0</v>
      </c>
      <c r="AE198" s="61">
        <v>18</v>
      </c>
      <c r="AF198" s="61">
        <v>0</v>
      </c>
      <c r="AG198" s="63">
        <f t="shared" si="44"/>
        <v>0</v>
      </c>
      <c r="AH198" s="61">
        <v>690.15049182720315</v>
      </c>
      <c r="AI198" s="61">
        <v>2</v>
      </c>
      <c r="AJ198" s="63">
        <f t="shared" si="45"/>
        <v>2.8979186767003726E-3</v>
      </c>
      <c r="AK198" s="61">
        <v>24.675718124893585</v>
      </c>
      <c r="AL198" s="61">
        <v>0</v>
      </c>
      <c r="AM198" s="63">
        <f t="shared" si="46"/>
        <v>0</v>
      </c>
      <c r="AN198" s="61">
        <v>44.7177794770015</v>
      </c>
      <c r="AO198" s="61">
        <v>2</v>
      </c>
      <c r="AP198" s="63">
        <f t="shared" si="47"/>
        <v>4.4724939909608137E-2</v>
      </c>
      <c r="AQ198" s="61">
        <v>58.246881567677072</v>
      </c>
      <c r="AR198" s="61">
        <v>0</v>
      </c>
      <c r="AS198" s="63">
        <f t="shared" si="48"/>
        <v>0</v>
      </c>
      <c r="AT198" s="61">
        <v>71</v>
      </c>
      <c r="AU198" s="61">
        <v>0</v>
      </c>
      <c r="AV198" s="63">
        <f t="shared" si="49"/>
        <v>0</v>
      </c>
      <c r="AW198" s="61">
        <v>23.915767569811983</v>
      </c>
      <c r="AX198" s="61">
        <v>0</v>
      </c>
      <c r="AY198" s="63">
        <f t="shared" si="50"/>
        <v>0</v>
      </c>
      <c r="AZ198" s="61">
        <v>54</v>
      </c>
      <c r="BA198" s="61">
        <v>0</v>
      </c>
      <c r="BB198" s="63">
        <f t="shared" si="51"/>
        <v>0</v>
      </c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</row>
    <row r="199" spans="1:87" x14ac:dyDescent="0.25">
      <c r="A199" s="128">
        <v>836</v>
      </c>
      <c r="B199" s="128">
        <v>19273</v>
      </c>
      <c r="C199" s="128">
        <v>1058083260</v>
      </c>
      <c r="D199" s="128" t="s">
        <v>769</v>
      </c>
      <c r="E199" s="128" t="s">
        <v>544</v>
      </c>
      <c r="F199" s="128" t="s">
        <v>544</v>
      </c>
      <c r="G199" s="128" t="s">
        <v>64</v>
      </c>
      <c r="H199" s="128" t="s">
        <v>65</v>
      </c>
      <c r="I199" s="128" t="s">
        <v>1218</v>
      </c>
      <c r="J199" s="128" t="s">
        <v>30</v>
      </c>
      <c r="K199" s="128" t="s">
        <v>768</v>
      </c>
      <c r="L199" s="128">
        <v>73024</v>
      </c>
      <c r="M199" s="128"/>
      <c r="N199" s="128"/>
      <c r="O199" s="156"/>
      <c r="P199" s="157">
        <v>817165</v>
      </c>
      <c r="Q199" s="61">
        <v>0</v>
      </c>
      <c r="R199" s="63">
        <f t="shared" si="39"/>
        <v>0</v>
      </c>
      <c r="S199" s="61">
        <v>82604</v>
      </c>
      <c r="T199" s="61">
        <v>0</v>
      </c>
      <c r="U199" s="63">
        <f t="shared" si="40"/>
        <v>0</v>
      </c>
      <c r="V199" s="61">
        <v>165521.30159005881</v>
      </c>
      <c r="W199" s="61">
        <v>0</v>
      </c>
      <c r="X199" s="63">
        <f t="shared" si="41"/>
        <v>0</v>
      </c>
      <c r="Y199" s="61">
        <v>9233</v>
      </c>
      <c r="Z199" s="102">
        <v>0</v>
      </c>
      <c r="AA199" s="63">
        <f t="shared" si="42"/>
        <v>0</v>
      </c>
      <c r="AB199" s="61">
        <v>126</v>
      </c>
      <c r="AC199" s="61">
        <v>0</v>
      </c>
      <c r="AD199" s="63">
        <f t="shared" si="43"/>
        <v>0</v>
      </c>
      <c r="AE199" s="61">
        <v>18</v>
      </c>
      <c r="AF199" s="61">
        <v>0</v>
      </c>
      <c r="AG199" s="63">
        <f t="shared" si="44"/>
        <v>0</v>
      </c>
      <c r="AH199" s="61">
        <v>690.15049182720315</v>
      </c>
      <c r="AI199" s="61">
        <v>0</v>
      </c>
      <c r="AJ199" s="63">
        <f t="shared" si="45"/>
        <v>0</v>
      </c>
      <c r="AK199" s="61">
        <v>24.675718124893585</v>
      </c>
      <c r="AL199" s="61">
        <v>0</v>
      </c>
      <c r="AM199" s="63">
        <f t="shared" si="46"/>
        <v>0</v>
      </c>
      <c r="AN199" s="61">
        <v>44.7177794770015</v>
      </c>
      <c r="AO199" s="61">
        <v>2</v>
      </c>
      <c r="AP199" s="63">
        <f t="shared" si="47"/>
        <v>4.4724939909608137E-2</v>
      </c>
      <c r="AQ199" s="61">
        <v>58.246881567677072</v>
      </c>
      <c r="AR199" s="61">
        <v>0</v>
      </c>
      <c r="AS199" s="63">
        <f t="shared" si="48"/>
        <v>0</v>
      </c>
      <c r="AT199" s="61">
        <v>71</v>
      </c>
      <c r="AU199" s="61">
        <v>0</v>
      </c>
      <c r="AV199" s="63">
        <f t="shared" si="49"/>
        <v>0</v>
      </c>
      <c r="AW199" s="61">
        <v>23.915767569811983</v>
      </c>
      <c r="AX199" s="61">
        <v>0</v>
      </c>
      <c r="AY199" s="63">
        <f t="shared" si="50"/>
        <v>0</v>
      </c>
      <c r="AZ199" s="61">
        <v>54</v>
      </c>
      <c r="BA199" s="61">
        <v>0</v>
      </c>
      <c r="BB199" s="63">
        <f t="shared" si="51"/>
        <v>0</v>
      </c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</row>
    <row r="200" spans="1:87" x14ac:dyDescent="0.25">
      <c r="A200" s="227">
        <v>21781</v>
      </c>
      <c r="B200" s="227">
        <v>836</v>
      </c>
      <c r="C200" s="227">
        <v>1029769542</v>
      </c>
      <c r="D200" s="227" t="s">
        <v>775</v>
      </c>
      <c r="E200" s="227" t="s">
        <v>546</v>
      </c>
      <c r="F200" s="227" t="s">
        <v>546</v>
      </c>
      <c r="G200" s="227" t="s">
        <v>39</v>
      </c>
      <c r="H200" s="227" t="s">
        <v>39</v>
      </c>
      <c r="I200" s="227" t="s">
        <v>1218</v>
      </c>
      <c r="J200" s="227" t="s">
        <v>30</v>
      </c>
      <c r="K200" s="227" t="s">
        <v>768</v>
      </c>
      <c r="L200" s="227">
        <v>73024</v>
      </c>
      <c r="M200" s="227" t="s">
        <v>1145</v>
      </c>
      <c r="N200" s="227"/>
      <c r="O200" s="239">
        <v>0.2</v>
      </c>
      <c r="P200" s="240">
        <v>129708.8</v>
      </c>
      <c r="Q200" s="61">
        <v>157205.24</v>
      </c>
      <c r="R200" s="63">
        <f t="shared" si="39"/>
        <v>1.2119859253959637</v>
      </c>
      <c r="S200" s="61">
        <v>12611.8</v>
      </c>
      <c r="T200" s="61">
        <v>3216.52</v>
      </c>
      <c r="U200" s="63">
        <f t="shared" si="40"/>
        <v>0.25504051761049179</v>
      </c>
      <c r="V200" s="61">
        <v>26273.112880655539</v>
      </c>
      <c r="W200" s="61">
        <v>18409.989999999998</v>
      </c>
      <c r="X200" s="63">
        <f t="shared" si="41"/>
        <v>0.70071597848441369</v>
      </c>
      <c r="Y200" s="61">
        <v>0</v>
      </c>
      <c r="Z200" s="102">
        <v>0</v>
      </c>
      <c r="AA200" s="63" t="e">
        <f t="shared" si="42"/>
        <v>#DIV/0!</v>
      </c>
      <c r="AB200" s="61">
        <v>19</v>
      </c>
      <c r="AC200" s="61">
        <v>20</v>
      </c>
      <c r="AD200" s="63">
        <f t="shared" si="43"/>
        <v>1.0526315789473684</v>
      </c>
      <c r="AE200" s="61">
        <v>3</v>
      </c>
      <c r="AF200" s="61">
        <v>1</v>
      </c>
      <c r="AG200" s="63">
        <f t="shared" si="44"/>
        <v>0.33333333333333331</v>
      </c>
      <c r="AH200" s="61">
        <v>109.58742609076364</v>
      </c>
      <c r="AI200" s="61">
        <v>23</v>
      </c>
      <c r="AJ200" s="63">
        <f t="shared" si="45"/>
        <v>0.2098780929570396</v>
      </c>
      <c r="AK200" s="61">
        <v>3.7411572640967692</v>
      </c>
      <c r="AL200" s="61">
        <v>0</v>
      </c>
      <c r="AM200" s="63">
        <f t="shared" si="46"/>
        <v>0</v>
      </c>
      <c r="AN200" s="61">
        <v>7.0682941753970114</v>
      </c>
      <c r="AO200" s="61">
        <v>6</v>
      </c>
      <c r="AP200" s="63">
        <f t="shared" si="47"/>
        <v>0.84886110440684825</v>
      </c>
      <c r="AQ200" s="61">
        <v>7.7961210713660076</v>
      </c>
      <c r="AR200" s="61">
        <v>7</v>
      </c>
      <c r="AS200" s="63">
        <f t="shared" si="48"/>
        <v>0.89788241305153127</v>
      </c>
      <c r="AT200" s="61">
        <v>6</v>
      </c>
      <c r="AU200" s="61">
        <v>1</v>
      </c>
      <c r="AV200" s="63">
        <f t="shared" si="49"/>
        <v>0.16666666666666666</v>
      </c>
      <c r="AW200" s="61">
        <v>3.7961556265371477</v>
      </c>
      <c r="AX200" s="61">
        <v>0</v>
      </c>
      <c r="AY200" s="63">
        <f t="shared" si="50"/>
        <v>0</v>
      </c>
      <c r="AZ200" s="61">
        <v>8.3000000000000007</v>
      </c>
      <c r="BA200" s="61">
        <v>4</v>
      </c>
      <c r="BB200" s="63">
        <f t="shared" si="51"/>
        <v>0.48192771084337344</v>
      </c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</row>
    <row r="201" spans="1:87" x14ac:dyDescent="0.25">
      <c r="A201" s="236">
        <v>3529</v>
      </c>
      <c r="B201" s="236">
        <v>836</v>
      </c>
      <c r="C201" s="236">
        <v>1047519184</v>
      </c>
      <c r="D201" s="236" t="s">
        <v>776</v>
      </c>
      <c r="E201" s="236" t="s">
        <v>546</v>
      </c>
      <c r="F201" s="236" t="s">
        <v>546</v>
      </c>
      <c r="G201" s="236" t="s">
        <v>474</v>
      </c>
      <c r="H201" s="236" t="s">
        <v>475</v>
      </c>
      <c r="I201" s="236" t="s">
        <v>1218</v>
      </c>
      <c r="J201" s="236" t="s">
        <v>30</v>
      </c>
      <c r="K201" s="236" t="s">
        <v>768</v>
      </c>
      <c r="L201" s="236">
        <v>73024</v>
      </c>
      <c r="M201" s="236" t="s">
        <v>1215</v>
      </c>
      <c r="N201" s="236"/>
      <c r="O201" s="237"/>
      <c r="P201" s="238">
        <v>127708.8</v>
      </c>
      <c r="Q201" s="61">
        <v>50979.14</v>
      </c>
      <c r="R201" s="63">
        <f t="shared" si="39"/>
        <v>0.39918267182840961</v>
      </c>
      <c r="S201" s="61">
        <v>13411.7</v>
      </c>
      <c r="T201" s="61">
        <v>0</v>
      </c>
      <c r="U201" s="63">
        <f t="shared" si="40"/>
        <v>0</v>
      </c>
      <c r="V201" s="61">
        <v>26273.112880655539</v>
      </c>
      <c r="W201" s="61">
        <v>4174.3500000000004</v>
      </c>
      <c r="X201" s="63">
        <f t="shared" si="41"/>
        <v>0.15888296217360318</v>
      </c>
      <c r="Y201" s="61">
        <v>0</v>
      </c>
      <c r="Z201" s="102">
        <v>0</v>
      </c>
      <c r="AA201" s="63" t="e">
        <f t="shared" si="42"/>
        <v>#DIV/0!</v>
      </c>
      <c r="AB201" s="61">
        <v>19</v>
      </c>
      <c r="AC201" s="61">
        <v>3</v>
      </c>
      <c r="AD201" s="63">
        <f t="shared" si="43"/>
        <v>0.15789473684210525</v>
      </c>
      <c r="AE201" s="61">
        <v>2</v>
      </c>
      <c r="AF201" s="61">
        <v>0</v>
      </c>
      <c r="AG201" s="63">
        <f t="shared" si="44"/>
        <v>0</v>
      </c>
      <c r="AH201" s="61">
        <v>109.58742609076364</v>
      </c>
      <c r="AI201" s="61">
        <v>32</v>
      </c>
      <c r="AJ201" s="63">
        <f t="shared" si="45"/>
        <v>0.29200430324457688</v>
      </c>
      <c r="AK201" s="61">
        <v>3.7411572640967692</v>
      </c>
      <c r="AL201" s="61">
        <v>0</v>
      </c>
      <c r="AM201" s="63">
        <f t="shared" si="46"/>
        <v>0</v>
      </c>
      <c r="AN201" s="61">
        <v>7.0682941753970114</v>
      </c>
      <c r="AO201" s="61">
        <v>6</v>
      </c>
      <c r="AP201" s="63">
        <f t="shared" si="47"/>
        <v>0.84886110440684825</v>
      </c>
      <c r="AQ201" s="61">
        <v>7.7961210713660076</v>
      </c>
      <c r="AR201" s="61">
        <v>3</v>
      </c>
      <c r="AS201" s="63">
        <f t="shared" si="48"/>
        <v>0.38480674845065627</v>
      </c>
      <c r="AT201" s="61">
        <v>6</v>
      </c>
      <c r="AU201" s="61">
        <v>1</v>
      </c>
      <c r="AV201" s="63">
        <f t="shared" si="49"/>
        <v>0.16666666666666666</v>
      </c>
      <c r="AW201" s="61">
        <v>3.7376221172218638</v>
      </c>
      <c r="AX201" s="61">
        <v>0</v>
      </c>
      <c r="AY201" s="63">
        <f t="shared" si="50"/>
        <v>0</v>
      </c>
      <c r="AZ201" s="61">
        <v>8.3000000000000007</v>
      </c>
      <c r="BA201" s="61">
        <v>0</v>
      </c>
      <c r="BB201" s="63">
        <f t="shared" si="51"/>
        <v>0</v>
      </c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</row>
    <row r="202" spans="1:87" x14ac:dyDescent="0.25">
      <c r="A202" s="128">
        <v>10821</v>
      </c>
      <c r="B202" s="128">
        <v>836</v>
      </c>
      <c r="C202" s="128">
        <v>1073291187</v>
      </c>
      <c r="D202" s="128" t="s">
        <v>772</v>
      </c>
      <c r="E202" s="128" t="s">
        <v>546</v>
      </c>
      <c r="F202" s="128" t="s">
        <v>546</v>
      </c>
      <c r="G202" s="128" t="s">
        <v>372</v>
      </c>
      <c r="H202" s="128" t="s">
        <v>373</v>
      </c>
      <c r="I202" s="128" t="s">
        <v>1218</v>
      </c>
      <c r="J202" s="128" t="s">
        <v>30</v>
      </c>
      <c r="K202" s="128" t="s">
        <v>768</v>
      </c>
      <c r="L202" s="128">
        <v>73024</v>
      </c>
      <c r="M202" s="128" t="s">
        <v>1207</v>
      </c>
      <c r="N202" s="128"/>
      <c r="O202" s="156">
        <v>0.25</v>
      </c>
      <c r="P202" s="157">
        <v>94281.600000000006</v>
      </c>
      <c r="Q202" s="61">
        <v>83260.899999999994</v>
      </c>
      <c r="R202" s="63">
        <f t="shared" si="39"/>
        <v>0.88310868716695501</v>
      </c>
      <c r="S202" s="61">
        <v>10033.775000000001</v>
      </c>
      <c r="T202" s="61">
        <v>0</v>
      </c>
      <c r="U202" s="63">
        <f t="shared" si="40"/>
        <v>0</v>
      </c>
      <c r="V202" s="61">
        <v>19704.834660491651</v>
      </c>
      <c r="W202" s="61">
        <v>6542.61</v>
      </c>
      <c r="X202" s="63">
        <f t="shared" si="41"/>
        <v>0.33203069768040144</v>
      </c>
      <c r="Y202" s="61">
        <v>2309.25</v>
      </c>
      <c r="Z202" s="102">
        <v>1607</v>
      </c>
      <c r="AA202" s="63">
        <f t="shared" si="42"/>
        <v>0.69589693623470827</v>
      </c>
      <c r="AB202" s="61">
        <v>15</v>
      </c>
      <c r="AC202" s="61">
        <v>12</v>
      </c>
      <c r="AD202" s="63">
        <f t="shared" si="43"/>
        <v>0.8</v>
      </c>
      <c r="AE202" s="61">
        <v>2</v>
      </c>
      <c r="AF202" s="61">
        <v>5</v>
      </c>
      <c r="AG202" s="63">
        <f t="shared" si="44"/>
        <v>2.5</v>
      </c>
      <c r="AH202" s="61">
        <v>82.190569568072746</v>
      </c>
      <c r="AI202" s="61">
        <v>30</v>
      </c>
      <c r="AJ202" s="63">
        <f t="shared" si="45"/>
        <v>0.365005379055721</v>
      </c>
      <c r="AK202" s="61">
        <v>2.805867948072577</v>
      </c>
      <c r="AL202" s="61">
        <v>2</v>
      </c>
      <c r="AM202" s="63">
        <f t="shared" si="46"/>
        <v>0.71279191929679064</v>
      </c>
      <c r="AN202" s="61">
        <v>5.3012206315477588</v>
      </c>
      <c r="AO202" s="61">
        <v>3</v>
      </c>
      <c r="AP202" s="63">
        <f t="shared" si="47"/>
        <v>0.56590740293789887</v>
      </c>
      <c r="AQ202" s="61">
        <v>6.2727410919036846</v>
      </c>
      <c r="AR202" s="61">
        <v>2</v>
      </c>
      <c r="AS202" s="63">
        <f t="shared" si="48"/>
        <v>0.31883987728768659</v>
      </c>
      <c r="AT202" s="61">
        <v>4.5</v>
      </c>
      <c r="AU202" s="61">
        <v>0</v>
      </c>
      <c r="AV202" s="63">
        <f t="shared" si="49"/>
        <v>0</v>
      </c>
      <c r="AW202" s="61">
        <v>2.7593164559299352</v>
      </c>
      <c r="AX202" s="61">
        <v>0</v>
      </c>
      <c r="AY202" s="63">
        <f t="shared" si="50"/>
        <v>0</v>
      </c>
      <c r="AZ202" s="61">
        <v>7</v>
      </c>
      <c r="BA202" s="61">
        <v>2</v>
      </c>
      <c r="BB202" s="63">
        <f t="shared" si="51"/>
        <v>0.2857142857142857</v>
      </c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</row>
    <row r="203" spans="1:87" x14ac:dyDescent="0.25">
      <c r="A203" s="128">
        <v>32199</v>
      </c>
      <c r="B203" s="128">
        <v>836</v>
      </c>
      <c r="C203" s="128">
        <v>1088827306</v>
      </c>
      <c r="D203" s="128" t="s">
        <v>774</v>
      </c>
      <c r="E203" s="128" t="s">
        <v>546</v>
      </c>
      <c r="F203" s="128" t="s">
        <v>546</v>
      </c>
      <c r="G203" s="128" t="s">
        <v>480</v>
      </c>
      <c r="H203" s="128" t="s">
        <v>480</v>
      </c>
      <c r="I203" s="128" t="s">
        <v>1218</v>
      </c>
      <c r="J203" s="128" t="s">
        <v>30</v>
      </c>
      <c r="K203" s="128" t="s">
        <v>768</v>
      </c>
      <c r="L203" s="128">
        <v>73024</v>
      </c>
      <c r="M203" s="128" t="s">
        <v>1145</v>
      </c>
      <c r="N203" s="128"/>
      <c r="O203" s="156">
        <v>0.2</v>
      </c>
      <c r="P203" s="157">
        <v>97281.600000000006</v>
      </c>
      <c r="Q203" s="61">
        <v>99763.48</v>
      </c>
      <c r="R203" s="63">
        <f t="shared" si="39"/>
        <v>1.0255123270998832</v>
      </c>
      <c r="S203" s="61">
        <v>9833.6749999999993</v>
      </c>
      <c r="T203" s="61">
        <v>6433.05</v>
      </c>
      <c r="U203" s="63">
        <f t="shared" si="40"/>
        <v>0.65418574439362709</v>
      </c>
      <c r="V203" s="61">
        <v>19704.834660491651</v>
      </c>
      <c r="W203" s="61">
        <v>13005.220000000001</v>
      </c>
      <c r="X203" s="63">
        <f t="shared" si="41"/>
        <v>0.66000147801674125</v>
      </c>
      <c r="Y203" s="61">
        <v>2308</v>
      </c>
      <c r="Z203" s="102">
        <v>720</v>
      </c>
      <c r="AA203" s="63">
        <f t="shared" si="42"/>
        <v>0.31195840554592719</v>
      </c>
      <c r="AB203" s="61">
        <v>15</v>
      </c>
      <c r="AC203" s="61">
        <v>5</v>
      </c>
      <c r="AD203" s="63">
        <f t="shared" si="43"/>
        <v>0.33333333333333331</v>
      </c>
      <c r="AE203" s="61">
        <v>2</v>
      </c>
      <c r="AF203" s="61">
        <v>3</v>
      </c>
      <c r="AG203" s="63">
        <f t="shared" si="44"/>
        <v>1.5</v>
      </c>
      <c r="AH203" s="61">
        <v>82.190569568072746</v>
      </c>
      <c r="AI203" s="61">
        <v>34</v>
      </c>
      <c r="AJ203" s="63">
        <f t="shared" si="45"/>
        <v>0.41367276292981714</v>
      </c>
      <c r="AK203" s="61">
        <v>2.805867948072577</v>
      </c>
      <c r="AL203" s="61">
        <v>0</v>
      </c>
      <c r="AM203" s="63">
        <f t="shared" si="46"/>
        <v>0</v>
      </c>
      <c r="AN203" s="61">
        <v>5.3012206315477588</v>
      </c>
      <c r="AO203" s="61">
        <v>6</v>
      </c>
      <c r="AP203" s="63">
        <f t="shared" si="47"/>
        <v>1.1318148058757977</v>
      </c>
      <c r="AQ203" s="61">
        <v>6.2727410919036846</v>
      </c>
      <c r="AR203" s="61">
        <v>7</v>
      </c>
      <c r="AS203" s="63">
        <f t="shared" si="48"/>
        <v>1.1159395705069031</v>
      </c>
      <c r="AT203" s="61">
        <v>4.5</v>
      </c>
      <c r="AU203" s="61">
        <v>2</v>
      </c>
      <c r="AV203" s="63">
        <f t="shared" si="49"/>
        <v>0.44444444444444442</v>
      </c>
      <c r="AW203" s="61">
        <v>2.8471167199028611</v>
      </c>
      <c r="AX203" s="61">
        <v>0</v>
      </c>
      <c r="AY203" s="63">
        <f t="shared" si="50"/>
        <v>0</v>
      </c>
      <c r="AZ203" s="61">
        <v>7</v>
      </c>
      <c r="BA203" s="61">
        <v>2</v>
      </c>
      <c r="BB203" s="63">
        <f t="shared" si="51"/>
        <v>0.2857142857142857</v>
      </c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</row>
    <row r="204" spans="1:87" x14ac:dyDescent="0.25">
      <c r="A204" s="128">
        <v>23858</v>
      </c>
      <c r="B204" s="128">
        <v>836</v>
      </c>
      <c r="C204" s="128">
        <v>1074451665</v>
      </c>
      <c r="D204" s="128" t="s">
        <v>773</v>
      </c>
      <c r="E204" s="128" t="s">
        <v>546</v>
      </c>
      <c r="F204" s="128" t="s">
        <v>546</v>
      </c>
      <c r="G204" s="128" t="s">
        <v>67</v>
      </c>
      <c r="H204" s="128" t="s">
        <v>67</v>
      </c>
      <c r="I204" s="128" t="s">
        <v>1218</v>
      </c>
      <c r="J204" s="128" t="s">
        <v>30</v>
      </c>
      <c r="K204" s="128" t="s">
        <v>768</v>
      </c>
      <c r="L204" s="128">
        <v>73024</v>
      </c>
      <c r="M204" s="128" t="s">
        <v>1208</v>
      </c>
      <c r="N204" s="128"/>
      <c r="O204" s="156">
        <v>0.5</v>
      </c>
      <c r="P204" s="157">
        <v>71339.840000000011</v>
      </c>
      <c r="Q204" s="61">
        <v>105769.56999999999</v>
      </c>
      <c r="R204" s="63">
        <f t="shared" si="39"/>
        <v>1.4826157445825499</v>
      </c>
      <c r="S204" s="61">
        <v>7211.4350000000004</v>
      </c>
      <c r="T204" s="61">
        <v>0</v>
      </c>
      <c r="U204" s="63">
        <f t="shared" si="40"/>
        <v>0</v>
      </c>
      <c r="V204" s="61">
        <v>14450.212084360546</v>
      </c>
      <c r="W204" s="61">
        <v>10482.17</v>
      </c>
      <c r="X204" s="63">
        <f t="shared" si="41"/>
        <v>0.72539904181370773</v>
      </c>
      <c r="Y204" s="61">
        <v>0</v>
      </c>
      <c r="Z204" s="102">
        <v>0</v>
      </c>
      <c r="AA204" s="63" t="e">
        <f t="shared" si="42"/>
        <v>#DIV/0!</v>
      </c>
      <c r="AB204" s="61">
        <v>10.450000000000001</v>
      </c>
      <c r="AC204" s="61">
        <v>10</v>
      </c>
      <c r="AD204" s="63">
        <f t="shared" si="43"/>
        <v>0.95693779904306209</v>
      </c>
      <c r="AE204" s="61">
        <v>1.1000000000000001</v>
      </c>
      <c r="AF204" s="61">
        <v>2</v>
      </c>
      <c r="AG204" s="63">
        <f t="shared" si="44"/>
        <v>1.8181818181818181</v>
      </c>
      <c r="AH204" s="61">
        <v>60.273084349920012</v>
      </c>
      <c r="AI204" s="61">
        <v>60</v>
      </c>
      <c r="AJ204" s="63">
        <f t="shared" si="45"/>
        <v>0.9954692156065118</v>
      </c>
      <c r="AK204" s="61">
        <v>2.0576364952532233</v>
      </c>
      <c r="AL204" s="61">
        <v>1</v>
      </c>
      <c r="AM204" s="63">
        <f t="shared" si="46"/>
        <v>0.48599449042962994</v>
      </c>
      <c r="AN204" s="61">
        <v>3.8875617964683564</v>
      </c>
      <c r="AO204" s="61">
        <v>3</v>
      </c>
      <c r="AP204" s="63">
        <f t="shared" si="47"/>
        <v>0.77169191309713481</v>
      </c>
      <c r="AQ204" s="61">
        <v>4.2878665892513048</v>
      </c>
      <c r="AR204" s="61">
        <v>3</v>
      </c>
      <c r="AS204" s="63">
        <f t="shared" si="48"/>
        <v>0.69964863354664764</v>
      </c>
      <c r="AT204" s="61">
        <v>36</v>
      </c>
      <c r="AU204" s="61">
        <v>41</v>
      </c>
      <c r="AV204" s="63">
        <f t="shared" si="49"/>
        <v>1.1388888888888888</v>
      </c>
      <c r="AW204" s="61">
        <v>2.0878855945954315</v>
      </c>
      <c r="AX204" s="61">
        <v>0</v>
      </c>
      <c r="AY204" s="63">
        <f t="shared" si="50"/>
        <v>0</v>
      </c>
      <c r="AZ204" s="61">
        <v>4.5650000000000004</v>
      </c>
      <c r="BA204" s="61">
        <v>1</v>
      </c>
      <c r="BB204" s="63">
        <f t="shared" si="51"/>
        <v>0.21905805038335158</v>
      </c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</row>
    <row r="205" spans="1:87" x14ac:dyDescent="0.25">
      <c r="A205" s="233">
        <v>23790</v>
      </c>
      <c r="B205" s="233">
        <v>836</v>
      </c>
      <c r="C205" s="233">
        <v>1031982711</v>
      </c>
      <c r="D205" s="233" t="s">
        <v>804</v>
      </c>
      <c r="E205" s="233" t="s">
        <v>546</v>
      </c>
      <c r="F205" s="233" t="s">
        <v>546</v>
      </c>
      <c r="G205" s="233" t="s">
        <v>431</v>
      </c>
      <c r="H205" s="233" t="s">
        <v>431</v>
      </c>
      <c r="I205" s="233" t="s">
        <v>1218</v>
      </c>
      <c r="J205" s="233" t="s">
        <v>30</v>
      </c>
      <c r="K205" s="233" t="s">
        <v>768</v>
      </c>
      <c r="L205" s="233">
        <v>73024</v>
      </c>
      <c r="M205" s="233"/>
      <c r="N205" s="233"/>
      <c r="O205" s="241"/>
      <c r="P205" s="235">
        <v>99281.600000000006</v>
      </c>
      <c r="Q205" s="61">
        <v>39991.319999999992</v>
      </c>
      <c r="R205" s="63">
        <f t="shared" si="39"/>
        <v>0.40280696523827164</v>
      </c>
      <c r="S205" s="61">
        <v>9833.7749999999996</v>
      </c>
      <c r="T205" s="61">
        <v>0</v>
      </c>
      <c r="U205" s="63">
        <f t="shared" si="40"/>
        <v>0</v>
      </c>
      <c r="V205" s="61">
        <v>19704.834660491651</v>
      </c>
      <c r="W205" s="61">
        <v>16211.31</v>
      </c>
      <c r="X205" s="63">
        <f t="shared" si="41"/>
        <v>0.82270723298702952</v>
      </c>
      <c r="Y205" s="61">
        <v>0</v>
      </c>
      <c r="Z205" s="102">
        <v>0</v>
      </c>
      <c r="AA205" s="63" t="e">
        <f t="shared" si="42"/>
        <v>#DIV/0!</v>
      </c>
      <c r="AB205" s="61">
        <v>15</v>
      </c>
      <c r="AC205" s="61">
        <v>6</v>
      </c>
      <c r="AD205" s="63">
        <f t="shared" si="43"/>
        <v>0.4</v>
      </c>
      <c r="AE205" s="61">
        <v>2</v>
      </c>
      <c r="AF205" s="61">
        <v>0</v>
      </c>
      <c r="AG205" s="63">
        <f t="shared" si="44"/>
        <v>0</v>
      </c>
      <c r="AH205" s="61">
        <v>82.190569568072746</v>
      </c>
      <c r="AI205" s="61">
        <v>37</v>
      </c>
      <c r="AJ205" s="63">
        <f t="shared" si="45"/>
        <v>0.45017330083538926</v>
      </c>
      <c r="AK205" s="61">
        <v>2.805867948072577</v>
      </c>
      <c r="AL205" s="61">
        <v>0</v>
      </c>
      <c r="AM205" s="63">
        <f t="shared" si="46"/>
        <v>0</v>
      </c>
      <c r="AN205" s="61">
        <v>5.3012206315477588</v>
      </c>
      <c r="AO205" s="61">
        <v>0</v>
      </c>
      <c r="AP205" s="63">
        <f t="shared" si="47"/>
        <v>0</v>
      </c>
      <c r="AQ205" s="61">
        <v>14.33769392435128</v>
      </c>
      <c r="AR205" s="61">
        <v>4</v>
      </c>
      <c r="AS205" s="63">
        <f t="shared" si="48"/>
        <v>0.27898489262672577</v>
      </c>
      <c r="AT205" s="61">
        <v>4.5</v>
      </c>
      <c r="AU205" s="61">
        <v>3</v>
      </c>
      <c r="AV205" s="63">
        <f t="shared" si="49"/>
        <v>0.66666666666666663</v>
      </c>
      <c r="AW205" s="61">
        <v>2.905650229218145</v>
      </c>
      <c r="AX205" s="61">
        <v>0</v>
      </c>
      <c r="AY205" s="63">
        <f t="shared" si="50"/>
        <v>0</v>
      </c>
      <c r="AZ205" s="61">
        <v>6.2250000000000005</v>
      </c>
      <c r="BA205" s="61">
        <v>0</v>
      </c>
      <c r="BB205" s="63">
        <f t="shared" si="51"/>
        <v>0</v>
      </c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</row>
    <row r="206" spans="1:87" x14ac:dyDescent="0.25">
      <c r="A206" s="213">
        <v>21106</v>
      </c>
      <c r="B206" s="213">
        <v>836</v>
      </c>
      <c r="C206" s="213">
        <v>1046203335</v>
      </c>
      <c r="D206" s="213" t="s">
        <v>753</v>
      </c>
      <c r="E206" s="213" t="s">
        <v>546</v>
      </c>
      <c r="F206" s="213" t="s">
        <v>546</v>
      </c>
      <c r="G206" s="213" t="s">
        <v>46</v>
      </c>
      <c r="H206" s="213" t="s">
        <v>46</v>
      </c>
      <c r="I206" s="213" t="s">
        <v>1218</v>
      </c>
      <c r="J206" s="213" t="s">
        <v>30</v>
      </c>
      <c r="K206" s="213" t="s">
        <v>768</v>
      </c>
      <c r="L206" s="213">
        <v>73024</v>
      </c>
      <c r="M206" s="213"/>
      <c r="N206" s="213"/>
      <c r="O206" s="231"/>
      <c r="P206" s="232">
        <v>84310.720000000001</v>
      </c>
      <c r="Q206" s="61">
        <v>29653.93</v>
      </c>
      <c r="R206" s="63">
        <f t="shared" si="39"/>
        <v>0.35172193998580487</v>
      </c>
      <c r="S206" s="61">
        <v>8522.6049999999996</v>
      </c>
      <c r="T206" s="61">
        <v>0</v>
      </c>
      <c r="U206" s="63">
        <f t="shared" si="40"/>
        <v>0</v>
      </c>
      <c r="V206" s="61">
        <v>17077.523372426098</v>
      </c>
      <c r="W206" s="61">
        <v>6581.3099999999995</v>
      </c>
      <c r="X206" s="63">
        <f t="shared" si="41"/>
        <v>0.3853784800333746</v>
      </c>
      <c r="Y206" s="61">
        <v>2308</v>
      </c>
      <c r="Z206" s="102">
        <v>519</v>
      </c>
      <c r="AA206" s="63">
        <f t="shared" si="42"/>
        <v>0.22487001733102252</v>
      </c>
      <c r="AB206" s="61">
        <v>13</v>
      </c>
      <c r="AC206" s="61">
        <v>8</v>
      </c>
      <c r="AD206" s="63">
        <f t="shared" si="43"/>
        <v>0.61538461538461542</v>
      </c>
      <c r="AE206" s="61">
        <v>2</v>
      </c>
      <c r="AF206" s="61">
        <v>1</v>
      </c>
      <c r="AG206" s="63">
        <f t="shared" si="44"/>
        <v>0.5</v>
      </c>
      <c r="AH206" s="61">
        <v>71.231826958996379</v>
      </c>
      <c r="AI206" s="61">
        <v>30</v>
      </c>
      <c r="AJ206" s="63">
        <f t="shared" si="45"/>
        <v>0.42116005275660118</v>
      </c>
      <c r="AK206" s="61">
        <v>2.4317522216628999</v>
      </c>
      <c r="AL206" s="61">
        <v>0</v>
      </c>
      <c r="AM206" s="63">
        <f t="shared" si="46"/>
        <v>0</v>
      </c>
      <c r="AN206" s="61">
        <v>4.5943912140080583</v>
      </c>
      <c r="AO206" s="61">
        <v>5</v>
      </c>
      <c r="AP206" s="63">
        <f t="shared" si="47"/>
        <v>1.0882834671882669</v>
      </c>
      <c r="AQ206" s="61">
        <v>5.067478696387905</v>
      </c>
      <c r="AR206" s="61">
        <v>2</v>
      </c>
      <c r="AS206" s="63">
        <f t="shared" si="48"/>
        <v>0.39467358815451925</v>
      </c>
      <c r="AT206" s="61">
        <v>3.9000000000000004</v>
      </c>
      <c r="AU206" s="61">
        <v>1</v>
      </c>
      <c r="AV206" s="63">
        <f t="shared" si="49"/>
        <v>0.25641025641025639</v>
      </c>
      <c r="AW206" s="61">
        <v>2.4675011572491461</v>
      </c>
      <c r="AX206" s="61">
        <v>0</v>
      </c>
      <c r="AY206" s="63">
        <f t="shared" si="50"/>
        <v>0</v>
      </c>
      <c r="AZ206" s="61">
        <v>5.3950000000000005</v>
      </c>
      <c r="BA206" s="61">
        <v>0</v>
      </c>
      <c r="BB206" s="63">
        <f t="shared" si="51"/>
        <v>0</v>
      </c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</row>
    <row r="207" spans="1:87" x14ac:dyDescent="0.25">
      <c r="A207" s="207">
        <v>20533</v>
      </c>
      <c r="B207" s="207">
        <v>836</v>
      </c>
      <c r="C207" s="207">
        <v>1064307042</v>
      </c>
      <c r="D207" s="207" t="s">
        <v>745</v>
      </c>
      <c r="E207" s="207" t="s">
        <v>546</v>
      </c>
      <c r="F207" s="207" t="s">
        <v>546</v>
      </c>
      <c r="G207" s="207" t="s">
        <v>34</v>
      </c>
      <c r="H207" s="207" t="s">
        <v>34</v>
      </c>
      <c r="I207" s="207" t="s">
        <v>1218</v>
      </c>
      <c r="J207" s="207" t="s">
        <v>30</v>
      </c>
      <c r="K207" s="207" t="s">
        <v>768</v>
      </c>
      <c r="L207" s="207">
        <v>73024</v>
      </c>
      <c r="M207" s="207"/>
      <c r="N207" s="207"/>
      <c r="O207" s="242"/>
      <c r="P207" s="243">
        <v>58368.959999999999</v>
      </c>
      <c r="Q207" s="61">
        <v>71175.66</v>
      </c>
      <c r="R207" s="63">
        <f t="shared" si="39"/>
        <v>1.219409425831812</v>
      </c>
      <c r="S207" s="61">
        <v>5900.2649999999994</v>
      </c>
      <c r="T207" s="61">
        <v>1129.57</v>
      </c>
      <c r="U207" s="63">
        <f t="shared" si="40"/>
        <v>0.1914439436194815</v>
      </c>
      <c r="V207" s="61">
        <v>11822.900796294991</v>
      </c>
      <c r="W207" s="61">
        <v>1850.87</v>
      </c>
      <c r="X207" s="63">
        <f t="shared" si="41"/>
        <v>0.15654956697090933</v>
      </c>
      <c r="Y207" s="61">
        <v>2308</v>
      </c>
      <c r="Z207" s="102">
        <v>0</v>
      </c>
      <c r="AA207" s="63">
        <f t="shared" si="42"/>
        <v>0</v>
      </c>
      <c r="AB207" s="61">
        <v>10</v>
      </c>
      <c r="AC207" s="61">
        <v>5</v>
      </c>
      <c r="AD207" s="63">
        <f t="shared" si="43"/>
        <v>0.5</v>
      </c>
      <c r="AE207" s="61">
        <v>2</v>
      </c>
      <c r="AF207" s="61">
        <v>1</v>
      </c>
      <c r="AG207" s="63">
        <f t="shared" si="44"/>
        <v>0.5</v>
      </c>
      <c r="AH207" s="61">
        <v>49.314341740843645</v>
      </c>
      <c r="AI207" s="61">
        <v>51</v>
      </c>
      <c r="AJ207" s="63">
        <f t="shared" si="45"/>
        <v>1.0341819073245428</v>
      </c>
      <c r="AK207" s="61">
        <v>2.3879727217638953</v>
      </c>
      <c r="AL207" s="61">
        <v>0</v>
      </c>
      <c r="AM207" s="63">
        <f t="shared" si="46"/>
        <v>0</v>
      </c>
      <c r="AN207" s="61">
        <v>3.180732378928655</v>
      </c>
      <c r="AO207" s="61">
        <v>4</v>
      </c>
      <c r="AP207" s="63">
        <f t="shared" si="47"/>
        <v>1.2575720065286642</v>
      </c>
      <c r="AQ207" s="61">
        <v>3.5082544821147033</v>
      </c>
      <c r="AR207" s="61">
        <v>1</v>
      </c>
      <c r="AS207" s="63">
        <f t="shared" si="48"/>
        <v>0.28504203588937499</v>
      </c>
      <c r="AT207" s="61">
        <v>2.7</v>
      </c>
      <c r="AU207" s="61">
        <v>1</v>
      </c>
      <c r="AV207" s="63">
        <f t="shared" si="49"/>
        <v>0.37037037037037035</v>
      </c>
      <c r="AW207" s="61">
        <v>1.7082700319417166</v>
      </c>
      <c r="AX207" s="61">
        <v>0</v>
      </c>
      <c r="AY207" s="63">
        <f t="shared" si="50"/>
        <v>0</v>
      </c>
      <c r="AZ207" s="61">
        <v>3.7350000000000003</v>
      </c>
      <c r="BA207" s="61">
        <v>0</v>
      </c>
      <c r="BB207" s="63">
        <f t="shared" si="51"/>
        <v>0</v>
      </c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</row>
    <row r="208" spans="1:87" x14ac:dyDescent="0.25">
      <c r="A208" s="128">
        <v>21264</v>
      </c>
      <c r="B208" s="128">
        <v>836</v>
      </c>
      <c r="C208" s="128">
        <v>1014494163</v>
      </c>
      <c r="D208" s="128" t="s">
        <v>771</v>
      </c>
      <c r="E208" s="128" t="s">
        <v>546</v>
      </c>
      <c r="F208" s="128" t="s">
        <v>546</v>
      </c>
      <c r="G208" s="128" t="s">
        <v>66</v>
      </c>
      <c r="H208" s="128" t="s">
        <v>66</v>
      </c>
      <c r="I208" s="128" t="s">
        <v>1218</v>
      </c>
      <c r="J208" s="128" t="s">
        <v>30</v>
      </c>
      <c r="K208" s="128" t="s">
        <v>768</v>
      </c>
      <c r="L208" s="128">
        <v>73024</v>
      </c>
      <c r="M208" s="128" t="s">
        <v>1143</v>
      </c>
      <c r="N208" s="128">
        <v>5</v>
      </c>
      <c r="O208" s="168">
        <v>0.6</v>
      </c>
      <c r="P208" s="157">
        <v>54883</v>
      </c>
      <c r="Q208" s="61">
        <v>22742.62</v>
      </c>
      <c r="R208" s="63">
        <f t="shared" si="39"/>
        <v>0.41438368893828686</v>
      </c>
      <c r="S208" s="61">
        <v>5244.68</v>
      </c>
      <c r="T208" s="61">
        <v>0</v>
      </c>
      <c r="U208" s="63">
        <f t="shared" si="40"/>
        <v>0</v>
      </c>
      <c r="V208" s="61">
        <v>10509.245152262216</v>
      </c>
      <c r="W208" s="61">
        <v>7830</v>
      </c>
      <c r="X208" s="63">
        <f t="shared" si="41"/>
        <v>0.74505826884383963</v>
      </c>
      <c r="Y208" s="61">
        <v>0</v>
      </c>
      <c r="Z208" s="102">
        <v>0</v>
      </c>
      <c r="AA208" s="63" t="e">
        <f t="shared" si="42"/>
        <v>#DIV/0!</v>
      </c>
      <c r="AB208" s="61">
        <v>9</v>
      </c>
      <c r="AC208" s="61">
        <v>3</v>
      </c>
      <c r="AD208" s="63">
        <f t="shared" si="43"/>
        <v>0.33333333333333331</v>
      </c>
      <c r="AE208" s="61">
        <v>2</v>
      </c>
      <c r="AF208" s="61">
        <v>1</v>
      </c>
      <c r="AG208" s="63">
        <f t="shared" si="44"/>
        <v>0.5</v>
      </c>
      <c r="AH208" s="61">
        <v>43.834970436305461</v>
      </c>
      <c r="AI208" s="61">
        <v>22</v>
      </c>
      <c r="AJ208" s="63">
        <f t="shared" si="45"/>
        <v>0.50188239620161645</v>
      </c>
      <c r="AK208" s="61">
        <v>2.3879727217638953</v>
      </c>
      <c r="AL208" s="61">
        <v>0</v>
      </c>
      <c r="AM208" s="63">
        <f t="shared" si="46"/>
        <v>0</v>
      </c>
      <c r="AN208" s="61">
        <v>2.8273176701588048</v>
      </c>
      <c r="AO208" s="61">
        <v>2</v>
      </c>
      <c r="AP208" s="63">
        <f t="shared" si="47"/>
        <v>0.70738425367237356</v>
      </c>
      <c r="AQ208" s="61">
        <v>3.1184484285464031</v>
      </c>
      <c r="AR208" s="61">
        <v>1</v>
      </c>
      <c r="AS208" s="63">
        <f t="shared" si="48"/>
        <v>0.32067229037554684</v>
      </c>
      <c r="AT208" s="61">
        <v>2.4000000000000004</v>
      </c>
      <c r="AU208" s="61">
        <v>0</v>
      </c>
      <c r="AV208" s="63">
        <f t="shared" si="49"/>
        <v>0</v>
      </c>
      <c r="AW208" s="61">
        <v>1.6062472958753631</v>
      </c>
      <c r="AX208" s="61">
        <v>0</v>
      </c>
      <c r="AY208" s="63">
        <f t="shared" si="50"/>
        <v>0</v>
      </c>
      <c r="AZ208" s="61">
        <v>3.3200000000000003</v>
      </c>
      <c r="BA208" s="61">
        <v>1</v>
      </c>
      <c r="BB208" s="63">
        <f t="shared" si="51"/>
        <v>0.3012048192771084</v>
      </c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</row>
    <row r="209" spans="1:87" x14ac:dyDescent="0.25">
      <c r="A209" s="128">
        <v>21023</v>
      </c>
      <c r="B209" s="128">
        <v>17055</v>
      </c>
      <c r="C209" s="128">
        <v>1029827290</v>
      </c>
      <c r="D209" s="128" t="s">
        <v>778</v>
      </c>
      <c r="E209" s="128" t="s">
        <v>541</v>
      </c>
      <c r="F209" s="128" t="s">
        <v>541</v>
      </c>
      <c r="G209" s="128" t="s">
        <v>69</v>
      </c>
      <c r="H209" s="128" t="s">
        <v>69</v>
      </c>
      <c r="I209" s="128" t="s">
        <v>1218</v>
      </c>
      <c r="J209" s="128" t="s">
        <v>30</v>
      </c>
      <c r="K209" s="128" t="s">
        <v>779</v>
      </c>
      <c r="L209" s="128">
        <v>73025</v>
      </c>
      <c r="M209" s="128"/>
      <c r="N209" s="128"/>
      <c r="O209" s="168"/>
      <c r="P209" s="169">
        <v>642058</v>
      </c>
      <c r="Q209" s="61">
        <v>0</v>
      </c>
      <c r="R209" s="63">
        <f t="shared" si="39"/>
        <v>0</v>
      </c>
      <c r="S209" s="61">
        <v>82604</v>
      </c>
      <c r="T209" s="61">
        <v>0</v>
      </c>
      <c r="U209" s="63">
        <f t="shared" si="40"/>
        <v>0</v>
      </c>
      <c r="V209" s="61">
        <v>168633.30159005881</v>
      </c>
      <c r="W209" s="61">
        <v>0</v>
      </c>
      <c r="X209" s="63">
        <f t="shared" si="41"/>
        <v>0</v>
      </c>
      <c r="Y209" s="61">
        <v>7254</v>
      </c>
      <c r="Z209" s="102">
        <v>0</v>
      </c>
      <c r="AA209" s="63">
        <f t="shared" si="42"/>
        <v>0</v>
      </c>
      <c r="AB209" s="61">
        <v>100</v>
      </c>
      <c r="AC209" s="61">
        <v>0</v>
      </c>
      <c r="AD209" s="63">
        <f t="shared" si="43"/>
        <v>0</v>
      </c>
      <c r="AE209" s="61">
        <v>18</v>
      </c>
      <c r="AF209" s="61">
        <v>0</v>
      </c>
      <c r="AG209" s="63">
        <f t="shared" si="44"/>
        <v>0</v>
      </c>
      <c r="AH209" s="61">
        <v>690.15049182720315</v>
      </c>
      <c r="AI209" s="61">
        <v>0</v>
      </c>
      <c r="AJ209" s="63">
        <f t="shared" si="45"/>
        <v>0</v>
      </c>
      <c r="AK209" s="61">
        <v>24.675718124893585</v>
      </c>
      <c r="AL209" s="61">
        <v>0</v>
      </c>
      <c r="AM209" s="63">
        <f t="shared" si="46"/>
        <v>0</v>
      </c>
      <c r="AN209" s="61">
        <v>28.128925800049331</v>
      </c>
      <c r="AO209" s="61">
        <v>2</v>
      </c>
      <c r="AP209" s="63">
        <f t="shared" si="47"/>
        <v>7.1101186522966778E-2</v>
      </c>
      <c r="AQ209" s="61">
        <v>49.285822864957524</v>
      </c>
      <c r="AR209" s="61">
        <v>0</v>
      </c>
      <c r="AS209" s="63">
        <f t="shared" si="48"/>
        <v>0</v>
      </c>
      <c r="AT209" s="61">
        <v>66</v>
      </c>
      <c r="AU209" s="61">
        <v>0</v>
      </c>
      <c r="AV209" s="63">
        <f t="shared" si="49"/>
        <v>0</v>
      </c>
      <c r="AW209" s="61">
        <v>18.790953961976275</v>
      </c>
      <c r="AX209" s="61">
        <v>0</v>
      </c>
      <c r="AY209" s="63">
        <f t="shared" si="50"/>
        <v>0</v>
      </c>
      <c r="AZ209" s="61">
        <v>54</v>
      </c>
      <c r="BA209" s="61">
        <v>0</v>
      </c>
      <c r="BB209" s="63">
        <f t="shared" si="51"/>
        <v>0</v>
      </c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</row>
    <row r="210" spans="1:87" x14ac:dyDescent="0.25">
      <c r="A210" s="128">
        <v>21697</v>
      </c>
      <c r="B210" s="128">
        <v>21023</v>
      </c>
      <c r="C210" s="128">
        <v>1027489705</v>
      </c>
      <c r="D210" s="128" t="s">
        <v>780</v>
      </c>
      <c r="E210" s="128" t="s">
        <v>544</v>
      </c>
      <c r="F210" s="128" t="s">
        <v>544</v>
      </c>
      <c r="G210" s="128" t="s">
        <v>70</v>
      </c>
      <c r="H210" s="128" t="s">
        <v>70</v>
      </c>
      <c r="I210" s="128" t="s">
        <v>1218</v>
      </c>
      <c r="J210" s="128" t="s">
        <v>30</v>
      </c>
      <c r="K210" s="128" t="s">
        <v>779</v>
      </c>
      <c r="L210" s="128">
        <v>73025</v>
      </c>
      <c r="M210" s="128"/>
      <c r="N210" s="128"/>
      <c r="O210" s="168"/>
      <c r="P210" s="169">
        <v>642058</v>
      </c>
      <c r="Q210" s="61">
        <v>0</v>
      </c>
      <c r="R210" s="63">
        <f t="shared" si="39"/>
        <v>0</v>
      </c>
      <c r="S210" s="61">
        <v>82604</v>
      </c>
      <c r="T210" s="61">
        <v>0</v>
      </c>
      <c r="U210" s="63">
        <f t="shared" si="40"/>
        <v>0</v>
      </c>
      <c r="V210" s="61">
        <v>168633.30159005881</v>
      </c>
      <c r="W210" s="61">
        <v>0</v>
      </c>
      <c r="X210" s="63">
        <f t="shared" si="41"/>
        <v>0</v>
      </c>
      <c r="Y210" s="61">
        <v>7254</v>
      </c>
      <c r="Z210" s="102">
        <v>0</v>
      </c>
      <c r="AA210" s="63">
        <f t="shared" si="42"/>
        <v>0</v>
      </c>
      <c r="AB210" s="61">
        <v>100</v>
      </c>
      <c r="AC210" s="61">
        <v>0</v>
      </c>
      <c r="AD210" s="63">
        <f t="shared" si="43"/>
        <v>0</v>
      </c>
      <c r="AE210" s="61">
        <v>18</v>
      </c>
      <c r="AF210" s="61">
        <v>0</v>
      </c>
      <c r="AG210" s="63">
        <f t="shared" si="44"/>
        <v>0</v>
      </c>
      <c r="AH210" s="61">
        <v>690.15049182720315</v>
      </c>
      <c r="AI210" s="61">
        <v>2</v>
      </c>
      <c r="AJ210" s="63">
        <f t="shared" si="45"/>
        <v>2.8979186767003726E-3</v>
      </c>
      <c r="AK210" s="61">
        <v>0</v>
      </c>
      <c r="AL210" s="61">
        <v>0</v>
      </c>
      <c r="AM210" s="63" t="e">
        <f t="shared" si="46"/>
        <v>#DIV/0!</v>
      </c>
      <c r="AN210" s="61">
        <v>28.128925800049331</v>
      </c>
      <c r="AO210" s="61">
        <v>0</v>
      </c>
      <c r="AP210" s="63">
        <f t="shared" si="47"/>
        <v>0</v>
      </c>
      <c r="AQ210" s="61">
        <v>49.285822864957524</v>
      </c>
      <c r="AR210" s="61">
        <v>0</v>
      </c>
      <c r="AS210" s="63">
        <f t="shared" si="48"/>
        <v>0</v>
      </c>
      <c r="AT210" s="61">
        <v>66</v>
      </c>
      <c r="AU210" s="61">
        <v>0</v>
      </c>
      <c r="AV210" s="63">
        <f t="shared" si="49"/>
        <v>0</v>
      </c>
      <c r="AW210" s="61">
        <v>18.790953961976275</v>
      </c>
      <c r="AX210" s="61">
        <v>0</v>
      </c>
      <c r="AY210" s="63">
        <f t="shared" si="50"/>
        <v>0</v>
      </c>
      <c r="AZ210" s="61">
        <v>54</v>
      </c>
      <c r="BA210" s="61">
        <v>0</v>
      </c>
      <c r="BB210" s="63">
        <f t="shared" si="51"/>
        <v>0</v>
      </c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</row>
    <row r="211" spans="1:87" s="104" customFormat="1" x14ac:dyDescent="0.25">
      <c r="A211" s="128">
        <v>243</v>
      </c>
      <c r="B211" s="128">
        <v>21697</v>
      </c>
      <c r="C211" s="128">
        <v>1024193268</v>
      </c>
      <c r="D211" s="128" t="s">
        <v>781</v>
      </c>
      <c r="E211" s="128" t="s">
        <v>546</v>
      </c>
      <c r="F211" s="128" t="s">
        <v>546</v>
      </c>
      <c r="G211" s="128" t="s">
        <v>432</v>
      </c>
      <c r="H211" s="128" t="s">
        <v>433</v>
      </c>
      <c r="I211" s="128" t="s">
        <v>1218</v>
      </c>
      <c r="J211" s="128" t="s">
        <v>30</v>
      </c>
      <c r="K211" s="128" t="s">
        <v>779</v>
      </c>
      <c r="L211" s="128">
        <v>73025</v>
      </c>
      <c r="M211" s="128" t="s">
        <v>1143</v>
      </c>
      <c r="N211" s="128"/>
      <c r="O211" s="168">
        <v>0.5</v>
      </c>
      <c r="P211" s="157">
        <v>23030</v>
      </c>
      <c r="Q211" s="61">
        <v>17345.22</v>
      </c>
      <c r="R211" s="63">
        <f t="shared" si="39"/>
        <v>0.75315762049500656</v>
      </c>
      <c r="S211" s="61">
        <v>2700</v>
      </c>
      <c r="T211" s="61">
        <v>0</v>
      </c>
      <c r="U211" s="63">
        <f t="shared" si="40"/>
        <v>0</v>
      </c>
      <c r="V211" s="61">
        <v>6016.375803386818</v>
      </c>
      <c r="W211" s="61">
        <v>2451.7399999999998</v>
      </c>
      <c r="X211" s="63">
        <f t="shared" si="41"/>
        <v>0.40751111302253323</v>
      </c>
      <c r="Y211" s="61">
        <v>140</v>
      </c>
      <c r="Z211" s="102">
        <v>0</v>
      </c>
      <c r="AA211" s="63">
        <f t="shared" si="42"/>
        <v>0</v>
      </c>
      <c r="AB211" s="61">
        <v>3</v>
      </c>
      <c r="AC211" s="61">
        <v>0</v>
      </c>
      <c r="AD211" s="63">
        <f t="shared" si="43"/>
        <v>0</v>
      </c>
      <c r="AE211" s="61">
        <v>2</v>
      </c>
      <c r="AF211" s="61">
        <v>0</v>
      </c>
      <c r="AG211" s="63">
        <f t="shared" si="44"/>
        <v>0</v>
      </c>
      <c r="AH211" s="61">
        <v>22.899578047666171</v>
      </c>
      <c r="AI211" s="61">
        <v>6</v>
      </c>
      <c r="AJ211" s="63">
        <f t="shared" si="45"/>
        <v>0.26201356145125543</v>
      </c>
      <c r="AK211" s="61">
        <v>0.79599090725463173</v>
      </c>
      <c r="AL211" s="61">
        <v>0</v>
      </c>
      <c r="AM211" s="63">
        <f t="shared" si="46"/>
        <v>0</v>
      </c>
      <c r="AN211" s="61">
        <v>0.72125450769357258</v>
      </c>
      <c r="AO211" s="61">
        <v>2</v>
      </c>
      <c r="AP211" s="63">
        <f t="shared" si="47"/>
        <v>2.7729462743957045</v>
      </c>
      <c r="AQ211" s="61">
        <v>2.6883176108158651</v>
      </c>
      <c r="AR211" s="61">
        <v>1</v>
      </c>
      <c r="AS211" s="63">
        <f t="shared" si="48"/>
        <v>0.37197985683563434</v>
      </c>
      <c r="AT211" s="61">
        <v>2</v>
      </c>
      <c r="AU211" s="61">
        <v>0</v>
      </c>
      <c r="AV211" s="63">
        <f t="shared" si="49"/>
        <v>0</v>
      </c>
      <c r="AW211" s="61">
        <v>0.67401335976549404</v>
      </c>
      <c r="AX211" s="61">
        <v>0</v>
      </c>
      <c r="AY211" s="63">
        <f t="shared" si="50"/>
        <v>0</v>
      </c>
      <c r="AZ211" s="61">
        <v>3</v>
      </c>
      <c r="BA211" s="61">
        <v>0</v>
      </c>
      <c r="BB211" s="63">
        <f t="shared" si="51"/>
        <v>0</v>
      </c>
    </row>
    <row r="212" spans="1:87" x14ac:dyDescent="0.25">
      <c r="A212" s="128">
        <v>21599</v>
      </c>
      <c r="B212" s="128">
        <v>21697</v>
      </c>
      <c r="C212" s="128">
        <v>1029578257</v>
      </c>
      <c r="D212" s="128" t="s">
        <v>782</v>
      </c>
      <c r="E212" s="128" t="s">
        <v>546</v>
      </c>
      <c r="F212" s="128" t="s">
        <v>546</v>
      </c>
      <c r="G212" s="128" t="s">
        <v>434</v>
      </c>
      <c r="H212" s="128" t="s">
        <v>434</v>
      </c>
      <c r="I212" s="128" t="s">
        <v>1218</v>
      </c>
      <c r="J212" s="128" t="s">
        <v>30</v>
      </c>
      <c r="K212" s="128" t="s">
        <v>779</v>
      </c>
      <c r="L212" s="128">
        <v>73025</v>
      </c>
      <c r="M212" s="128" t="s">
        <v>1143</v>
      </c>
      <c r="N212" s="128"/>
      <c r="O212" s="168">
        <v>0.5</v>
      </c>
      <c r="P212" s="157">
        <v>22830</v>
      </c>
      <c r="Q212" s="61">
        <v>57026.110000000008</v>
      </c>
      <c r="R212" s="63">
        <f t="shared" si="39"/>
        <v>2.497858519491897</v>
      </c>
      <c r="S212" s="61">
        <v>3202</v>
      </c>
      <c r="T212" s="61">
        <v>0</v>
      </c>
      <c r="U212" s="63">
        <f t="shared" si="40"/>
        <v>0</v>
      </c>
      <c r="V212" s="61">
        <v>6048.6988171962157</v>
      </c>
      <c r="W212" s="61">
        <v>4427.83</v>
      </c>
      <c r="X212" s="63">
        <f t="shared" si="41"/>
        <v>0.73203016612628347</v>
      </c>
      <c r="Y212" s="61">
        <v>140</v>
      </c>
      <c r="Z212" s="102">
        <v>0</v>
      </c>
      <c r="AA212" s="63">
        <f t="shared" si="42"/>
        <v>0</v>
      </c>
      <c r="AB212" s="61">
        <v>3</v>
      </c>
      <c r="AC212" s="61">
        <v>3</v>
      </c>
      <c r="AD212" s="63">
        <f t="shared" si="43"/>
        <v>1</v>
      </c>
      <c r="AE212" s="61">
        <v>2</v>
      </c>
      <c r="AF212" s="61">
        <v>1</v>
      </c>
      <c r="AG212" s="63">
        <f t="shared" si="44"/>
        <v>0.5</v>
      </c>
      <c r="AH212" s="61">
        <v>22.899578047666171</v>
      </c>
      <c r="AI212" s="61">
        <v>3</v>
      </c>
      <c r="AJ212" s="63">
        <f t="shared" si="45"/>
        <v>0.13100678072562771</v>
      </c>
      <c r="AK212" s="61">
        <v>0.79599090725463173</v>
      </c>
      <c r="AL212" s="61">
        <v>0</v>
      </c>
      <c r="AM212" s="63">
        <f t="shared" si="46"/>
        <v>0</v>
      </c>
      <c r="AN212" s="61">
        <v>0.72125450769357258</v>
      </c>
      <c r="AO212" s="61">
        <v>1</v>
      </c>
      <c r="AP212" s="63">
        <f t="shared" si="47"/>
        <v>1.3864731371978523</v>
      </c>
      <c r="AQ212" s="61">
        <v>2.6883176108158651</v>
      </c>
      <c r="AR212" s="61">
        <v>2</v>
      </c>
      <c r="AS212" s="63">
        <f t="shared" si="48"/>
        <v>0.74395971367126867</v>
      </c>
      <c r="AT212" s="61">
        <v>2</v>
      </c>
      <c r="AU212" s="61">
        <v>0</v>
      </c>
      <c r="AV212" s="63">
        <f t="shared" si="49"/>
        <v>0</v>
      </c>
      <c r="AW212" s="61">
        <v>0.66816000883396565</v>
      </c>
      <c r="AX212" s="61">
        <v>0</v>
      </c>
      <c r="AY212" s="63">
        <f t="shared" si="50"/>
        <v>0</v>
      </c>
      <c r="AZ212" s="61">
        <v>2</v>
      </c>
      <c r="BA212" s="61">
        <v>1</v>
      </c>
      <c r="BB212" s="63">
        <f t="shared" si="51"/>
        <v>0.5</v>
      </c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</row>
    <row r="213" spans="1:87" x14ac:dyDescent="0.25">
      <c r="A213" s="207">
        <v>21028</v>
      </c>
      <c r="B213" s="207">
        <v>21697</v>
      </c>
      <c r="C213" s="207">
        <v>1071747545</v>
      </c>
      <c r="D213" s="207" t="s">
        <v>786</v>
      </c>
      <c r="E213" s="207" t="s">
        <v>546</v>
      </c>
      <c r="F213" s="207" t="s">
        <v>546</v>
      </c>
      <c r="G213" s="207" t="s">
        <v>74</v>
      </c>
      <c r="H213" s="207" t="s">
        <v>74</v>
      </c>
      <c r="I213" s="207" t="s">
        <v>1218</v>
      </c>
      <c r="J213" s="207" t="s">
        <v>30</v>
      </c>
      <c r="K213" s="207" t="s">
        <v>779</v>
      </c>
      <c r="L213" s="207">
        <v>73025</v>
      </c>
      <c r="M213" s="207" t="s">
        <v>1215</v>
      </c>
      <c r="N213" s="207"/>
      <c r="O213" s="242"/>
      <c r="P213" s="243">
        <v>63551</v>
      </c>
      <c r="Q213" s="61">
        <v>43648.7</v>
      </c>
      <c r="R213" s="63">
        <f t="shared" si="39"/>
        <v>0.6868294755393306</v>
      </c>
      <c r="S213" s="61">
        <v>8176</v>
      </c>
      <c r="T213" s="61">
        <v>0</v>
      </c>
      <c r="U213" s="63">
        <f t="shared" si="40"/>
        <v>0</v>
      </c>
      <c r="V213" s="61">
        <v>16712.625304671183</v>
      </c>
      <c r="W213" s="61">
        <v>870</v>
      </c>
      <c r="X213" s="63">
        <f t="shared" si="41"/>
        <v>5.2056453378203534E-2</v>
      </c>
      <c r="Y213" s="61">
        <v>370</v>
      </c>
      <c r="Z213" s="102">
        <v>0</v>
      </c>
      <c r="AA213" s="63">
        <f t="shared" si="42"/>
        <v>0</v>
      </c>
      <c r="AB213" s="61">
        <v>10</v>
      </c>
      <c r="AC213" s="61">
        <v>1</v>
      </c>
      <c r="AD213" s="63">
        <f t="shared" si="43"/>
        <v>0.1</v>
      </c>
      <c r="AE213" s="61">
        <v>2</v>
      </c>
      <c r="AF213" s="61">
        <v>0</v>
      </c>
      <c r="AG213" s="63">
        <f t="shared" si="44"/>
        <v>0</v>
      </c>
      <c r="AH213" s="61">
        <v>69.598312190664686</v>
      </c>
      <c r="AI213" s="61">
        <v>13</v>
      </c>
      <c r="AJ213" s="63">
        <f t="shared" si="45"/>
        <v>0.18678613878432107</v>
      </c>
      <c r="AK213" s="61">
        <v>2.3879727217638953</v>
      </c>
      <c r="AL213" s="61">
        <v>0</v>
      </c>
      <c r="AM213" s="63">
        <f t="shared" si="46"/>
        <v>0</v>
      </c>
      <c r="AN213" s="61">
        <v>2.8850180307742903</v>
      </c>
      <c r="AO213" s="61">
        <v>0</v>
      </c>
      <c r="AP213" s="63">
        <f t="shared" si="47"/>
        <v>0</v>
      </c>
      <c r="AQ213" s="61">
        <v>2.6883176108158651</v>
      </c>
      <c r="AR213" s="61">
        <v>1</v>
      </c>
      <c r="AS213" s="63">
        <f t="shared" si="48"/>
        <v>0.37197985683563434</v>
      </c>
      <c r="AT213" s="61">
        <v>2</v>
      </c>
      <c r="AU213" s="61">
        <v>0</v>
      </c>
      <c r="AV213" s="63">
        <f t="shared" si="49"/>
        <v>0</v>
      </c>
      <c r="AW213" s="61">
        <v>1.8599315252478035</v>
      </c>
      <c r="AX213" s="61">
        <v>0</v>
      </c>
      <c r="AY213" s="63">
        <f t="shared" si="50"/>
        <v>0</v>
      </c>
      <c r="AZ213" s="61">
        <v>5</v>
      </c>
      <c r="BA213" s="61">
        <v>0</v>
      </c>
      <c r="BB213" s="63">
        <f t="shared" si="51"/>
        <v>0</v>
      </c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</row>
    <row r="214" spans="1:87" x14ac:dyDescent="0.25">
      <c r="A214" s="128">
        <v>21031</v>
      </c>
      <c r="B214" s="128">
        <v>21697</v>
      </c>
      <c r="C214" s="128">
        <v>1084957305</v>
      </c>
      <c r="D214" s="128" t="s">
        <v>784</v>
      </c>
      <c r="E214" s="128" t="s">
        <v>546</v>
      </c>
      <c r="F214" s="128" t="s">
        <v>546</v>
      </c>
      <c r="G214" s="128" t="s">
        <v>71</v>
      </c>
      <c r="H214" s="128" t="s">
        <v>71</v>
      </c>
      <c r="I214" s="128" t="s">
        <v>1218</v>
      </c>
      <c r="J214" s="128" t="s">
        <v>30</v>
      </c>
      <c r="K214" s="128" t="s">
        <v>779</v>
      </c>
      <c r="L214" s="128">
        <v>73025</v>
      </c>
      <c r="M214" s="128" t="s">
        <v>1145</v>
      </c>
      <c r="N214" s="128" t="s">
        <v>1224</v>
      </c>
      <c r="O214" s="168">
        <v>0.5</v>
      </c>
      <c r="P214" s="157">
        <v>21830</v>
      </c>
      <c r="Q214" s="61">
        <v>82337.39</v>
      </c>
      <c r="R214" s="63">
        <f t="shared" si="39"/>
        <v>3.7717540082455336</v>
      </c>
      <c r="S214" s="61">
        <v>3187</v>
      </c>
      <c r="T214" s="61">
        <v>5859.1399999999994</v>
      </c>
      <c r="U214" s="63">
        <f t="shared" si="40"/>
        <v>1.8384499529337934</v>
      </c>
      <c r="V214" s="61">
        <v>5984.0527895774194</v>
      </c>
      <c r="W214" s="61">
        <v>2791.2900000000004</v>
      </c>
      <c r="X214" s="63">
        <f t="shared" si="41"/>
        <v>0.46645477540934516</v>
      </c>
      <c r="Y214" s="61">
        <v>3600</v>
      </c>
      <c r="Z214" s="102">
        <v>3664</v>
      </c>
      <c r="AA214" s="63">
        <f t="shared" si="42"/>
        <v>1.0177777777777777</v>
      </c>
      <c r="AB214" s="61">
        <v>3</v>
      </c>
      <c r="AC214" s="61">
        <v>5</v>
      </c>
      <c r="AD214" s="63">
        <f t="shared" si="43"/>
        <v>1.6666666666666667</v>
      </c>
      <c r="AE214" s="61">
        <v>1</v>
      </c>
      <c r="AF214" s="61">
        <v>0</v>
      </c>
      <c r="AG214" s="63">
        <f t="shared" si="44"/>
        <v>0</v>
      </c>
      <c r="AH214" s="61">
        <v>22.899578047666171</v>
      </c>
      <c r="AI214" s="61">
        <v>0</v>
      </c>
      <c r="AJ214" s="63">
        <f t="shared" si="45"/>
        <v>0</v>
      </c>
      <c r="AK214" s="61">
        <v>0.79599090725463173</v>
      </c>
      <c r="AL214" s="61">
        <v>0</v>
      </c>
      <c r="AM214" s="63">
        <f t="shared" si="46"/>
        <v>0</v>
      </c>
      <c r="AN214" s="61">
        <v>0.72125450769357258</v>
      </c>
      <c r="AO214" s="61">
        <v>0</v>
      </c>
      <c r="AP214" s="63">
        <f t="shared" si="47"/>
        <v>0</v>
      </c>
      <c r="AQ214" s="61">
        <v>0.89610587027195499</v>
      </c>
      <c r="AR214" s="61">
        <v>0</v>
      </c>
      <c r="AS214" s="63">
        <f t="shared" si="48"/>
        <v>0</v>
      </c>
      <c r="AT214" s="61">
        <v>1</v>
      </c>
      <c r="AU214" s="61">
        <v>1</v>
      </c>
      <c r="AV214" s="63">
        <f t="shared" si="49"/>
        <v>1</v>
      </c>
      <c r="AW214" s="61">
        <v>0.6388932541763237</v>
      </c>
      <c r="AX214" s="61">
        <v>0</v>
      </c>
      <c r="AY214" s="63">
        <f t="shared" si="50"/>
        <v>0</v>
      </c>
      <c r="AZ214" s="61">
        <v>2</v>
      </c>
      <c r="BA214" s="61">
        <v>0</v>
      </c>
      <c r="BB214" s="63">
        <f t="shared" si="51"/>
        <v>0</v>
      </c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</row>
    <row r="215" spans="1:87" x14ac:dyDescent="0.25">
      <c r="A215" s="128">
        <v>3171</v>
      </c>
      <c r="B215" s="128">
        <v>21697</v>
      </c>
      <c r="C215" s="128">
        <v>1127595948</v>
      </c>
      <c r="D215" s="128" t="s">
        <v>785</v>
      </c>
      <c r="E215" s="128" t="s">
        <v>546</v>
      </c>
      <c r="F215" s="128" t="s">
        <v>546</v>
      </c>
      <c r="G215" s="128" t="s">
        <v>72</v>
      </c>
      <c r="H215" s="128" t="s">
        <v>73</v>
      </c>
      <c r="I215" s="128" t="s">
        <v>1218</v>
      </c>
      <c r="J215" s="128" t="s">
        <v>30</v>
      </c>
      <c r="K215" s="128" t="s">
        <v>779</v>
      </c>
      <c r="L215" s="128">
        <v>73025</v>
      </c>
      <c r="M215" s="128" t="s">
        <v>1207</v>
      </c>
      <c r="N215" s="128"/>
      <c r="O215" s="168">
        <v>0.3</v>
      </c>
      <c r="P215" s="157">
        <v>32103</v>
      </c>
      <c r="Q215" s="61">
        <v>37502.61</v>
      </c>
      <c r="R215" s="63">
        <f t="shared" si="39"/>
        <v>1.1681964302401644</v>
      </c>
      <c r="S215" s="61">
        <v>4279</v>
      </c>
      <c r="T215" s="61">
        <v>0</v>
      </c>
      <c r="U215" s="63">
        <f t="shared" si="40"/>
        <v>0</v>
      </c>
      <c r="V215" s="61">
        <v>8430.096905270133</v>
      </c>
      <c r="W215" s="61">
        <v>5570</v>
      </c>
      <c r="X215" s="63">
        <f t="shared" si="41"/>
        <v>0.66072787330806082</v>
      </c>
      <c r="Y215" s="61">
        <v>196</v>
      </c>
      <c r="Z215" s="102">
        <v>0</v>
      </c>
      <c r="AA215" s="63">
        <f t="shared" si="42"/>
        <v>0</v>
      </c>
      <c r="AB215" s="61">
        <v>6</v>
      </c>
      <c r="AC215" s="61">
        <v>0</v>
      </c>
      <c r="AD215" s="63">
        <f t="shared" si="43"/>
        <v>0</v>
      </c>
      <c r="AE215" s="61">
        <v>1</v>
      </c>
      <c r="AF215" s="61">
        <v>1</v>
      </c>
      <c r="AG215" s="63">
        <f t="shared" si="44"/>
        <v>1</v>
      </c>
      <c r="AH215" s="61">
        <v>34.799156095332343</v>
      </c>
      <c r="AI215" s="61">
        <v>32</v>
      </c>
      <c r="AJ215" s="63">
        <f t="shared" si="45"/>
        <v>0.9195625293997346</v>
      </c>
      <c r="AK215" s="61">
        <v>1.5919818145092635</v>
      </c>
      <c r="AL215" s="61">
        <v>0</v>
      </c>
      <c r="AM215" s="63">
        <f t="shared" si="46"/>
        <v>0</v>
      </c>
      <c r="AN215" s="61">
        <v>1.4425090153871452</v>
      </c>
      <c r="AO215" s="61">
        <v>0</v>
      </c>
      <c r="AP215" s="63">
        <f t="shared" si="47"/>
        <v>0</v>
      </c>
      <c r="AQ215" s="61">
        <v>16.12990566489519</v>
      </c>
      <c r="AR215" s="61">
        <v>1</v>
      </c>
      <c r="AS215" s="63">
        <f t="shared" si="48"/>
        <v>6.1996642805939056E-2</v>
      </c>
      <c r="AT215" s="61">
        <v>2</v>
      </c>
      <c r="AU215" s="61">
        <v>0</v>
      </c>
      <c r="AV215" s="63">
        <f t="shared" si="49"/>
        <v>0</v>
      </c>
      <c r="AW215" s="61">
        <v>0.93955062477427942</v>
      </c>
      <c r="AX215" s="61">
        <v>0</v>
      </c>
      <c r="AY215" s="63">
        <f t="shared" si="50"/>
        <v>0</v>
      </c>
      <c r="AZ215" s="61">
        <v>3</v>
      </c>
      <c r="BA215" s="61">
        <v>3</v>
      </c>
      <c r="BB215" s="63">
        <f t="shared" si="51"/>
        <v>1</v>
      </c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</row>
    <row r="216" spans="1:87" x14ac:dyDescent="0.25">
      <c r="A216" s="128">
        <v>346</v>
      </c>
      <c r="B216" s="128">
        <v>21697</v>
      </c>
      <c r="C216" s="128">
        <v>1037747621</v>
      </c>
      <c r="D216" s="128" t="s">
        <v>820</v>
      </c>
      <c r="E216" s="128" t="s">
        <v>546</v>
      </c>
      <c r="F216" s="128" t="s">
        <v>546</v>
      </c>
      <c r="G216" s="128" t="s">
        <v>92</v>
      </c>
      <c r="H216" s="128" t="s">
        <v>93</v>
      </c>
      <c r="I216" s="128" t="s">
        <v>1218</v>
      </c>
      <c r="J216" s="128" t="s">
        <v>30</v>
      </c>
      <c r="K216" s="128" t="s">
        <v>779</v>
      </c>
      <c r="L216" s="128">
        <v>73025</v>
      </c>
      <c r="M216" s="128" t="s">
        <v>1215</v>
      </c>
      <c r="N216" s="128"/>
      <c r="O216" s="168"/>
      <c r="P216" s="157">
        <v>63551</v>
      </c>
      <c r="Q216" s="61">
        <v>18431.309999999998</v>
      </c>
      <c r="R216" s="63">
        <f t="shared" si="39"/>
        <v>0.29002391779830367</v>
      </c>
      <c r="S216" s="61">
        <v>7940</v>
      </c>
      <c r="T216" s="61">
        <v>0</v>
      </c>
      <c r="U216" s="63">
        <f t="shared" si="40"/>
        <v>0</v>
      </c>
      <c r="V216" s="61">
        <v>16679.642637518737</v>
      </c>
      <c r="W216" s="61">
        <v>960</v>
      </c>
      <c r="X216" s="63">
        <f t="shared" si="41"/>
        <v>5.7555189931983435E-2</v>
      </c>
      <c r="Y216" s="61">
        <v>370</v>
      </c>
      <c r="Z216" s="102">
        <v>0</v>
      </c>
      <c r="AA216" s="63">
        <f t="shared" si="42"/>
        <v>0</v>
      </c>
      <c r="AB216" s="61">
        <v>10</v>
      </c>
      <c r="AC216" s="61">
        <v>2</v>
      </c>
      <c r="AD216" s="63">
        <f t="shared" si="43"/>
        <v>0.2</v>
      </c>
      <c r="AE216" s="61">
        <v>2</v>
      </c>
      <c r="AF216" s="61">
        <v>0</v>
      </c>
      <c r="AG216" s="63">
        <f t="shared" si="44"/>
        <v>0</v>
      </c>
      <c r="AH216" s="61">
        <v>69.598312190664686</v>
      </c>
      <c r="AI216" s="61">
        <v>45</v>
      </c>
      <c r="AJ216" s="63">
        <f t="shared" si="45"/>
        <v>0.6465674034841884</v>
      </c>
      <c r="AK216" s="61">
        <v>2.3879727217638953</v>
      </c>
      <c r="AL216" s="61">
        <v>1</v>
      </c>
      <c r="AM216" s="63">
        <f t="shared" si="46"/>
        <v>0.41876525258686453</v>
      </c>
      <c r="AN216" s="61">
        <v>2.8850180307742903</v>
      </c>
      <c r="AO216" s="61">
        <v>2</v>
      </c>
      <c r="AP216" s="63">
        <f t="shared" si="47"/>
        <v>0.69323656859892613</v>
      </c>
      <c r="AQ216" s="61">
        <v>2.6883176108158651</v>
      </c>
      <c r="AR216" s="61">
        <v>0</v>
      </c>
      <c r="AS216" s="63">
        <f t="shared" si="48"/>
        <v>0</v>
      </c>
      <c r="AT216" s="61">
        <v>2</v>
      </c>
      <c r="AU216" s="61">
        <v>0</v>
      </c>
      <c r="AV216" s="63">
        <f t="shared" si="49"/>
        <v>0</v>
      </c>
      <c r="AW216" s="61">
        <v>1.8599315252478035</v>
      </c>
      <c r="AX216" s="61">
        <v>0</v>
      </c>
      <c r="AY216" s="63">
        <f t="shared" si="50"/>
        <v>0</v>
      </c>
      <c r="AZ216" s="61">
        <v>5</v>
      </c>
      <c r="BA216" s="61">
        <v>1</v>
      </c>
      <c r="BB216" s="63">
        <f t="shared" si="51"/>
        <v>0.2</v>
      </c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</row>
    <row r="217" spans="1:87" x14ac:dyDescent="0.25">
      <c r="A217" s="128">
        <v>306</v>
      </c>
      <c r="B217" s="128">
        <v>21697</v>
      </c>
      <c r="C217" s="128">
        <v>1063664930</v>
      </c>
      <c r="D217" s="128" t="s">
        <v>783</v>
      </c>
      <c r="E217" s="128" t="s">
        <v>546</v>
      </c>
      <c r="F217" s="128" t="s">
        <v>546</v>
      </c>
      <c r="G217" s="128" t="s">
        <v>96</v>
      </c>
      <c r="H217" s="128" t="s">
        <v>96</v>
      </c>
      <c r="I217" s="128" t="s">
        <v>1218</v>
      </c>
      <c r="J217" s="128" t="s">
        <v>30</v>
      </c>
      <c r="K217" s="128" t="s">
        <v>779</v>
      </c>
      <c r="L217" s="128">
        <v>73025</v>
      </c>
      <c r="M217" s="128" t="s">
        <v>1208</v>
      </c>
      <c r="N217" s="128"/>
      <c r="O217" s="168">
        <v>0.5</v>
      </c>
      <c r="P217" s="157">
        <v>24030</v>
      </c>
      <c r="Q217" s="61">
        <v>17647.830000000002</v>
      </c>
      <c r="R217" s="63">
        <f t="shared" si="39"/>
        <v>0.73440823970037461</v>
      </c>
      <c r="S217" s="61">
        <v>2951</v>
      </c>
      <c r="T217" s="61">
        <v>0</v>
      </c>
      <c r="U217" s="63">
        <f t="shared" si="40"/>
        <v>0</v>
      </c>
      <c r="V217" s="61">
        <v>6016.375803386818</v>
      </c>
      <c r="W217" s="61">
        <v>6006.09</v>
      </c>
      <c r="X217" s="63">
        <f t="shared" si="41"/>
        <v>0.99829036554182204</v>
      </c>
      <c r="Y217" s="61">
        <v>140</v>
      </c>
      <c r="Z217" s="102">
        <v>399</v>
      </c>
      <c r="AA217" s="63">
        <f t="shared" si="42"/>
        <v>2.85</v>
      </c>
      <c r="AB217" s="61">
        <v>3</v>
      </c>
      <c r="AC217" s="61">
        <v>5</v>
      </c>
      <c r="AD217" s="63">
        <f t="shared" si="43"/>
        <v>1.6666666666666667</v>
      </c>
      <c r="AE217" s="61">
        <v>1</v>
      </c>
      <c r="AF217" s="61">
        <v>0</v>
      </c>
      <c r="AG217" s="63">
        <f t="shared" si="44"/>
        <v>0</v>
      </c>
      <c r="AH217" s="61">
        <v>22.899578047666171</v>
      </c>
      <c r="AI217" s="61">
        <v>6</v>
      </c>
      <c r="AJ217" s="63">
        <f t="shared" si="45"/>
        <v>0.26201356145125543</v>
      </c>
      <c r="AK217" s="61">
        <v>0.79599090725463173</v>
      </c>
      <c r="AL217" s="61">
        <v>1</v>
      </c>
      <c r="AM217" s="63">
        <f t="shared" si="46"/>
        <v>1.2562957577605938</v>
      </c>
      <c r="AN217" s="61">
        <v>0.72125450769357258</v>
      </c>
      <c r="AO217" s="61">
        <v>0</v>
      </c>
      <c r="AP217" s="63">
        <f t="shared" si="47"/>
        <v>0</v>
      </c>
      <c r="AQ217" s="61">
        <v>2.6883176108158651</v>
      </c>
      <c r="AR217" s="61">
        <v>0</v>
      </c>
      <c r="AS217" s="63">
        <f t="shared" si="48"/>
        <v>0</v>
      </c>
      <c r="AT217" s="61">
        <v>41</v>
      </c>
      <c r="AU217" s="61">
        <v>3</v>
      </c>
      <c r="AV217" s="63">
        <f t="shared" si="49"/>
        <v>7.3170731707317069E-2</v>
      </c>
      <c r="AW217" s="61">
        <v>0.70328011442313598</v>
      </c>
      <c r="AX217" s="61">
        <v>0</v>
      </c>
      <c r="AY217" s="63">
        <f t="shared" si="50"/>
        <v>0</v>
      </c>
      <c r="AZ217" s="61">
        <v>2</v>
      </c>
      <c r="BA217" s="61">
        <v>0</v>
      </c>
      <c r="BB217" s="63">
        <f t="shared" si="51"/>
        <v>0</v>
      </c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</row>
    <row r="218" spans="1:87" x14ac:dyDescent="0.25">
      <c r="A218" s="128">
        <v>3172</v>
      </c>
      <c r="B218" s="128">
        <v>21697</v>
      </c>
      <c r="C218" s="128">
        <v>1030366650</v>
      </c>
      <c r="D218" s="128" t="s">
        <v>787</v>
      </c>
      <c r="E218" s="128" t="s">
        <v>546</v>
      </c>
      <c r="F218" s="128" t="s">
        <v>546</v>
      </c>
      <c r="G218" s="128" t="s">
        <v>75</v>
      </c>
      <c r="H218" s="128" t="s">
        <v>76</v>
      </c>
      <c r="I218" s="128" t="s">
        <v>1218</v>
      </c>
      <c r="J218" s="128" t="s">
        <v>30</v>
      </c>
      <c r="K218" s="128" t="s">
        <v>779</v>
      </c>
      <c r="L218" s="128">
        <v>73025</v>
      </c>
      <c r="M218" s="128" t="s">
        <v>1144</v>
      </c>
      <c r="N218" s="128">
        <v>5</v>
      </c>
      <c r="O218" s="168">
        <v>0.1</v>
      </c>
      <c r="P218" s="157">
        <v>41275</v>
      </c>
      <c r="Q218" s="61">
        <v>22840.880000000001</v>
      </c>
      <c r="R218" s="63">
        <f t="shared" si="39"/>
        <v>0.55338291944276197</v>
      </c>
      <c r="S218" s="61">
        <v>5310</v>
      </c>
      <c r="T218" s="61">
        <v>0</v>
      </c>
      <c r="U218" s="63">
        <f t="shared" si="40"/>
        <v>0</v>
      </c>
      <c r="V218" s="61">
        <v>10834.666768306555</v>
      </c>
      <c r="W218" s="61">
        <v>2058.69</v>
      </c>
      <c r="X218" s="63">
        <f t="shared" si="41"/>
        <v>0.19000953550524108</v>
      </c>
      <c r="Y218" s="61">
        <v>252</v>
      </c>
      <c r="Z218" s="102">
        <v>0</v>
      </c>
      <c r="AA218" s="63">
        <f t="shared" si="42"/>
        <v>0</v>
      </c>
      <c r="AB218" s="61">
        <v>6</v>
      </c>
      <c r="AC218" s="61">
        <v>2</v>
      </c>
      <c r="AD218" s="63">
        <f t="shared" si="43"/>
        <v>0.33333333333333331</v>
      </c>
      <c r="AE218" s="61">
        <v>1</v>
      </c>
      <c r="AF218" s="61">
        <v>0</v>
      </c>
      <c r="AG218" s="63">
        <f t="shared" si="44"/>
        <v>0</v>
      </c>
      <c r="AH218" s="61">
        <v>41.765682111221061</v>
      </c>
      <c r="AI218" s="61">
        <v>0</v>
      </c>
      <c r="AJ218" s="63">
        <f t="shared" si="45"/>
        <v>0</v>
      </c>
      <c r="AK218" s="61">
        <v>1.5919818145092635</v>
      </c>
      <c r="AL218" s="61">
        <v>0</v>
      </c>
      <c r="AM218" s="63">
        <f t="shared" si="46"/>
        <v>0</v>
      </c>
      <c r="AN218" s="61">
        <v>2.1637635230807177</v>
      </c>
      <c r="AO218" s="61">
        <v>0</v>
      </c>
      <c r="AP218" s="63">
        <f t="shared" si="47"/>
        <v>0</v>
      </c>
      <c r="AQ218" s="61">
        <v>2.6883176108158651</v>
      </c>
      <c r="AR218" s="61">
        <v>1</v>
      </c>
      <c r="AS218" s="63">
        <f t="shared" si="48"/>
        <v>0.37197985683563434</v>
      </c>
      <c r="AT218" s="61">
        <v>2</v>
      </c>
      <c r="AU218" s="61">
        <v>0</v>
      </c>
      <c r="AV218" s="63">
        <f t="shared" si="49"/>
        <v>0</v>
      </c>
      <c r="AW218" s="61">
        <v>1.2079852984941715</v>
      </c>
      <c r="AX218" s="61">
        <v>0</v>
      </c>
      <c r="AY218" s="63">
        <f t="shared" si="50"/>
        <v>0</v>
      </c>
      <c r="AZ218" s="61">
        <v>4</v>
      </c>
      <c r="BA218" s="61">
        <v>0</v>
      </c>
      <c r="BB218" s="63">
        <f t="shared" si="51"/>
        <v>0</v>
      </c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</row>
    <row r="219" spans="1:87" x14ac:dyDescent="0.25">
      <c r="A219" s="128">
        <v>21646</v>
      </c>
      <c r="B219" s="128">
        <v>21697</v>
      </c>
      <c r="C219" s="128">
        <v>1036260378</v>
      </c>
      <c r="D219" s="128" t="s">
        <v>789</v>
      </c>
      <c r="E219" s="128" t="s">
        <v>546</v>
      </c>
      <c r="F219" s="128" t="s">
        <v>546</v>
      </c>
      <c r="G219" s="128" t="s">
        <v>78</v>
      </c>
      <c r="H219" s="128" t="s">
        <v>78</v>
      </c>
      <c r="I219" s="128" t="s">
        <v>1218</v>
      </c>
      <c r="J219" s="128" t="s">
        <v>30</v>
      </c>
      <c r="K219" s="128" t="s">
        <v>779</v>
      </c>
      <c r="L219" s="128">
        <v>73025</v>
      </c>
      <c r="M219" s="128" t="s">
        <v>1144</v>
      </c>
      <c r="N219" s="128">
        <v>10</v>
      </c>
      <c r="O219" s="168">
        <v>0.3</v>
      </c>
      <c r="P219" s="157">
        <v>32103</v>
      </c>
      <c r="Q219" s="61">
        <v>7625.22</v>
      </c>
      <c r="R219" s="63">
        <f t="shared" si="39"/>
        <v>0.23752359592561445</v>
      </c>
      <c r="S219" s="61">
        <v>3979</v>
      </c>
      <c r="T219" s="61">
        <v>0</v>
      </c>
      <c r="U219" s="63">
        <f t="shared" si="40"/>
        <v>0</v>
      </c>
      <c r="V219" s="61">
        <v>8463.0795724225809</v>
      </c>
      <c r="W219" s="61">
        <v>0</v>
      </c>
      <c r="X219" s="63">
        <f t="shared" si="41"/>
        <v>0</v>
      </c>
      <c r="Y219" s="61">
        <v>196</v>
      </c>
      <c r="Z219" s="102">
        <v>0</v>
      </c>
      <c r="AA219" s="63">
        <f t="shared" si="42"/>
        <v>0</v>
      </c>
      <c r="AB219" s="61">
        <v>6</v>
      </c>
      <c r="AC219" s="61">
        <v>3</v>
      </c>
      <c r="AD219" s="63">
        <f t="shared" si="43"/>
        <v>0.5</v>
      </c>
      <c r="AE219" s="61">
        <v>1</v>
      </c>
      <c r="AF219" s="61">
        <v>0</v>
      </c>
      <c r="AG219" s="63">
        <f t="shared" si="44"/>
        <v>0</v>
      </c>
      <c r="AH219" s="61">
        <v>34.799156095332343</v>
      </c>
      <c r="AI219" s="61">
        <v>0</v>
      </c>
      <c r="AJ219" s="63">
        <f t="shared" si="45"/>
        <v>0</v>
      </c>
      <c r="AK219" s="61">
        <v>1.5919818145092635</v>
      </c>
      <c r="AL219" s="61">
        <v>0</v>
      </c>
      <c r="AM219" s="63">
        <f t="shared" si="46"/>
        <v>0</v>
      </c>
      <c r="AN219" s="61">
        <v>1.4425090153871452</v>
      </c>
      <c r="AO219" s="61">
        <v>0</v>
      </c>
      <c r="AP219" s="63">
        <f t="shared" si="47"/>
        <v>0</v>
      </c>
      <c r="AQ219" s="61">
        <v>2.6883176108158651</v>
      </c>
      <c r="AR219" s="61">
        <v>0</v>
      </c>
      <c r="AS219" s="63">
        <f t="shared" si="48"/>
        <v>0</v>
      </c>
      <c r="AT219" s="61">
        <v>2</v>
      </c>
      <c r="AU219" s="61">
        <v>0</v>
      </c>
      <c r="AV219" s="63">
        <f t="shared" si="49"/>
        <v>0</v>
      </c>
      <c r="AW219" s="61">
        <v>0.93955062477427942</v>
      </c>
      <c r="AX219" s="61">
        <v>0</v>
      </c>
      <c r="AY219" s="63">
        <f t="shared" si="50"/>
        <v>0</v>
      </c>
      <c r="AZ219" s="61">
        <v>3</v>
      </c>
      <c r="BA219" s="61">
        <v>0</v>
      </c>
      <c r="BB219" s="63">
        <f t="shared" si="51"/>
        <v>0</v>
      </c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</row>
    <row r="220" spans="1:87" x14ac:dyDescent="0.25">
      <c r="A220" s="244">
        <v>21690</v>
      </c>
      <c r="B220" s="244">
        <v>21697</v>
      </c>
      <c r="C220" s="244">
        <v>1076409562</v>
      </c>
      <c r="D220" s="244" t="s">
        <v>791</v>
      </c>
      <c r="E220" s="244" t="s">
        <v>546</v>
      </c>
      <c r="F220" s="244" t="s">
        <v>546</v>
      </c>
      <c r="G220" s="244" t="s">
        <v>80</v>
      </c>
      <c r="H220" s="244" t="s">
        <v>80</v>
      </c>
      <c r="I220" s="244" t="s">
        <v>1218</v>
      </c>
      <c r="J220" s="244" t="s">
        <v>30</v>
      </c>
      <c r="K220" s="244" t="s">
        <v>779</v>
      </c>
      <c r="L220" s="244">
        <v>73025</v>
      </c>
      <c r="M220" s="244" t="s">
        <v>1215</v>
      </c>
      <c r="N220" s="244"/>
      <c r="O220" s="245"/>
      <c r="P220" s="232">
        <v>63653</v>
      </c>
      <c r="Q220" s="61">
        <v>44609.590000000004</v>
      </c>
      <c r="R220" s="63">
        <f t="shared" si="39"/>
        <v>0.70082462727601214</v>
      </c>
      <c r="S220" s="61">
        <v>7076</v>
      </c>
      <c r="T220" s="61">
        <v>0</v>
      </c>
      <c r="U220" s="63">
        <f t="shared" si="40"/>
        <v>0</v>
      </c>
      <c r="V220" s="61">
        <v>16663.151303942512</v>
      </c>
      <c r="W220" s="61">
        <v>3553.48</v>
      </c>
      <c r="X220" s="63">
        <f t="shared" si="41"/>
        <v>0.21325377986331101</v>
      </c>
      <c r="Y220" s="61">
        <v>370</v>
      </c>
      <c r="Z220" s="102">
        <v>0</v>
      </c>
      <c r="AA220" s="63">
        <f t="shared" si="42"/>
        <v>0</v>
      </c>
      <c r="AB220" s="61">
        <v>10</v>
      </c>
      <c r="AC220" s="61">
        <v>4</v>
      </c>
      <c r="AD220" s="63">
        <f t="shared" si="43"/>
        <v>0.4</v>
      </c>
      <c r="AE220" s="61">
        <v>1</v>
      </c>
      <c r="AF220" s="61">
        <v>0</v>
      </c>
      <c r="AG220" s="63">
        <f t="shared" si="44"/>
        <v>0</v>
      </c>
      <c r="AH220" s="61">
        <v>69.598312190664686</v>
      </c>
      <c r="AI220" s="61">
        <v>0</v>
      </c>
      <c r="AJ220" s="63">
        <f t="shared" si="45"/>
        <v>0</v>
      </c>
      <c r="AK220" s="61">
        <v>2.3879727217638953</v>
      </c>
      <c r="AL220" s="61">
        <v>0</v>
      </c>
      <c r="AM220" s="63">
        <f t="shared" si="46"/>
        <v>0</v>
      </c>
      <c r="AN220" s="61">
        <v>2.8850180307742903</v>
      </c>
      <c r="AO220" s="61">
        <v>0</v>
      </c>
      <c r="AP220" s="63">
        <f t="shared" si="47"/>
        <v>0</v>
      </c>
      <c r="AQ220" s="61">
        <v>2.6883176108158651</v>
      </c>
      <c r="AR220" s="61">
        <v>1</v>
      </c>
      <c r="AS220" s="63">
        <f t="shared" si="48"/>
        <v>0.37197985683563434</v>
      </c>
      <c r="AT220" s="61">
        <v>2</v>
      </c>
      <c r="AU220" s="61">
        <v>0</v>
      </c>
      <c r="AV220" s="63">
        <f t="shared" si="49"/>
        <v>0</v>
      </c>
      <c r="AW220" s="61">
        <v>1.8629167342228827</v>
      </c>
      <c r="AX220" s="61">
        <v>0</v>
      </c>
      <c r="AY220" s="63">
        <f t="shared" si="50"/>
        <v>0</v>
      </c>
      <c r="AZ220" s="61">
        <v>5</v>
      </c>
      <c r="BA220" s="61">
        <v>0</v>
      </c>
      <c r="BB220" s="63">
        <f t="shared" si="51"/>
        <v>0</v>
      </c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</row>
    <row r="221" spans="1:87" x14ac:dyDescent="0.25">
      <c r="A221" s="207">
        <v>21659</v>
      </c>
      <c r="B221" s="207">
        <v>21697</v>
      </c>
      <c r="C221" s="207">
        <v>1080002510</v>
      </c>
      <c r="D221" s="207" t="s">
        <v>792</v>
      </c>
      <c r="E221" s="207" t="s">
        <v>546</v>
      </c>
      <c r="F221" s="207" t="s">
        <v>546</v>
      </c>
      <c r="G221" s="207" t="s">
        <v>81</v>
      </c>
      <c r="H221" s="207" t="s">
        <v>81</v>
      </c>
      <c r="I221" s="207" t="s">
        <v>1218</v>
      </c>
      <c r="J221" s="207" t="s">
        <v>30</v>
      </c>
      <c r="K221" s="207" t="s">
        <v>779</v>
      </c>
      <c r="L221" s="207">
        <v>73025</v>
      </c>
      <c r="M221" s="207" t="s">
        <v>1215</v>
      </c>
      <c r="N221" s="207"/>
      <c r="O221" s="242"/>
      <c r="P221" s="243">
        <v>63000</v>
      </c>
      <c r="Q221" s="61">
        <v>69220.02</v>
      </c>
      <c r="R221" s="63">
        <f t="shared" si="39"/>
        <v>1.0987304761904761</v>
      </c>
      <c r="S221" s="61">
        <v>9176</v>
      </c>
      <c r="T221" s="61">
        <v>1099.71</v>
      </c>
      <c r="U221" s="63">
        <f t="shared" si="40"/>
        <v>0.11984633827375764</v>
      </c>
      <c r="V221" s="61">
        <v>16646.659970366287</v>
      </c>
      <c r="W221" s="61">
        <v>11539.82</v>
      </c>
      <c r="X221" s="63">
        <f t="shared" si="41"/>
        <v>0.69322134413406189</v>
      </c>
      <c r="Y221" s="61">
        <v>370</v>
      </c>
      <c r="Z221" s="102">
        <v>0</v>
      </c>
      <c r="AA221" s="63">
        <f t="shared" si="42"/>
        <v>0</v>
      </c>
      <c r="AB221" s="61">
        <v>10</v>
      </c>
      <c r="AC221" s="61">
        <v>4</v>
      </c>
      <c r="AD221" s="63">
        <f t="shared" si="43"/>
        <v>0.4</v>
      </c>
      <c r="AE221" s="61">
        <v>1</v>
      </c>
      <c r="AF221" s="61">
        <v>0</v>
      </c>
      <c r="AG221" s="63">
        <f t="shared" si="44"/>
        <v>0</v>
      </c>
      <c r="AH221" s="61">
        <v>69.598312190664686</v>
      </c>
      <c r="AI221" s="61">
        <v>23</v>
      </c>
      <c r="AJ221" s="63">
        <f t="shared" si="45"/>
        <v>0.33046778400302962</v>
      </c>
      <c r="AK221" s="61">
        <v>2.3879727217638953</v>
      </c>
      <c r="AL221" s="61">
        <v>0</v>
      </c>
      <c r="AM221" s="63">
        <f t="shared" si="46"/>
        <v>0</v>
      </c>
      <c r="AN221" s="61">
        <v>2.8850180307742903</v>
      </c>
      <c r="AO221" s="61">
        <v>0</v>
      </c>
      <c r="AP221" s="63">
        <f t="shared" si="47"/>
        <v>0</v>
      </c>
      <c r="AQ221" s="61">
        <v>2.6883176108158651</v>
      </c>
      <c r="AR221" s="61">
        <v>1</v>
      </c>
      <c r="AS221" s="63">
        <f t="shared" si="48"/>
        <v>0.37197985683563434</v>
      </c>
      <c r="AT221" s="61">
        <v>2</v>
      </c>
      <c r="AU221" s="61">
        <v>0</v>
      </c>
      <c r="AV221" s="63">
        <f t="shared" si="49"/>
        <v>0</v>
      </c>
      <c r="AW221" s="61">
        <v>1.8438055434314427</v>
      </c>
      <c r="AX221" s="61">
        <v>0</v>
      </c>
      <c r="AY221" s="63">
        <f t="shared" si="50"/>
        <v>0</v>
      </c>
      <c r="AZ221" s="61">
        <v>5</v>
      </c>
      <c r="BA221" s="61">
        <v>2</v>
      </c>
      <c r="BB221" s="63">
        <f t="shared" si="51"/>
        <v>0.4</v>
      </c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</row>
    <row r="222" spans="1:87" x14ac:dyDescent="0.25">
      <c r="A222" s="128">
        <v>21777</v>
      </c>
      <c r="B222" s="128">
        <v>21697</v>
      </c>
      <c r="C222" s="128">
        <v>1020499156</v>
      </c>
      <c r="D222" s="128" t="s">
        <v>793</v>
      </c>
      <c r="E222" s="128" t="s">
        <v>546</v>
      </c>
      <c r="F222" s="128" t="s">
        <v>546</v>
      </c>
      <c r="G222" s="128" t="s">
        <v>98</v>
      </c>
      <c r="H222" s="128" t="s">
        <v>98</v>
      </c>
      <c r="I222" s="128" t="s">
        <v>1218</v>
      </c>
      <c r="J222" s="128" t="s">
        <v>30</v>
      </c>
      <c r="K222" s="128" t="s">
        <v>779</v>
      </c>
      <c r="L222" s="128">
        <v>73025</v>
      </c>
      <c r="M222" s="128" t="s">
        <v>1215</v>
      </c>
      <c r="N222" s="128"/>
      <c r="O222" s="168"/>
      <c r="P222" s="157">
        <v>66000</v>
      </c>
      <c r="Q222" s="61">
        <v>43716.54</v>
      </c>
      <c r="R222" s="63">
        <f t="shared" si="39"/>
        <v>0.66237181818181823</v>
      </c>
      <c r="S222" s="61">
        <v>9412</v>
      </c>
      <c r="T222" s="61">
        <v>3216.52</v>
      </c>
      <c r="U222" s="63">
        <f t="shared" si="40"/>
        <v>0.34174670633234167</v>
      </c>
      <c r="V222" s="61">
        <v>16729.116638247404</v>
      </c>
      <c r="W222" s="61">
        <v>5676.08</v>
      </c>
      <c r="X222" s="63">
        <f t="shared" si="41"/>
        <v>0.33929346795412413</v>
      </c>
      <c r="Y222" s="61">
        <v>370</v>
      </c>
      <c r="Z222" s="102">
        <v>0</v>
      </c>
      <c r="AA222" s="63">
        <f t="shared" si="42"/>
        <v>0</v>
      </c>
      <c r="AB222" s="61">
        <v>10</v>
      </c>
      <c r="AC222" s="61">
        <v>3</v>
      </c>
      <c r="AD222" s="63">
        <f t="shared" si="43"/>
        <v>0.3</v>
      </c>
      <c r="AE222" s="61">
        <v>1</v>
      </c>
      <c r="AF222" s="61">
        <v>1</v>
      </c>
      <c r="AG222" s="63">
        <f t="shared" si="44"/>
        <v>1</v>
      </c>
      <c r="AH222" s="61">
        <v>69.598312190664686</v>
      </c>
      <c r="AI222" s="61">
        <v>11</v>
      </c>
      <c r="AJ222" s="63">
        <f t="shared" si="45"/>
        <v>0.15804980974057939</v>
      </c>
      <c r="AK222" s="61">
        <v>2.3879727217638953</v>
      </c>
      <c r="AL222" s="61">
        <v>1</v>
      </c>
      <c r="AM222" s="63">
        <f t="shared" si="46"/>
        <v>0.41876525258686453</v>
      </c>
      <c r="AN222" s="61">
        <v>2.8850180307742903</v>
      </c>
      <c r="AO222" s="61">
        <v>0</v>
      </c>
      <c r="AP222" s="63">
        <f t="shared" si="47"/>
        <v>0</v>
      </c>
      <c r="AQ222" s="61">
        <v>2.6883176108158651</v>
      </c>
      <c r="AR222" s="61">
        <v>0</v>
      </c>
      <c r="AS222" s="63">
        <f t="shared" si="48"/>
        <v>0</v>
      </c>
      <c r="AT222" s="61">
        <v>2</v>
      </c>
      <c r="AU222" s="61">
        <v>0</v>
      </c>
      <c r="AV222" s="63">
        <f t="shared" si="49"/>
        <v>0</v>
      </c>
      <c r="AW222" s="61">
        <v>1.9316058074043685</v>
      </c>
      <c r="AX222" s="61">
        <v>0</v>
      </c>
      <c r="AY222" s="63">
        <f t="shared" si="50"/>
        <v>0</v>
      </c>
      <c r="AZ222" s="61">
        <v>5</v>
      </c>
      <c r="BA222" s="61">
        <v>0</v>
      </c>
      <c r="BB222" s="63">
        <f t="shared" si="51"/>
        <v>0</v>
      </c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</row>
    <row r="223" spans="1:87" x14ac:dyDescent="0.25">
      <c r="A223" s="128">
        <v>21204</v>
      </c>
      <c r="B223" s="128">
        <v>21697</v>
      </c>
      <c r="C223" s="128">
        <v>1047887672</v>
      </c>
      <c r="D223" s="128" t="s">
        <v>794</v>
      </c>
      <c r="E223" s="128" t="s">
        <v>546</v>
      </c>
      <c r="F223" s="128" t="s">
        <v>546</v>
      </c>
      <c r="G223" s="128" t="s">
        <v>82</v>
      </c>
      <c r="H223" s="128" t="s">
        <v>82</v>
      </c>
      <c r="I223" s="128" t="s">
        <v>1218</v>
      </c>
      <c r="J223" s="128" t="s">
        <v>30</v>
      </c>
      <c r="K223" s="128" t="s">
        <v>779</v>
      </c>
      <c r="L223" s="128">
        <v>73025</v>
      </c>
      <c r="M223" s="128" t="s">
        <v>1215</v>
      </c>
      <c r="N223" s="128"/>
      <c r="O223" s="168"/>
      <c r="P223" s="157">
        <v>62551</v>
      </c>
      <c r="Q223" s="61">
        <v>26691.31</v>
      </c>
      <c r="R223" s="63">
        <f t="shared" si="39"/>
        <v>0.42671276238589312</v>
      </c>
      <c r="S223" s="61">
        <v>7040</v>
      </c>
      <c r="T223" s="61">
        <v>0</v>
      </c>
      <c r="U223" s="63">
        <f t="shared" si="40"/>
        <v>0</v>
      </c>
      <c r="V223" s="61">
        <v>16646.659970366287</v>
      </c>
      <c r="W223" s="61">
        <v>1740</v>
      </c>
      <c r="X223" s="63">
        <f t="shared" si="41"/>
        <v>0.10452547256311344</v>
      </c>
      <c r="Y223" s="61">
        <v>370</v>
      </c>
      <c r="Z223" s="102">
        <v>0</v>
      </c>
      <c r="AA223" s="63">
        <f t="shared" si="42"/>
        <v>0</v>
      </c>
      <c r="AB223" s="61">
        <v>10</v>
      </c>
      <c r="AC223" s="61">
        <v>2</v>
      </c>
      <c r="AD223" s="63">
        <f t="shared" si="43"/>
        <v>0.2</v>
      </c>
      <c r="AE223" s="61">
        <v>1</v>
      </c>
      <c r="AF223" s="61">
        <v>0</v>
      </c>
      <c r="AG223" s="63">
        <f t="shared" si="44"/>
        <v>0</v>
      </c>
      <c r="AH223" s="61">
        <v>69.598312190664686</v>
      </c>
      <c r="AI223" s="61">
        <v>25</v>
      </c>
      <c r="AJ223" s="63">
        <f t="shared" si="45"/>
        <v>0.3592041130467713</v>
      </c>
      <c r="AK223" s="61">
        <v>2.3879727217638953</v>
      </c>
      <c r="AL223" s="61">
        <v>0</v>
      </c>
      <c r="AM223" s="63">
        <f t="shared" si="46"/>
        <v>0</v>
      </c>
      <c r="AN223" s="61">
        <v>2.8850180307742903</v>
      </c>
      <c r="AO223" s="61">
        <v>1</v>
      </c>
      <c r="AP223" s="63">
        <f t="shared" si="47"/>
        <v>0.34661828429946306</v>
      </c>
      <c r="AQ223" s="61">
        <v>2.6883176108158651</v>
      </c>
      <c r="AR223" s="61">
        <v>2</v>
      </c>
      <c r="AS223" s="63">
        <f t="shared" si="48"/>
        <v>0.74395971367126867</v>
      </c>
      <c r="AT223" s="61">
        <v>2</v>
      </c>
      <c r="AU223" s="61">
        <v>0</v>
      </c>
      <c r="AV223" s="63">
        <f t="shared" si="49"/>
        <v>0</v>
      </c>
      <c r="AW223" s="61">
        <v>1.8306647705901615</v>
      </c>
      <c r="AX223" s="61">
        <v>0</v>
      </c>
      <c r="AY223" s="63">
        <f t="shared" si="50"/>
        <v>0</v>
      </c>
      <c r="AZ223" s="61">
        <v>5</v>
      </c>
      <c r="BA223" s="61">
        <v>0</v>
      </c>
      <c r="BB223" s="63">
        <f t="shared" si="51"/>
        <v>0</v>
      </c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</row>
    <row r="224" spans="1:87" x14ac:dyDescent="0.25">
      <c r="A224" s="128">
        <v>2683</v>
      </c>
      <c r="B224" s="128">
        <v>21697</v>
      </c>
      <c r="C224" s="128">
        <v>1123614586</v>
      </c>
      <c r="D224" s="128" t="s">
        <v>795</v>
      </c>
      <c r="E224" s="128" t="s">
        <v>546</v>
      </c>
      <c r="F224" s="128" t="s">
        <v>546</v>
      </c>
      <c r="G224" s="128" t="s">
        <v>106</v>
      </c>
      <c r="H224" s="128" t="s">
        <v>107</v>
      </c>
      <c r="I224" s="128" t="s">
        <v>1218</v>
      </c>
      <c r="J224" s="128" t="s">
        <v>30</v>
      </c>
      <c r="K224" s="128" t="s">
        <v>779</v>
      </c>
      <c r="L224" s="128">
        <v>73025</v>
      </c>
      <c r="M224" s="128" t="s">
        <v>1215</v>
      </c>
      <c r="N224" s="128"/>
      <c r="O224" s="168"/>
      <c r="P224" s="157">
        <v>62551</v>
      </c>
      <c r="Q224" s="61">
        <v>43151.540000000008</v>
      </c>
      <c r="R224" s="63">
        <f t="shared" si="39"/>
        <v>0.68986171284232078</v>
      </c>
      <c r="S224" s="61">
        <v>8176</v>
      </c>
      <c r="T224" s="61">
        <v>0</v>
      </c>
      <c r="U224" s="63">
        <f t="shared" si="40"/>
        <v>0</v>
      </c>
      <c r="V224" s="61">
        <v>16762.099305399854</v>
      </c>
      <c r="W224" s="61">
        <v>3587.18</v>
      </c>
      <c r="X224" s="63">
        <f t="shared" si="41"/>
        <v>0.21400541391879249</v>
      </c>
      <c r="Y224" s="61">
        <v>370</v>
      </c>
      <c r="Z224" s="102">
        <v>0</v>
      </c>
      <c r="AA224" s="63">
        <f t="shared" si="42"/>
        <v>0</v>
      </c>
      <c r="AB224" s="61">
        <v>10</v>
      </c>
      <c r="AC224" s="61">
        <v>6</v>
      </c>
      <c r="AD224" s="63">
        <f t="shared" si="43"/>
        <v>0.6</v>
      </c>
      <c r="AE224" s="61">
        <v>1</v>
      </c>
      <c r="AF224" s="61">
        <v>0</v>
      </c>
      <c r="AG224" s="63">
        <f t="shared" si="44"/>
        <v>0</v>
      </c>
      <c r="AH224" s="61">
        <v>69.598312190664686</v>
      </c>
      <c r="AI224" s="61">
        <v>17</v>
      </c>
      <c r="AJ224" s="63">
        <f t="shared" si="45"/>
        <v>0.24425879687180449</v>
      </c>
      <c r="AK224" s="61">
        <v>2.3879727217638953</v>
      </c>
      <c r="AL224" s="61">
        <v>0</v>
      </c>
      <c r="AM224" s="63">
        <f t="shared" si="46"/>
        <v>0</v>
      </c>
      <c r="AN224" s="61">
        <v>2.8850180307742903</v>
      </c>
      <c r="AO224" s="61">
        <v>0</v>
      </c>
      <c r="AP224" s="63">
        <f t="shared" si="47"/>
        <v>0</v>
      </c>
      <c r="AQ224" s="61">
        <v>2.6883176108158651</v>
      </c>
      <c r="AR224" s="61">
        <v>1</v>
      </c>
      <c r="AS224" s="63">
        <f t="shared" si="48"/>
        <v>0.37197985683563434</v>
      </c>
      <c r="AT224" s="61">
        <v>2</v>
      </c>
      <c r="AU224" s="61">
        <v>0</v>
      </c>
      <c r="AV224" s="63">
        <f t="shared" si="49"/>
        <v>0</v>
      </c>
      <c r="AW224" s="61">
        <v>1.8306647705901615</v>
      </c>
      <c r="AX224" s="61">
        <v>0</v>
      </c>
      <c r="AY224" s="63">
        <f t="shared" si="50"/>
        <v>0</v>
      </c>
      <c r="AZ224" s="61">
        <v>5</v>
      </c>
      <c r="BA224" s="61">
        <v>0</v>
      </c>
      <c r="BB224" s="63">
        <f t="shared" si="51"/>
        <v>0</v>
      </c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</row>
    <row r="225" spans="1:87" x14ac:dyDescent="0.25">
      <c r="A225" s="128">
        <v>21583</v>
      </c>
      <c r="B225" s="128">
        <v>17055</v>
      </c>
      <c r="C225" s="128">
        <v>1020953095</v>
      </c>
      <c r="D225" s="128" t="s">
        <v>796</v>
      </c>
      <c r="E225" s="128" t="s">
        <v>541</v>
      </c>
      <c r="F225" s="128" t="s">
        <v>541</v>
      </c>
      <c r="G225" s="128" t="s">
        <v>83</v>
      </c>
      <c r="H225" s="128" t="s">
        <v>83</v>
      </c>
      <c r="I225" s="128" t="s">
        <v>1218</v>
      </c>
      <c r="J225" s="128" t="s">
        <v>30</v>
      </c>
      <c r="K225" s="128" t="s">
        <v>797</v>
      </c>
      <c r="L225" s="128">
        <v>73029</v>
      </c>
      <c r="M225" s="128"/>
      <c r="N225" s="128"/>
      <c r="O225" s="168"/>
      <c r="P225" s="169">
        <v>525320</v>
      </c>
      <c r="Q225" s="61">
        <v>0</v>
      </c>
      <c r="R225" s="63">
        <f t="shared" si="39"/>
        <v>0</v>
      </c>
      <c r="S225" s="61">
        <v>70804</v>
      </c>
      <c r="T225" s="61">
        <v>0</v>
      </c>
      <c r="U225" s="63">
        <f t="shared" si="40"/>
        <v>0</v>
      </c>
      <c r="V225" s="61">
        <v>147070.24695156238</v>
      </c>
      <c r="W225" s="61">
        <v>0</v>
      </c>
      <c r="X225" s="63">
        <f t="shared" si="41"/>
        <v>0</v>
      </c>
      <c r="Y225" s="61">
        <v>4000</v>
      </c>
      <c r="Z225" s="102">
        <v>0</v>
      </c>
      <c r="AA225" s="63">
        <f t="shared" si="42"/>
        <v>0</v>
      </c>
      <c r="AB225" s="61">
        <v>99</v>
      </c>
      <c r="AC225" s="61">
        <v>0</v>
      </c>
      <c r="AD225" s="63">
        <f t="shared" si="43"/>
        <v>0</v>
      </c>
      <c r="AE225" s="61">
        <v>12</v>
      </c>
      <c r="AF225" s="61">
        <v>0</v>
      </c>
      <c r="AG225" s="63">
        <f t="shared" si="44"/>
        <v>0</v>
      </c>
      <c r="AH225" s="61">
        <v>590.71954955709487</v>
      </c>
      <c r="AI225" s="61">
        <v>0</v>
      </c>
      <c r="AJ225" s="63">
        <f t="shared" si="45"/>
        <v>0</v>
      </c>
      <c r="AK225" s="61">
        <v>20.695763588620427</v>
      </c>
      <c r="AL225" s="61">
        <v>0</v>
      </c>
      <c r="AM225" s="63">
        <f t="shared" si="46"/>
        <v>0</v>
      </c>
      <c r="AN225" s="61">
        <v>24.522653261581468</v>
      </c>
      <c r="AO225" s="61">
        <v>0</v>
      </c>
      <c r="AP225" s="63">
        <f t="shared" si="47"/>
        <v>0</v>
      </c>
      <c r="AQ225" s="61">
        <v>53.766352216317301</v>
      </c>
      <c r="AR225" s="61">
        <v>0</v>
      </c>
      <c r="AS225" s="63">
        <f t="shared" si="48"/>
        <v>0</v>
      </c>
      <c r="AT225" s="61">
        <v>27</v>
      </c>
      <c r="AU225" s="61">
        <v>0</v>
      </c>
      <c r="AV225" s="63">
        <f t="shared" si="49"/>
        <v>0</v>
      </c>
      <c r="AW225" s="61">
        <v>15.374411556752467</v>
      </c>
      <c r="AX225" s="61">
        <v>0</v>
      </c>
      <c r="AY225" s="63">
        <f t="shared" si="50"/>
        <v>0</v>
      </c>
      <c r="AZ225" s="61">
        <v>43</v>
      </c>
      <c r="BA225" s="61">
        <v>0</v>
      </c>
      <c r="BB225" s="63">
        <f t="shared" si="51"/>
        <v>0</v>
      </c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</row>
    <row r="226" spans="1:87" x14ac:dyDescent="0.25">
      <c r="A226" s="123">
        <v>21663</v>
      </c>
      <c r="B226" s="123">
        <v>21583</v>
      </c>
      <c r="C226" s="123">
        <v>1065187971</v>
      </c>
      <c r="D226" s="123" t="s">
        <v>798</v>
      </c>
      <c r="E226" s="123" t="s">
        <v>544</v>
      </c>
      <c r="F226" s="123" t="s">
        <v>544</v>
      </c>
      <c r="G226" s="123" t="s">
        <v>84</v>
      </c>
      <c r="H226" s="123" t="s">
        <v>84</v>
      </c>
      <c r="I226" s="123" t="s">
        <v>1218</v>
      </c>
      <c r="J226" s="123" t="s">
        <v>30</v>
      </c>
      <c r="K226" s="123" t="s">
        <v>797</v>
      </c>
      <c r="L226" s="123">
        <v>73029</v>
      </c>
      <c r="M226" s="123"/>
      <c r="N226" s="123"/>
      <c r="O226" s="166"/>
      <c r="P226" s="167">
        <v>525320</v>
      </c>
      <c r="Q226" s="61">
        <v>5400</v>
      </c>
      <c r="R226" s="63">
        <f t="shared" si="39"/>
        <v>1.0279448716972513E-2</v>
      </c>
      <c r="S226" s="61">
        <v>70804</v>
      </c>
      <c r="T226" s="61">
        <v>0</v>
      </c>
      <c r="U226" s="63">
        <f t="shared" si="40"/>
        <v>0</v>
      </c>
      <c r="V226" s="61">
        <v>147070.24695156238</v>
      </c>
      <c r="W226" s="61">
        <v>0</v>
      </c>
      <c r="X226" s="63">
        <f t="shared" si="41"/>
        <v>0</v>
      </c>
      <c r="Y226" s="61">
        <v>400</v>
      </c>
      <c r="Z226" s="102">
        <v>0</v>
      </c>
      <c r="AA226" s="63">
        <f t="shared" si="42"/>
        <v>0</v>
      </c>
      <c r="AB226" s="61">
        <v>99</v>
      </c>
      <c r="AC226" s="61">
        <v>0</v>
      </c>
      <c r="AD226" s="63">
        <f t="shared" si="43"/>
        <v>0</v>
      </c>
      <c r="AE226" s="61">
        <v>12</v>
      </c>
      <c r="AF226" s="61">
        <v>0</v>
      </c>
      <c r="AG226" s="63">
        <f t="shared" si="44"/>
        <v>0</v>
      </c>
      <c r="AH226" s="61">
        <v>590.71954955709487</v>
      </c>
      <c r="AI226" s="61">
        <v>2</v>
      </c>
      <c r="AJ226" s="63">
        <f t="shared" si="45"/>
        <v>3.3857013899396839E-3</v>
      </c>
      <c r="AK226" s="61">
        <v>20.695763588620427</v>
      </c>
      <c r="AL226" s="61">
        <v>0</v>
      </c>
      <c r="AM226" s="63">
        <f t="shared" si="46"/>
        <v>0</v>
      </c>
      <c r="AN226" s="61">
        <v>24.522653261581468</v>
      </c>
      <c r="AO226" s="61">
        <v>0</v>
      </c>
      <c r="AP226" s="63">
        <f t="shared" si="47"/>
        <v>0</v>
      </c>
      <c r="AQ226" s="61">
        <v>53.766352216317301</v>
      </c>
      <c r="AR226" s="61">
        <v>0</v>
      </c>
      <c r="AS226" s="63">
        <f t="shared" si="48"/>
        <v>0</v>
      </c>
      <c r="AT226" s="61">
        <v>27</v>
      </c>
      <c r="AU226" s="61">
        <v>1</v>
      </c>
      <c r="AV226" s="63">
        <f t="shared" si="49"/>
        <v>3.7037037037037035E-2</v>
      </c>
      <c r="AW226" s="61">
        <v>15.374411556752467</v>
      </c>
      <c r="AX226" s="61">
        <v>0</v>
      </c>
      <c r="AY226" s="63">
        <f t="shared" si="50"/>
        <v>0</v>
      </c>
      <c r="AZ226" s="61">
        <v>43</v>
      </c>
      <c r="BA226" s="61">
        <v>0</v>
      </c>
      <c r="BB226" s="63">
        <f t="shared" si="51"/>
        <v>0</v>
      </c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</row>
    <row r="227" spans="1:87" x14ac:dyDescent="0.25">
      <c r="A227" s="128">
        <v>254</v>
      </c>
      <c r="B227" s="128">
        <v>21663</v>
      </c>
      <c r="C227" s="128">
        <v>1092184785</v>
      </c>
      <c r="D227" s="128" t="s">
        <v>799</v>
      </c>
      <c r="E227" s="128" t="s">
        <v>546</v>
      </c>
      <c r="F227" s="128" t="s">
        <v>546</v>
      </c>
      <c r="G227" s="128" t="s">
        <v>85</v>
      </c>
      <c r="H227" s="128" t="s">
        <v>86</v>
      </c>
      <c r="I227" s="128" t="s">
        <v>1218</v>
      </c>
      <c r="J227" s="128" t="s">
        <v>30</v>
      </c>
      <c r="K227" s="128" t="s">
        <v>797</v>
      </c>
      <c r="L227" s="128">
        <v>73029</v>
      </c>
      <c r="M227" s="128" t="s">
        <v>1145</v>
      </c>
      <c r="N227" s="128"/>
      <c r="O227" s="168"/>
      <c r="P227" s="157">
        <v>130707</v>
      </c>
      <c r="Q227" s="61">
        <v>143784.38999999998</v>
      </c>
      <c r="R227" s="63">
        <f t="shared" si="39"/>
        <v>1.1000511831807018</v>
      </c>
      <c r="S227" s="61">
        <v>18991</v>
      </c>
      <c r="T227" s="61">
        <v>10467.82</v>
      </c>
      <c r="U227" s="63">
        <f t="shared" si="40"/>
        <v>0.55119898899478703</v>
      </c>
      <c r="V227" s="61">
        <v>37992</v>
      </c>
      <c r="W227" s="61">
        <v>25219.119999999999</v>
      </c>
      <c r="X227" s="63">
        <f t="shared" si="41"/>
        <v>0.66380080016845644</v>
      </c>
      <c r="Y227" s="61">
        <v>1300</v>
      </c>
      <c r="Z227" s="102">
        <v>299</v>
      </c>
      <c r="AA227" s="63">
        <f t="shared" si="42"/>
        <v>0.23</v>
      </c>
      <c r="AB227" s="61">
        <v>26</v>
      </c>
      <c r="AC227" s="61">
        <v>18</v>
      </c>
      <c r="AD227" s="63">
        <f t="shared" si="43"/>
        <v>0.69230769230769229</v>
      </c>
      <c r="AE227" s="61">
        <v>3</v>
      </c>
      <c r="AF227" s="61">
        <v>3</v>
      </c>
      <c r="AG227" s="63">
        <f t="shared" si="44"/>
        <v>1</v>
      </c>
      <c r="AH227" s="61">
        <v>154</v>
      </c>
      <c r="AI227" s="61">
        <v>93</v>
      </c>
      <c r="AJ227" s="63">
        <f t="shared" si="45"/>
        <v>0.60389610389610393</v>
      </c>
      <c r="AK227" s="61">
        <v>7</v>
      </c>
      <c r="AL227" s="61">
        <v>2</v>
      </c>
      <c r="AM227" s="63">
        <f t="shared" si="46"/>
        <v>0.2857142857142857</v>
      </c>
      <c r="AN227" s="61">
        <v>9</v>
      </c>
      <c r="AO227" s="61">
        <v>1</v>
      </c>
      <c r="AP227" s="63">
        <f t="shared" si="47"/>
        <v>0.1111111111111111</v>
      </c>
      <c r="AQ227" s="61">
        <v>13</v>
      </c>
      <c r="AR227" s="61">
        <v>13</v>
      </c>
      <c r="AS227" s="63">
        <f t="shared" si="48"/>
        <v>1</v>
      </c>
      <c r="AT227" s="61">
        <v>4</v>
      </c>
      <c r="AU227" s="61">
        <v>1</v>
      </c>
      <c r="AV227" s="63">
        <f t="shared" si="49"/>
        <v>0.25</v>
      </c>
      <c r="AW227" s="61">
        <v>3.8253697010364061</v>
      </c>
      <c r="AX227" s="61">
        <v>0</v>
      </c>
      <c r="AY227" s="63">
        <f t="shared" si="50"/>
        <v>0</v>
      </c>
      <c r="AZ227" s="61">
        <v>11</v>
      </c>
      <c r="BA227" s="61">
        <v>0</v>
      </c>
      <c r="BB227" s="63">
        <f t="shared" si="51"/>
        <v>0</v>
      </c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</row>
    <row r="228" spans="1:87" s="104" customFormat="1" x14ac:dyDescent="0.25">
      <c r="A228" s="128">
        <v>32072</v>
      </c>
      <c r="B228" s="128">
        <v>21663</v>
      </c>
      <c r="C228" s="128">
        <v>1113281149</v>
      </c>
      <c r="D228" s="128" t="s">
        <v>800</v>
      </c>
      <c r="E228" s="128" t="s">
        <v>546</v>
      </c>
      <c r="F228" s="128" t="s">
        <v>546</v>
      </c>
      <c r="G228" s="128" t="s">
        <v>476</v>
      </c>
      <c r="H228" s="128" t="s">
        <v>476</v>
      </c>
      <c r="I228" s="128" t="s">
        <v>1218</v>
      </c>
      <c r="J228" s="128" t="s">
        <v>30</v>
      </c>
      <c r="K228" s="128" t="s">
        <v>797</v>
      </c>
      <c r="L228" s="128">
        <v>73029</v>
      </c>
      <c r="M228" s="128" t="s">
        <v>1146</v>
      </c>
      <c r="N228" s="128">
        <v>5</v>
      </c>
      <c r="O228" s="168">
        <v>0.1</v>
      </c>
      <c r="P228" s="157">
        <v>118199</v>
      </c>
      <c r="Q228" s="61">
        <v>50788.700000000004</v>
      </c>
      <c r="R228" s="63">
        <f t="shared" si="39"/>
        <v>0.42968806842697488</v>
      </c>
      <c r="S228" s="61">
        <v>15931</v>
      </c>
      <c r="T228" s="61">
        <v>0</v>
      </c>
      <c r="U228" s="63">
        <f t="shared" si="40"/>
        <v>0</v>
      </c>
      <c r="V228" s="61">
        <v>33095</v>
      </c>
      <c r="W228" s="61">
        <v>7384.7300000000005</v>
      </c>
      <c r="X228" s="63">
        <f t="shared" si="41"/>
        <v>0.22313733192325125</v>
      </c>
      <c r="Y228" s="61">
        <v>900</v>
      </c>
      <c r="Z228" s="102">
        <v>0</v>
      </c>
      <c r="AA228" s="63">
        <f t="shared" si="42"/>
        <v>0</v>
      </c>
      <c r="AB228" s="61">
        <v>21</v>
      </c>
      <c r="AC228" s="61">
        <v>4</v>
      </c>
      <c r="AD228" s="63">
        <f t="shared" si="43"/>
        <v>0.19047619047619047</v>
      </c>
      <c r="AE228" s="61">
        <v>3</v>
      </c>
      <c r="AF228" s="61">
        <v>0</v>
      </c>
      <c r="AG228" s="63">
        <f t="shared" si="44"/>
        <v>0</v>
      </c>
      <c r="AH228" s="61">
        <v>132</v>
      </c>
      <c r="AI228" s="61">
        <v>66</v>
      </c>
      <c r="AJ228" s="63">
        <f t="shared" si="45"/>
        <v>0.5</v>
      </c>
      <c r="AK228" s="61">
        <v>5</v>
      </c>
      <c r="AL228" s="61">
        <v>0</v>
      </c>
      <c r="AM228" s="63">
        <f t="shared" si="46"/>
        <v>0</v>
      </c>
      <c r="AN228" s="61">
        <v>7</v>
      </c>
      <c r="AO228" s="61">
        <v>0</v>
      </c>
      <c r="AP228" s="63">
        <f t="shared" si="47"/>
        <v>0</v>
      </c>
      <c r="AQ228" s="61">
        <v>15</v>
      </c>
      <c r="AR228" s="61">
        <v>1</v>
      </c>
      <c r="AS228" s="63">
        <f t="shared" si="48"/>
        <v>6.6666666666666666E-2</v>
      </c>
      <c r="AT228" s="61">
        <v>7</v>
      </c>
      <c r="AU228" s="61">
        <v>0</v>
      </c>
      <c r="AV228" s="63">
        <f t="shared" si="49"/>
        <v>0</v>
      </c>
      <c r="AW228" s="61">
        <v>3.4593011337786206</v>
      </c>
      <c r="AX228" s="61">
        <v>0</v>
      </c>
      <c r="AY228" s="63">
        <f t="shared" si="50"/>
        <v>0</v>
      </c>
      <c r="AZ228" s="61">
        <v>10</v>
      </c>
      <c r="BA228" s="61">
        <v>2</v>
      </c>
      <c r="BB228" s="63">
        <f t="shared" si="51"/>
        <v>0.2</v>
      </c>
    </row>
    <row r="229" spans="1:87" x14ac:dyDescent="0.25">
      <c r="A229" s="128">
        <v>32073</v>
      </c>
      <c r="B229" s="128">
        <v>21663</v>
      </c>
      <c r="C229" s="128">
        <v>1078005558</v>
      </c>
      <c r="D229" s="128" t="s">
        <v>801</v>
      </c>
      <c r="E229" s="128" t="s">
        <v>546</v>
      </c>
      <c r="F229" s="128" t="s">
        <v>546</v>
      </c>
      <c r="G229" s="128" t="s">
        <v>477</v>
      </c>
      <c r="H229" s="128" t="s">
        <v>477</v>
      </c>
      <c r="I229" s="128" t="s">
        <v>1218</v>
      </c>
      <c r="J229" s="128" t="s">
        <v>30</v>
      </c>
      <c r="K229" s="128" t="s">
        <v>797</v>
      </c>
      <c r="L229" s="128">
        <v>73029</v>
      </c>
      <c r="M229" s="128" t="s">
        <v>1225</v>
      </c>
      <c r="N229" s="128"/>
      <c r="O229" s="168"/>
      <c r="P229" s="157">
        <v>137707</v>
      </c>
      <c r="Q229" s="61">
        <v>111419.16</v>
      </c>
      <c r="R229" s="63">
        <f t="shared" si="39"/>
        <v>0.80910309570319594</v>
      </c>
      <c r="S229" s="61">
        <v>17491</v>
      </c>
      <c r="T229" s="61">
        <v>6433.04</v>
      </c>
      <c r="U229" s="63">
        <f t="shared" si="40"/>
        <v>0.36779143559544908</v>
      </c>
      <c r="V229" s="61">
        <v>37993</v>
      </c>
      <c r="W229" s="61">
        <v>3130.87</v>
      </c>
      <c r="X229" s="63">
        <f t="shared" si="41"/>
        <v>8.2406495933461429E-2</v>
      </c>
      <c r="Y229" s="61">
        <v>900</v>
      </c>
      <c r="Z229" s="102">
        <v>0</v>
      </c>
      <c r="AA229" s="63">
        <f t="shared" si="42"/>
        <v>0</v>
      </c>
      <c r="AB229" s="61">
        <v>26</v>
      </c>
      <c r="AC229" s="61">
        <v>6</v>
      </c>
      <c r="AD229" s="63">
        <f t="shared" si="43"/>
        <v>0.23076923076923078</v>
      </c>
      <c r="AE229" s="61">
        <v>3</v>
      </c>
      <c r="AF229" s="61">
        <v>0</v>
      </c>
      <c r="AG229" s="63">
        <f t="shared" si="44"/>
        <v>0</v>
      </c>
      <c r="AH229" s="61">
        <v>154</v>
      </c>
      <c r="AI229" s="61">
        <v>134</v>
      </c>
      <c r="AJ229" s="63">
        <f t="shared" si="45"/>
        <v>0.87012987012987009</v>
      </c>
      <c r="AK229" s="61">
        <v>7</v>
      </c>
      <c r="AL229" s="61">
        <v>4</v>
      </c>
      <c r="AM229" s="63">
        <f t="shared" si="46"/>
        <v>0.5714285714285714</v>
      </c>
      <c r="AN229" s="61">
        <v>9</v>
      </c>
      <c r="AO229" s="61">
        <v>0</v>
      </c>
      <c r="AP229" s="63">
        <f t="shared" si="47"/>
        <v>0</v>
      </c>
      <c r="AQ229" s="61">
        <v>13</v>
      </c>
      <c r="AR229" s="61">
        <v>3</v>
      </c>
      <c r="AS229" s="63">
        <f t="shared" si="48"/>
        <v>0.23076923076923078</v>
      </c>
      <c r="AT229" s="61">
        <v>12</v>
      </c>
      <c r="AU229" s="61">
        <v>0</v>
      </c>
      <c r="AV229" s="63">
        <f t="shared" si="49"/>
        <v>0</v>
      </c>
      <c r="AW229" s="61">
        <v>4.0302369836398997</v>
      </c>
      <c r="AX229" s="61">
        <v>0</v>
      </c>
      <c r="AY229" s="63">
        <f t="shared" si="50"/>
        <v>0</v>
      </c>
      <c r="AZ229" s="61">
        <v>11</v>
      </c>
      <c r="BA229" s="61">
        <v>0</v>
      </c>
      <c r="BB229" s="63">
        <f t="shared" si="51"/>
        <v>0</v>
      </c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</row>
    <row r="230" spans="1:87" x14ac:dyDescent="0.25">
      <c r="A230" s="128">
        <v>7312</v>
      </c>
      <c r="B230" s="128">
        <v>21663</v>
      </c>
      <c r="C230" s="128">
        <v>1065546887</v>
      </c>
      <c r="D230" s="128" t="s">
        <v>802</v>
      </c>
      <c r="E230" s="128" t="s">
        <v>546</v>
      </c>
      <c r="F230" s="128" t="s">
        <v>546</v>
      </c>
      <c r="G230" s="128" t="s">
        <v>87</v>
      </c>
      <c r="H230" s="128" t="s">
        <v>88</v>
      </c>
      <c r="I230" s="128" t="s">
        <v>1218</v>
      </c>
      <c r="J230" s="128" t="s">
        <v>30</v>
      </c>
      <c r="K230" s="128" t="s">
        <v>797</v>
      </c>
      <c r="L230" s="128">
        <v>73029</v>
      </c>
      <c r="M230" s="128" t="s">
        <v>1219</v>
      </c>
      <c r="N230" s="128"/>
      <c r="O230" s="168"/>
      <c r="P230" s="157">
        <v>138707</v>
      </c>
      <c r="Q230" s="61">
        <v>93144.360000000015</v>
      </c>
      <c r="R230" s="63">
        <f t="shared" si="39"/>
        <v>0.67151881303755412</v>
      </c>
      <c r="S230" s="61">
        <v>18391</v>
      </c>
      <c r="T230" s="61">
        <v>3225.22</v>
      </c>
      <c r="U230" s="63">
        <f t="shared" si="40"/>
        <v>0.17536947419933663</v>
      </c>
      <c r="V230" s="61">
        <v>37992</v>
      </c>
      <c r="W230" s="61">
        <v>10430.000000000002</v>
      </c>
      <c r="X230" s="63">
        <f t="shared" si="41"/>
        <v>0.27453148031164459</v>
      </c>
      <c r="Y230" s="61">
        <v>900</v>
      </c>
      <c r="Z230" s="102">
        <v>80</v>
      </c>
      <c r="AA230" s="63">
        <f t="shared" si="42"/>
        <v>8.8888888888888892E-2</v>
      </c>
      <c r="AB230" s="61">
        <v>26</v>
      </c>
      <c r="AC230" s="61">
        <v>4</v>
      </c>
      <c r="AD230" s="63">
        <f t="shared" si="43"/>
        <v>0.15384615384615385</v>
      </c>
      <c r="AE230" s="61">
        <v>3</v>
      </c>
      <c r="AF230" s="61">
        <v>2</v>
      </c>
      <c r="AG230" s="63">
        <f t="shared" si="44"/>
        <v>0.66666666666666663</v>
      </c>
      <c r="AH230" s="61">
        <v>154</v>
      </c>
      <c r="AI230" s="61">
        <v>91</v>
      </c>
      <c r="AJ230" s="63">
        <f t="shared" si="45"/>
        <v>0.59090909090909094</v>
      </c>
      <c r="AK230" s="61">
        <v>7</v>
      </c>
      <c r="AL230" s="61">
        <v>1</v>
      </c>
      <c r="AM230" s="63">
        <f t="shared" si="46"/>
        <v>0.14285714285714285</v>
      </c>
      <c r="AN230" s="61">
        <v>9</v>
      </c>
      <c r="AO230" s="61">
        <v>2</v>
      </c>
      <c r="AP230" s="63">
        <f t="shared" si="47"/>
        <v>0.22222222222222221</v>
      </c>
      <c r="AQ230" s="61">
        <v>19</v>
      </c>
      <c r="AR230" s="61">
        <v>3</v>
      </c>
      <c r="AS230" s="63">
        <f t="shared" si="48"/>
        <v>0.15789473684210525</v>
      </c>
      <c r="AT230" s="61">
        <v>4</v>
      </c>
      <c r="AU230" s="61">
        <v>0</v>
      </c>
      <c r="AV230" s="63">
        <f t="shared" si="49"/>
        <v>0</v>
      </c>
      <c r="AW230" s="61">
        <v>4.0595037382975416</v>
      </c>
      <c r="AX230" s="61">
        <v>0</v>
      </c>
      <c r="AY230" s="63">
        <f t="shared" si="50"/>
        <v>0</v>
      </c>
      <c r="AZ230" s="61">
        <v>11</v>
      </c>
      <c r="BA230" s="61">
        <v>2</v>
      </c>
      <c r="BB230" s="63">
        <f t="shared" si="51"/>
        <v>0.18181818181818182</v>
      </c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</row>
    <row r="231" spans="1:87" x14ac:dyDescent="0.25">
      <c r="A231" s="128">
        <v>21231</v>
      </c>
      <c r="B231" s="128">
        <v>17055</v>
      </c>
      <c r="C231" s="128">
        <v>1051260097</v>
      </c>
      <c r="D231" s="128" t="s">
        <v>815</v>
      </c>
      <c r="E231" s="128" t="s">
        <v>541</v>
      </c>
      <c r="F231" s="128" t="s">
        <v>541</v>
      </c>
      <c r="G231" s="128" t="s">
        <v>90</v>
      </c>
      <c r="H231" s="128" t="s">
        <v>90</v>
      </c>
      <c r="I231" s="128" t="s">
        <v>1218</v>
      </c>
      <c r="J231" s="128" t="s">
        <v>30</v>
      </c>
      <c r="K231" s="128" t="s">
        <v>805</v>
      </c>
      <c r="L231" s="128">
        <v>73036</v>
      </c>
      <c r="M231" s="128"/>
      <c r="N231" s="128"/>
      <c r="O231" s="168"/>
      <c r="P231" s="169">
        <v>1517592</v>
      </c>
      <c r="Q231" s="61">
        <v>0</v>
      </c>
      <c r="R231" s="63">
        <f t="shared" si="39"/>
        <v>0</v>
      </c>
      <c r="S231" s="61">
        <v>141608</v>
      </c>
      <c r="T231" s="61">
        <v>0</v>
      </c>
      <c r="U231" s="63">
        <f t="shared" si="40"/>
        <v>0</v>
      </c>
      <c r="V231" s="61">
        <v>289511.49390312476</v>
      </c>
      <c r="W231" s="61">
        <v>0</v>
      </c>
      <c r="X231" s="63">
        <f t="shared" si="41"/>
        <v>0</v>
      </c>
      <c r="Y231" s="61">
        <v>10487</v>
      </c>
      <c r="Z231" s="102">
        <v>0</v>
      </c>
      <c r="AA231" s="63">
        <f t="shared" si="42"/>
        <v>0</v>
      </c>
      <c r="AB231" s="61">
        <v>242</v>
      </c>
      <c r="AC231" s="61">
        <v>0</v>
      </c>
      <c r="AD231" s="63">
        <f t="shared" si="43"/>
        <v>0</v>
      </c>
      <c r="AE231" s="61">
        <v>31</v>
      </c>
      <c r="AF231" s="61">
        <v>0</v>
      </c>
      <c r="AG231" s="63">
        <f t="shared" si="44"/>
        <v>0</v>
      </c>
      <c r="AH231" s="61">
        <v>1182.4056251300785</v>
      </c>
      <c r="AI231" s="61">
        <v>0</v>
      </c>
      <c r="AJ231" s="63">
        <f t="shared" si="45"/>
        <v>0</v>
      </c>
      <c r="AK231" s="61">
        <v>42.18751808449548</v>
      </c>
      <c r="AL231" s="61">
        <v>0</v>
      </c>
      <c r="AM231" s="63">
        <f t="shared" si="46"/>
        <v>0</v>
      </c>
      <c r="AN231" s="61">
        <v>44.7177794770015</v>
      </c>
      <c r="AO231" s="61">
        <v>0</v>
      </c>
      <c r="AP231" s="63">
        <f t="shared" si="47"/>
        <v>0</v>
      </c>
      <c r="AQ231" s="61">
        <v>108.42881030290656</v>
      </c>
      <c r="AR231" s="61">
        <v>0</v>
      </c>
      <c r="AS231" s="63">
        <f t="shared" si="48"/>
        <v>0</v>
      </c>
      <c r="AT231" s="61">
        <v>85</v>
      </c>
      <c r="AU231" s="61">
        <v>0</v>
      </c>
      <c r="AV231" s="63">
        <f t="shared" si="49"/>
        <v>0</v>
      </c>
      <c r="AW231" s="61">
        <v>44.414992734400158</v>
      </c>
      <c r="AX231" s="61">
        <v>0</v>
      </c>
      <c r="AY231" s="63">
        <f t="shared" si="50"/>
        <v>0</v>
      </c>
      <c r="AZ231" s="61">
        <v>97</v>
      </c>
      <c r="BA231" s="61">
        <v>0</v>
      </c>
      <c r="BB231" s="63">
        <f t="shared" si="51"/>
        <v>0</v>
      </c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</row>
    <row r="232" spans="1:87" x14ac:dyDescent="0.25">
      <c r="A232" s="116">
        <v>21104</v>
      </c>
      <c r="B232" s="116">
        <v>21231</v>
      </c>
      <c r="C232" s="116">
        <v>1026621068</v>
      </c>
      <c r="D232" s="116" t="s">
        <v>806</v>
      </c>
      <c r="E232" s="116" t="s">
        <v>544</v>
      </c>
      <c r="F232" s="116" t="s">
        <v>544</v>
      </c>
      <c r="G232" s="116" t="s">
        <v>99</v>
      </c>
      <c r="H232" s="116" t="s">
        <v>99</v>
      </c>
      <c r="I232" s="116" t="s">
        <v>1218</v>
      </c>
      <c r="J232" s="116" t="s">
        <v>30</v>
      </c>
      <c r="K232" s="116" t="s">
        <v>805</v>
      </c>
      <c r="L232" s="116">
        <v>73036</v>
      </c>
      <c r="M232" s="116"/>
      <c r="N232" s="116"/>
      <c r="O232" s="170"/>
      <c r="P232" s="153">
        <v>802357</v>
      </c>
      <c r="Q232" s="61">
        <v>0</v>
      </c>
      <c r="R232" s="63">
        <f t="shared" si="39"/>
        <v>0</v>
      </c>
      <c r="S232" s="61">
        <v>76425</v>
      </c>
      <c r="T232" s="61">
        <v>0</v>
      </c>
      <c r="U232" s="63">
        <f t="shared" si="40"/>
        <v>0</v>
      </c>
      <c r="V232" s="61">
        <v>153575</v>
      </c>
      <c r="W232" s="61">
        <v>0</v>
      </c>
      <c r="X232" s="63">
        <f t="shared" si="41"/>
        <v>0</v>
      </c>
      <c r="Y232" s="61">
        <v>8054</v>
      </c>
      <c r="Z232" s="102">
        <v>0</v>
      </c>
      <c r="AA232" s="63">
        <f t="shared" si="42"/>
        <v>0</v>
      </c>
      <c r="AB232" s="61">
        <v>127</v>
      </c>
      <c r="AC232" s="61">
        <v>0</v>
      </c>
      <c r="AD232" s="63">
        <f t="shared" si="43"/>
        <v>0</v>
      </c>
      <c r="AE232" s="61">
        <v>17</v>
      </c>
      <c r="AF232" s="61">
        <v>0</v>
      </c>
      <c r="AG232" s="63">
        <f t="shared" si="44"/>
        <v>0</v>
      </c>
      <c r="AH232" s="61">
        <v>628</v>
      </c>
      <c r="AI232" s="61">
        <v>3</v>
      </c>
      <c r="AJ232" s="63">
        <f t="shared" si="45"/>
        <v>4.7770700636942673E-3</v>
      </c>
      <c r="AK232" s="61">
        <v>28</v>
      </c>
      <c r="AL232" s="61">
        <v>1</v>
      </c>
      <c r="AM232" s="63">
        <f t="shared" si="46"/>
        <v>3.5714285714285712E-2</v>
      </c>
      <c r="AN232" s="61">
        <v>32</v>
      </c>
      <c r="AO232" s="61">
        <v>1</v>
      </c>
      <c r="AP232" s="63">
        <f t="shared" si="47"/>
        <v>3.125E-2</v>
      </c>
      <c r="AQ232" s="61">
        <v>71</v>
      </c>
      <c r="AR232" s="61">
        <v>0</v>
      </c>
      <c r="AS232" s="63">
        <f t="shared" si="48"/>
        <v>0</v>
      </c>
      <c r="AT232" s="61">
        <v>9</v>
      </c>
      <c r="AU232" s="61">
        <v>0</v>
      </c>
      <c r="AV232" s="63">
        <f t="shared" si="49"/>
        <v>0</v>
      </c>
      <c r="AW232" s="61">
        <v>24.285699348684577</v>
      </c>
      <c r="AX232" s="61">
        <v>0</v>
      </c>
      <c r="AY232" s="63">
        <f t="shared" si="50"/>
        <v>0</v>
      </c>
      <c r="AZ232" s="61">
        <v>52</v>
      </c>
      <c r="BA232" s="61">
        <v>0</v>
      </c>
      <c r="BB232" s="63">
        <f t="shared" si="51"/>
        <v>0</v>
      </c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</row>
    <row r="233" spans="1:87" x14ac:dyDescent="0.25">
      <c r="A233" s="207">
        <v>21691</v>
      </c>
      <c r="B233" s="207">
        <v>21104</v>
      </c>
      <c r="C233" s="207">
        <v>1055264798</v>
      </c>
      <c r="D233" s="207" t="s">
        <v>809</v>
      </c>
      <c r="E233" s="207" t="s">
        <v>546</v>
      </c>
      <c r="F233" s="207" t="s">
        <v>546</v>
      </c>
      <c r="G233" s="207" t="s">
        <v>438</v>
      </c>
      <c r="H233" s="207" t="s">
        <v>438</v>
      </c>
      <c r="I233" s="207" t="s">
        <v>1218</v>
      </c>
      <c r="J233" s="207" t="s">
        <v>30</v>
      </c>
      <c r="K233" s="207" t="s">
        <v>805</v>
      </c>
      <c r="L233" s="207">
        <v>73036</v>
      </c>
      <c r="M233" s="207" t="s">
        <v>1143</v>
      </c>
      <c r="N233" s="207"/>
      <c r="O233" s="242">
        <v>0.5</v>
      </c>
      <c r="P233" s="243">
        <v>44635</v>
      </c>
      <c r="Q233" s="61">
        <v>58603.5</v>
      </c>
      <c r="R233" s="63">
        <f t="shared" si="39"/>
        <v>1.3129494791083232</v>
      </c>
      <c r="S233" s="61">
        <v>4590</v>
      </c>
      <c r="T233" s="61">
        <v>3216.52</v>
      </c>
      <c r="U233" s="63">
        <f t="shared" si="40"/>
        <v>0.70076688453159042</v>
      </c>
      <c r="V233" s="61">
        <v>9047</v>
      </c>
      <c r="W233" s="61">
        <v>11796.9</v>
      </c>
      <c r="X233" s="63">
        <f t="shared" si="41"/>
        <v>1.30395711285509</v>
      </c>
      <c r="Y233" s="61">
        <v>174</v>
      </c>
      <c r="Z233" s="102">
        <v>0</v>
      </c>
      <c r="AA233" s="63">
        <f t="shared" si="42"/>
        <v>0</v>
      </c>
      <c r="AB233" s="61">
        <v>7</v>
      </c>
      <c r="AC233" s="61">
        <v>2</v>
      </c>
      <c r="AD233" s="63">
        <f t="shared" si="43"/>
        <v>0.2857142857142857</v>
      </c>
      <c r="AE233" s="61">
        <v>2</v>
      </c>
      <c r="AF233" s="61">
        <v>1</v>
      </c>
      <c r="AG233" s="63">
        <f t="shared" si="44"/>
        <v>0.5</v>
      </c>
      <c r="AH233" s="61">
        <v>38</v>
      </c>
      <c r="AI233" s="61">
        <v>24</v>
      </c>
      <c r="AJ233" s="63">
        <f t="shared" si="45"/>
        <v>0.63157894736842102</v>
      </c>
      <c r="AK233" s="61">
        <v>2</v>
      </c>
      <c r="AL233" s="61">
        <v>0</v>
      </c>
      <c r="AM233" s="63">
        <f t="shared" si="46"/>
        <v>0</v>
      </c>
      <c r="AN233" s="61">
        <v>1</v>
      </c>
      <c r="AO233" s="61">
        <v>2</v>
      </c>
      <c r="AP233" s="63">
        <f t="shared" si="47"/>
        <v>2</v>
      </c>
      <c r="AQ233" s="61">
        <v>3</v>
      </c>
      <c r="AR233" s="61">
        <v>3</v>
      </c>
      <c r="AS233" s="63">
        <f t="shared" si="48"/>
        <v>1</v>
      </c>
      <c r="AT233" s="61">
        <v>1</v>
      </c>
      <c r="AU233" s="61">
        <v>0</v>
      </c>
      <c r="AV233" s="63">
        <f t="shared" si="49"/>
        <v>0</v>
      </c>
      <c r="AW233" s="61">
        <v>1.3063215941438484</v>
      </c>
      <c r="AX233" s="61">
        <v>0</v>
      </c>
      <c r="AY233" s="63">
        <f t="shared" si="50"/>
        <v>0</v>
      </c>
      <c r="AZ233" s="61">
        <v>4</v>
      </c>
      <c r="BA233" s="61">
        <v>2</v>
      </c>
      <c r="BB233" s="63">
        <f t="shared" si="51"/>
        <v>0.5</v>
      </c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</row>
    <row r="234" spans="1:87" s="104" customFormat="1" x14ac:dyDescent="0.25">
      <c r="A234" s="128">
        <v>5646</v>
      </c>
      <c r="B234" s="128">
        <v>21104</v>
      </c>
      <c r="C234" s="128">
        <v>1080842576</v>
      </c>
      <c r="D234" s="128" t="s">
        <v>790</v>
      </c>
      <c r="E234" s="128" t="s">
        <v>546</v>
      </c>
      <c r="F234" s="128" t="s">
        <v>546</v>
      </c>
      <c r="G234" s="128" t="s">
        <v>95</v>
      </c>
      <c r="H234" s="128" t="s">
        <v>478</v>
      </c>
      <c r="I234" s="128" t="s">
        <v>1218</v>
      </c>
      <c r="J234" s="128" t="s">
        <v>30</v>
      </c>
      <c r="K234" s="128" t="s">
        <v>805</v>
      </c>
      <c r="L234" s="128">
        <v>73036</v>
      </c>
      <c r="M234" s="128" t="s">
        <v>1207</v>
      </c>
      <c r="N234" s="128" t="s">
        <v>1226</v>
      </c>
      <c r="O234" s="168">
        <v>0.15</v>
      </c>
      <c r="P234" s="157">
        <v>75879</v>
      </c>
      <c r="Q234" s="61">
        <v>43068.700000000004</v>
      </c>
      <c r="R234" s="63">
        <f t="shared" si="39"/>
        <v>0.56759709537553216</v>
      </c>
      <c r="S234" s="61">
        <v>7689</v>
      </c>
      <c r="T234" s="61">
        <v>1963.48</v>
      </c>
      <c r="U234" s="63">
        <f t="shared" si="40"/>
        <v>0.25536220574847185</v>
      </c>
      <c r="V234" s="61">
        <v>15376</v>
      </c>
      <c r="W234" s="61">
        <v>5802.17</v>
      </c>
      <c r="X234" s="63">
        <f t="shared" si="41"/>
        <v>0.37735236732570238</v>
      </c>
      <c r="Y234" s="61">
        <v>297</v>
      </c>
      <c r="Z234" s="102">
        <v>0</v>
      </c>
      <c r="AA234" s="63">
        <f t="shared" si="42"/>
        <v>0</v>
      </c>
      <c r="AB234" s="61">
        <v>11</v>
      </c>
      <c r="AC234" s="61">
        <v>4</v>
      </c>
      <c r="AD234" s="63">
        <f t="shared" si="43"/>
        <v>0.36363636363636365</v>
      </c>
      <c r="AE234" s="61">
        <v>2</v>
      </c>
      <c r="AF234" s="61">
        <v>1</v>
      </c>
      <c r="AG234" s="63">
        <f t="shared" si="44"/>
        <v>0.5</v>
      </c>
      <c r="AH234" s="61">
        <v>64</v>
      </c>
      <c r="AI234" s="61">
        <v>40</v>
      </c>
      <c r="AJ234" s="63">
        <f t="shared" si="45"/>
        <v>0.625</v>
      </c>
      <c r="AK234" s="61">
        <v>3</v>
      </c>
      <c r="AL234" s="61">
        <v>1</v>
      </c>
      <c r="AM234" s="63">
        <f t="shared" si="46"/>
        <v>0.33333333333333331</v>
      </c>
      <c r="AN234" s="61">
        <v>4</v>
      </c>
      <c r="AO234" s="61">
        <v>1</v>
      </c>
      <c r="AP234" s="63">
        <f t="shared" si="47"/>
        <v>0.25</v>
      </c>
      <c r="AQ234" s="61">
        <v>22</v>
      </c>
      <c r="AR234" s="61">
        <v>1</v>
      </c>
      <c r="AS234" s="63">
        <f t="shared" si="48"/>
        <v>4.5454545454545456E-2</v>
      </c>
      <c r="AT234" s="61">
        <v>1</v>
      </c>
      <c r="AU234" s="61">
        <v>1</v>
      </c>
      <c r="AV234" s="63">
        <f t="shared" si="49"/>
        <v>1</v>
      </c>
      <c r="AW234" s="61">
        <v>2.2207320766672134</v>
      </c>
      <c r="AX234" s="61">
        <v>0</v>
      </c>
      <c r="AY234" s="63">
        <f t="shared" si="50"/>
        <v>0</v>
      </c>
      <c r="AZ234" s="61">
        <v>5</v>
      </c>
      <c r="BA234" s="61">
        <v>1</v>
      </c>
      <c r="BB234" s="63">
        <f t="shared" si="51"/>
        <v>0.2</v>
      </c>
    </row>
    <row r="235" spans="1:87" x14ac:dyDescent="0.25">
      <c r="A235" s="128">
        <v>21673</v>
      </c>
      <c r="B235" s="128">
        <v>21104</v>
      </c>
      <c r="C235" s="128">
        <v>1053158133</v>
      </c>
      <c r="D235" s="128" t="s">
        <v>807</v>
      </c>
      <c r="E235" s="128" t="s">
        <v>546</v>
      </c>
      <c r="F235" s="128" t="s">
        <v>546</v>
      </c>
      <c r="G235" s="128" t="s">
        <v>79</v>
      </c>
      <c r="H235" s="128" t="s">
        <v>79</v>
      </c>
      <c r="I235" s="128" t="s">
        <v>1218</v>
      </c>
      <c r="J235" s="128" t="s">
        <v>30</v>
      </c>
      <c r="K235" s="128" t="s">
        <v>805</v>
      </c>
      <c r="L235" s="128">
        <v>73036</v>
      </c>
      <c r="M235" s="128" t="s">
        <v>1145</v>
      </c>
      <c r="N235" s="128" t="s">
        <v>1227</v>
      </c>
      <c r="O235" s="168">
        <v>0.5</v>
      </c>
      <c r="P235" s="157">
        <v>45063</v>
      </c>
      <c r="Q235" s="61">
        <v>28046.97</v>
      </c>
      <c r="R235" s="63">
        <f t="shared" si="39"/>
        <v>0.62239464749350915</v>
      </c>
      <c r="S235" s="61">
        <v>5624</v>
      </c>
      <c r="T235" s="61">
        <v>0</v>
      </c>
      <c r="U235" s="63">
        <f t="shared" si="40"/>
        <v>0</v>
      </c>
      <c r="V235" s="61">
        <v>9047</v>
      </c>
      <c r="W235" s="61">
        <v>960</v>
      </c>
      <c r="X235" s="63">
        <f t="shared" si="41"/>
        <v>0.10611252348844921</v>
      </c>
      <c r="Y235" s="61">
        <v>5464</v>
      </c>
      <c r="Z235" s="102">
        <v>120</v>
      </c>
      <c r="AA235" s="63">
        <f t="shared" si="42"/>
        <v>2.1961932650073207E-2</v>
      </c>
      <c r="AB235" s="61">
        <v>7</v>
      </c>
      <c r="AC235" s="61">
        <v>1</v>
      </c>
      <c r="AD235" s="63">
        <f t="shared" si="43"/>
        <v>0.14285714285714285</v>
      </c>
      <c r="AE235" s="61">
        <v>1</v>
      </c>
      <c r="AF235" s="61">
        <v>1</v>
      </c>
      <c r="AG235" s="63">
        <f t="shared" si="44"/>
        <v>1</v>
      </c>
      <c r="AH235" s="61">
        <v>38</v>
      </c>
      <c r="AI235" s="61">
        <v>25</v>
      </c>
      <c r="AJ235" s="63">
        <f t="shared" si="45"/>
        <v>0.65789473684210531</v>
      </c>
      <c r="AK235" s="61">
        <v>1</v>
      </c>
      <c r="AL235" s="61">
        <v>0</v>
      </c>
      <c r="AM235" s="63">
        <f t="shared" si="46"/>
        <v>0</v>
      </c>
      <c r="AN235" s="61">
        <v>1</v>
      </c>
      <c r="AO235" s="61">
        <v>1</v>
      </c>
      <c r="AP235" s="63">
        <f t="shared" si="47"/>
        <v>1</v>
      </c>
      <c r="AQ235" s="61">
        <v>3</v>
      </c>
      <c r="AR235" s="61">
        <v>0</v>
      </c>
      <c r="AS235" s="63">
        <f t="shared" si="48"/>
        <v>0</v>
      </c>
      <c r="AT235" s="61">
        <v>1</v>
      </c>
      <c r="AU235" s="61">
        <v>0</v>
      </c>
      <c r="AV235" s="63">
        <f t="shared" si="49"/>
        <v>0</v>
      </c>
      <c r="AW235" s="61">
        <v>1.3188477651373192</v>
      </c>
      <c r="AX235" s="61">
        <v>0</v>
      </c>
      <c r="AY235" s="63">
        <f t="shared" si="50"/>
        <v>0</v>
      </c>
      <c r="AZ235" s="61">
        <v>4</v>
      </c>
      <c r="BA235" s="61">
        <v>2</v>
      </c>
      <c r="BB235" s="63">
        <f t="shared" si="51"/>
        <v>0.5</v>
      </c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</row>
    <row r="236" spans="1:87" x14ac:dyDescent="0.25">
      <c r="A236" s="128">
        <v>21655</v>
      </c>
      <c r="B236" s="128">
        <v>21104</v>
      </c>
      <c r="C236" s="128">
        <v>1049826744</v>
      </c>
      <c r="D236" s="128" t="s">
        <v>788</v>
      </c>
      <c r="E236" s="128" t="s">
        <v>546</v>
      </c>
      <c r="F236" s="128" t="s">
        <v>546</v>
      </c>
      <c r="G236" s="128" t="s">
        <v>77</v>
      </c>
      <c r="H236" s="128" t="s">
        <v>77</v>
      </c>
      <c r="I236" s="128" t="s">
        <v>1218</v>
      </c>
      <c r="J236" s="128" t="s">
        <v>30</v>
      </c>
      <c r="K236" s="128" t="s">
        <v>805</v>
      </c>
      <c r="L236" s="128">
        <v>73036</v>
      </c>
      <c r="M236" s="128" t="s">
        <v>1215</v>
      </c>
      <c r="N236" s="128"/>
      <c r="O236" s="168"/>
      <c r="P236" s="157">
        <v>116976</v>
      </c>
      <c r="Q236" s="61">
        <v>149498.33999999997</v>
      </c>
      <c r="R236" s="63">
        <f t="shared" si="39"/>
        <v>1.2780257488715632</v>
      </c>
      <c r="S236" s="61">
        <v>9734</v>
      </c>
      <c r="T236" s="61">
        <v>6816.52</v>
      </c>
      <c r="U236" s="63">
        <f t="shared" si="40"/>
        <v>0.70027943291555372</v>
      </c>
      <c r="V236" s="61">
        <v>22124</v>
      </c>
      <c r="W236" s="61">
        <v>27871.300000000003</v>
      </c>
      <c r="X236" s="63">
        <f t="shared" si="41"/>
        <v>1.2597767130717774</v>
      </c>
      <c r="Y236" s="61">
        <v>389</v>
      </c>
      <c r="Z236" s="102">
        <v>0</v>
      </c>
      <c r="AA236" s="63">
        <f t="shared" si="42"/>
        <v>0</v>
      </c>
      <c r="AB236" s="61">
        <v>19</v>
      </c>
      <c r="AC236" s="61">
        <v>20</v>
      </c>
      <c r="AD236" s="63">
        <f t="shared" si="43"/>
        <v>1.0526315789473684</v>
      </c>
      <c r="AE236" s="61">
        <v>2</v>
      </c>
      <c r="AF236" s="61">
        <v>3</v>
      </c>
      <c r="AG236" s="63">
        <f t="shared" si="44"/>
        <v>1.5</v>
      </c>
      <c r="AH236" s="61">
        <v>90</v>
      </c>
      <c r="AI236" s="61">
        <v>45</v>
      </c>
      <c r="AJ236" s="63">
        <f t="shared" si="45"/>
        <v>0.5</v>
      </c>
      <c r="AK236" s="61">
        <v>4</v>
      </c>
      <c r="AL236" s="61">
        <v>0</v>
      </c>
      <c r="AM236" s="63">
        <f t="shared" si="46"/>
        <v>0</v>
      </c>
      <c r="AN236" s="61">
        <v>5</v>
      </c>
      <c r="AO236" s="61">
        <v>0</v>
      </c>
      <c r="AP236" s="63">
        <f t="shared" si="47"/>
        <v>0</v>
      </c>
      <c r="AQ236" s="61">
        <v>8</v>
      </c>
      <c r="AR236" s="61">
        <v>10</v>
      </c>
      <c r="AS236" s="63">
        <f t="shared" si="48"/>
        <v>1.25</v>
      </c>
      <c r="AT236" s="61">
        <v>1</v>
      </c>
      <c r="AU236" s="61">
        <v>2</v>
      </c>
      <c r="AV236" s="63">
        <f t="shared" si="49"/>
        <v>2</v>
      </c>
      <c r="AW236" s="61">
        <v>3.2537607158180011</v>
      </c>
      <c r="AX236" s="61">
        <v>0</v>
      </c>
      <c r="AY236" s="63">
        <f t="shared" si="50"/>
        <v>0</v>
      </c>
      <c r="AZ236" s="61">
        <v>7</v>
      </c>
      <c r="BA236" s="61">
        <v>13</v>
      </c>
      <c r="BB236" s="63">
        <f t="shared" si="51"/>
        <v>1.8571428571428572</v>
      </c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</row>
    <row r="237" spans="1:87" x14ac:dyDescent="0.25">
      <c r="A237" s="207">
        <v>1950</v>
      </c>
      <c r="B237" s="207">
        <v>21104</v>
      </c>
      <c r="C237" s="207">
        <v>1127449880</v>
      </c>
      <c r="D237" s="207" t="s">
        <v>821</v>
      </c>
      <c r="E237" s="207" t="s">
        <v>546</v>
      </c>
      <c r="F237" s="207" t="s">
        <v>546</v>
      </c>
      <c r="G237" s="207" t="s">
        <v>104</v>
      </c>
      <c r="H237" s="207" t="s">
        <v>105</v>
      </c>
      <c r="I237" s="207" t="s">
        <v>1218</v>
      </c>
      <c r="J237" s="207" t="s">
        <v>30</v>
      </c>
      <c r="K237" s="207" t="s">
        <v>805</v>
      </c>
      <c r="L237" s="207">
        <v>73036</v>
      </c>
      <c r="M237" s="207" t="s">
        <v>1215</v>
      </c>
      <c r="N237" s="207"/>
      <c r="O237" s="242"/>
      <c r="P237" s="243">
        <v>119800</v>
      </c>
      <c r="Q237" s="61">
        <v>104975.7</v>
      </c>
      <c r="R237" s="63">
        <f t="shared" si="39"/>
        <v>0.87625792988313855</v>
      </c>
      <c r="S237" s="61">
        <v>11434</v>
      </c>
      <c r="T237" s="61">
        <v>2346.09</v>
      </c>
      <c r="U237" s="63">
        <f t="shared" si="40"/>
        <v>0.20518541192933357</v>
      </c>
      <c r="V237" s="61">
        <v>22124</v>
      </c>
      <c r="W237" s="61">
        <v>15824.769999999997</v>
      </c>
      <c r="X237" s="63">
        <f t="shared" si="41"/>
        <v>0.71527617067438065</v>
      </c>
      <c r="Y237" s="61">
        <v>389</v>
      </c>
      <c r="Z237" s="102">
        <v>0</v>
      </c>
      <c r="AA237" s="63">
        <f t="shared" si="42"/>
        <v>0</v>
      </c>
      <c r="AB237" s="61">
        <v>19</v>
      </c>
      <c r="AC237" s="61">
        <v>7</v>
      </c>
      <c r="AD237" s="63">
        <f t="shared" si="43"/>
        <v>0.36842105263157893</v>
      </c>
      <c r="AE237" s="61">
        <v>2</v>
      </c>
      <c r="AF237" s="61">
        <v>2</v>
      </c>
      <c r="AG237" s="63">
        <f t="shared" si="44"/>
        <v>1</v>
      </c>
      <c r="AH237" s="61">
        <v>90</v>
      </c>
      <c r="AI237" s="61">
        <v>69</v>
      </c>
      <c r="AJ237" s="63">
        <f t="shared" si="45"/>
        <v>0.76666666666666672</v>
      </c>
      <c r="AK237" s="61">
        <v>4</v>
      </c>
      <c r="AL237" s="61">
        <v>0</v>
      </c>
      <c r="AM237" s="63">
        <f t="shared" si="46"/>
        <v>0</v>
      </c>
      <c r="AN237" s="61">
        <v>5</v>
      </c>
      <c r="AO237" s="61">
        <v>0</v>
      </c>
      <c r="AP237" s="63">
        <f t="shared" si="47"/>
        <v>0</v>
      </c>
      <c r="AQ237" s="61">
        <v>8</v>
      </c>
      <c r="AR237" s="61">
        <v>1</v>
      </c>
      <c r="AS237" s="63">
        <f t="shared" si="48"/>
        <v>0.125</v>
      </c>
      <c r="AT237" s="61">
        <v>1</v>
      </c>
      <c r="AU237" s="61">
        <v>0</v>
      </c>
      <c r="AV237" s="63">
        <f t="shared" si="49"/>
        <v>0</v>
      </c>
      <c r="AW237" s="61">
        <v>3.3364100309711819</v>
      </c>
      <c r="AX237" s="61">
        <v>0</v>
      </c>
      <c r="AY237" s="63">
        <f t="shared" si="50"/>
        <v>0</v>
      </c>
      <c r="AZ237" s="61">
        <v>7</v>
      </c>
      <c r="BA237" s="61">
        <v>12</v>
      </c>
      <c r="BB237" s="63">
        <f t="shared" si="51"/>
        <v>1.7142857142857142</v>
      </c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</row>
    <row r="238" spans="1:87" x14ac:dyDescent="0.25">
      <c r="A238" s="128">
        <v>20534</v>
      </c>
      <c r="B238" s="128">
        <v>21104</v>
      </c>
      <c r="C238" s="128">
        <v>1074911817</v>
      </c>
      <c r="D238" s="128" t="s">
        <v>813</v>
      </c>
      <c r="E238" s="128" t="s">
        <v>546</v>
      </c>
      <c r="F238" s="128" t="s">
        <v>546</v>
      </c>
      <c r="G238" s="128" t="s">
        <v>435</v>
      </c>
      <c r="H238" s="128" t="s">
        <v>435</v>
      </c>
      <c r="I238" s="128" t="s">
        <v>1218</v>
      </c>
      <c r="J238" s="128" t="s">
        <v>30</v>
      </c>
      <c r="K238" s="128" t="s">
        <v>805</v>
      </c>
      <c r="L238" s="128">
        <v>73036</v>
      </c>
      <c r="M238" s="128"/>
      <c r="N238" s="128"/>
      <c r="O238" s="168"/>
      <c r="P238" s="157">
        <v>120076</v>
      </c>
      <c r="Q238" s="61">
        <v>60889.58</v>
      </c>
      <c r="R238" s="63">
        <f t="shared" si="39"/>
        <v>0.50709200839468338</v>
      </c>
      <c r="S238" s="61">
        <v>11159</v>
      </c>
      <c r="T238" s="61">
        <v>381.74</v>
      </c>
      <c r="U238" s="63">
        <f t="shared" si="40"/>
        <v>3.420915852674971E-2</v>
      </c>
      <c r="V238" s="61">
        <v>22124</v>
      </c>
      <c r="W238" s="61">
        <v>12456.520000000002</v>
      </c>
      <c r="X238" s="63">
        <f t="shared" si="41"/>
        <v>0.5630320014463932</v>
      </c>
      <c r="Y238" s="61">
        <v>389</v>
      </c>
      <c r="Z238" s="102">
        <v>0</v>
      </c>
      <c r="AA238" s="63">
        <f t="shared" si="42"/>
        <v>0</v>
      </c>
      <c r="AB238" s="61">
        <v>19</v>
      </c>
      <c r="AC238" s="61">
        <v>3</v>
      </c>
      <c r="AD238" s="63">
        <f t="shared" si="43"/>
        <v>0.15789473684210525</v>
      </c>
      <c r="AE238" s="61">
        <v>2</v>
      </c>
      <c r="AF238" s="61">
        <v>0</v>
      </c>
      <c r="AG238" s="63">
        <f t="shared" si="44"/>
        <v>0</v>
      </c>
      <c r="AH238" s="61">
        <v>90</v>
      </c>
      <c r="AI238" s="61">
        <v>50</v>
      </c>
      <c r="AJ238" s="63">
        <f t="shared" si="45"/>
        <v>0.55555555555555558</v>
      </c>
      <c r="AK238" s="61">
        <v>4</v>
      </c>
      <c r="AL238" s="61">
        <v>0</v>
      </c>
      <c r="AM238" s="63">
        <f t="shared" si="46"/>
        <v>0</v>
      </c>
      <c r="AN238" s="61">
        <v>5</v>
      </c>
      <c r="AO238" s="61">
        <v>1</v>
      </c>
      <c r="AP238" s="63">
        <f t="shared" si="47"/>
        <v>0.2</v>
      </c>
      <c r="AQ238" s="61">
        <v>8</v>
      </c>
      <c r="AR238" s="61">
        <v>4</v>
      </c>
      <c r="AS238" s="63">
        <f t="shared" si="48"/>
        <v>0.5</v>
      </c>
      <c r="AT238" s="61">
        <v>1</v>
      </c>
      <c r="AU238" s="61">
        <v>1</v>
      </c>
      <c r="AV238" s="63">
        <f t="shared" si="49"/>
        <v>1</v>
      </c>
      <c r="AW238" s="61">
        <v>3.3444876552566911</v>
      </c>
      <c r="AX238" s="61">
        <v>0</v>
      </c>
      <c r="AY238" s="63">
        <f t="shared" si="50"/>
        <v>0</v>
      </c>
      <c r="AZ238" s="61">
        <v>7</v>
      </c>
      <c r="BA238" s="61">
        <v>0</v>
      </c>
      <c r="BB238" s="63">
        <f t="shared" si="51"/>
        <v>0</v>
      </c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</row>
    <row r="239" spans="1:87" x14ac:dyDescent="0.25">
      <c r="A239" s="128">
        <v>5741</v>
      </c>
      <c r="B239" s="128">
        <v>21104</v>
      </c>
      <c r="C239" s="128">
        <v>1034775245</v>
      </c>
      <c r="D239" s="128" t="s">
        <v>812</v>
      </c>
      <c r="E239" s="128" t="s">
        <v>546</v>
      </c>
      <c r="F239" s="128" t="s">
        <v>546</v>
      </c>
      <c r="G239" s="128" t="s">
        <v>102</v>
      </c>
      <c r="H239" s="128" t="s">
        <v>103</v>
      </c>
      <c r="I239" s="128" t="s">
        <v>1218</v>
      </c>
      <c r="J239" s="128" t="s">
        <v>30</v>
      </c>
      <c r="K239" s="128" t="s">
        <v>805</v>
      </c>
      <c r="L239" s="128">
        <v>73036</v>
      </c>
      <c r="M239" s="128" t="s">
        <v>1215</v>
      </c>
      <c r="N239" s="128"/>
      <c r="O239" s="168"/>
      <c r="P239" s="157">
        <v>118800</v>
      </c>
      <c r="Q239" s="61">
        <v>32225.22</v>
      </c>
      <c r="R239" s="63">
        <f t="shared" si="39"/>
        <v>0.27125606060606061</v>
      </c>
      <c r="S239" s="61">
        <v>11111</v>
      </c>
      <c r="T239" s="61">
        <v>4050.43</v>
      </c>
      <c r="U239" s="63">
        <f t="shared" si="40"/>
        <v>0.36454234542345421</v>
      </c>
      <c r="V239" s="61">
        <v>22124</v>
      </c>
      <c r="W239" s="61">
        <v>5876.96</v>
      </c>
      <c r="X239" s="63">
        <f t="shared" si="41"/>
        <v>0.26563731694087866</v>
      </c>
      <c r="Y239" s="61">
        <v>389</v>
      </c>
      <c r="Z239" s="102">
        <v>0</v>
      </c>
      <c r="AA239" s="63">
        <f t="shared" si="42"/>
        <v>0</v>
      </c>
      <c r="AB239" s="61">
        <v>19</v>
      </c>
      <c r="AC239" s="61">
        <v>2</v>
      </c>
      <c r="AD239" s="63">
        <f t="shared" si="43"/>
        <v>0.10526315789473684</v>
      </c>
      <c r="AE239" s="61">
        <v>2</v>
      </c>
      <c r="AF239" s="61">
        <v>1</v>
      </c>
      <c r="AG239" s="63">
        <f t="shared" si="44"/>
        <v>0.5</v>
      </c>
      <c r="AH239" s="61">
        <v>90</v>
      </c>
      <c r="AI239" s="61">
        <v>22</v>
      </c>
      <c r="AJ239" s="63">
        <f t="shared" si="45"/>
        <v>0.24444444444444444</v>
      </c>
      <c r="AK239" s="61">
        <v>4</v>
      </c>
      <c r="AL239" s="61">
        <v>0</v>
      </c>
      <c r="AM239" s="63">
        <f t="shared" si="46"/>
        <v>0</v>
      </c>
      <c r="AN239" s="61">
        <v>5</v>
      </c>
      <c r="AO239" s="61">
        <v>0</v>
      </c>
      <c r="AP239" s="63">
        <f t="shared" si="47"/>
        <v>0</v>
      </c>
      <c r="AQ239" s="61">
        <v>8</v>
      </c>
      <c r="AR239" s="61">
        <v>2</v>
      </c>
      <c r="AS239" s="63">
        <f t="shared" si="48"/>
        <v>0.25</v>
      </c>
      <c r="AT239" s="61">
        <v>1</v>
      </c>
      <c r="AU239" s="61">
        <v>0</v>
      </c>
      <c r="AV239" s="63">
        <f t="shared" si="49"/>
        <v>0</v>
      </c>
      <c r="AW239" s="61">
        <v>4</v>
      </c>
      <c r="AX239" s="61">
        <v>0</v>
      </c>
      <c r="AY239" s="63">
        <f t="shared" si="50"/>
        <v>0</v>
      </c>
      <c r="AZ239" s="61">
        <v>7</v>
      </c>
      <c r="BA239" s="61">
        <v>4</v>
      </c>
      <c r="BB239" s="63">
        <f t="shared" si="51"/>
        <v>0.5714285714285714</v>
      </c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</row>
    <row r="240" spans="1:87" x14ac:dyDescent="0.25">
      <c r="A240" s="128">
        <v>21611</v>
      </c>
      <c r="B240" s="128">
        <v>21104</v>
      </c>
      <c r="C240" s="128">
        <v>1050573029</v>
      </c>
      <c r="D240" s="128" t="s">
        <v>818</v>
      </c>
      <c r="E240" s="128" t="s">
        <v>546</v>
      </c>
      <c r="F240" s="128" t="s">
        <v>546</v>
      </c>
      <c r="G240" s="128" t="s">
        <v>100</v>
      </c>
      <c r="H240" s="128" t="s">
        <v>100</v>
      </c>
      <c r="I240" s="128" t="s">
        <v>1218</v>
      </c>
      <c r="J240" s="128" t="s">
        <v>30</v>
      </c>
      <c r="K240" s="128" t="s">
        <v>805</v>
      </c>
      <c r="L240" s="128">
        <v>73036</v>
      </c>
      <c r="M240" s="128" t="s">
        <v>1146</v>
      </c>
      <c r="N240" s="128"/>
      <c r="O240" s="168">
        <v>0.5</v>
      </c>
      <c r="P240" s="157">
        <v>43976</v>
      </c>
      <c r="Q240" s="61">
        <v>9225.2199999999993</v>
      </c>
      <c r="R240" s="63">
        <f t="shared" si="39"/>
        <v>0.2097785155539385</v>
      </c>
      <c r="S240" s="61">
        <v>4000</v>
      </c>
      <c r="T240" s="61">
        <v>0</v>
      </c>
      <c r="U240" s="63">
        <f t="shared" si="40"/>
        <v>0</v>
      </c>
      <c r="V240" s="61">
        <v>9485</v>
      </c>
      <c r="W240" s="61">
        <v>0</v>
      </c>
      <c r="X240" s="63">
        <f t="shared" si="41"/>
        <v>0</v>
      </c>
      <c r="Y240" s="61">
        <v>174</v>
      </c>
      <c r="Z240" s="102">
        <v>0</v>
      </c>
      <c r="AA240" s="63">
        <f t="shared" si="42"/>
        <v>0</v>
      </c>
      <c r="AB240" s="61">
        <v>7</v>
      </c>
      <c r="AC240" s="61">
        <v>1</v>
      </c>
      <c r="AD240" s="63">
        <f t="shared" si="43"/>
        <v>0.14285714285714285</v>
      </c>
      <c r="AE240" s="61">
        <v>2</v>
      </c>
      <c r="AF240" s="61">
        <v>0</v>
      </c>
      <c r="AG240" s="63">
        <f t="shared" si="44"/>
        <v>0</v>
      </c>
      <c r="AH240" s="61">
        <v>38</v>
      </c>
      <c r="AI240" s="61">
        <v>9</v>
      </c>
      <c r="AJ240" s="63">
        <f t="shared" si="45"/>
        <v>0.23684210526315788</v>
      </c>
      <c r="AK240" s="61">
        <v>2</v>
      </c>
      <c r="AL240" s="61">
        <v>0</v>
      </c>
      <c r="AM240" s="63">
        <f t="shared" si="46"/>
        <v>0</v>
      </c>
      <c r="AN240" s="61">
        <v>1</v>
      </c>
      <c r="AO240" s="61">
        <v>0</v>
      </c>
      <c r="AP240" s="63">
        <f t="shared" si="47"/>
        <v>0</v>
      </c>
      <c r="AQ240" s="61">
        <v>3</v>
      </c>
      <c r="AR240" s="61">
        <v>0</v>
      </c>
      <c r="AS240" s="63">
        <f t="shared" si="48"/>
        <v>0</v>
      </c>
      <c r="AT240" s="61">
        <v>1</v>
      </c>
      <c r="AU240" s="61">
        <v>0</v>
      </c>
      <c r="AV240" s="63">
        <f t="shared" si="49"/>
        <v>0</v>
      </c>
      <c r="AW240" s="61">
        <v>1</v>
      </c>
      <c r="AX240" s="61">
        <v>0</v>
      </c>
      <c r="AY240" s="63">
        <f t="shared" si="50"/>
        <v>0</v>
      </c>
      <c r="AZ240" s="61">
        <v>4</v>
      </c>
      <c r="BA240" s="61">
        <v>0</v>
      </c>
      <c r="BB240" s="63">
        <f t="shared" si="51"/>
        <v>0</v>
      </c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</row>
    <row r="241" spans="1:87" x14ac:dyDescent="0.25">
      <c r="A241" s="213">
        <v>4731</v>
      </c>
      <c r="B241" s="213">
        <v>21104</v>
      </c>
      <c r="C241" s="213">
        <v>1123654079</v>
      </c>
      <c r="D241" s="213" t="s">
        <v>819</v>
      </c>
      <c r="E241" s="213" t="s">
        <v>546</v>
      </c>
      <c r="F241" s="213" t="s">
        <v>546</v>
      </c>
      <c r="G241" s="213" t="s">
        <v>101</v>
      </c>
      <c r="H241" s="213" t="s">
        <v>101</v>
      </c>
      <c r="I241" s="213" t="s">
        <v>1218</v>
      </c>
      <c r="J241" s="213" t="s">
        <v>30</v>
      </c>
      <c r="K241" s="213" t="s">
        <v>805</v>
      </c>
      <c r="L241" s="213">
        <v>73036</v>
      </c>
      <c r="M241" s="213"/>
      <c r="N241" s="213"/>
      <c r="O241" s="246"/>
      <c r="P241" s="232">
        <v>117152</v>
      </c>
      <c r="Q241" s="61">
        <v>114565.24</v>
      </c>
      <c r="R241" s="63">
        <f t="shared" si="39"/>
        <v>0.97791962578530456</v>
      </c>
      <c r="S241" s="61">
        <v>11084</v>
      </c>
      <c r="T241" s="61">
        <v>0</v>
      </c>
      <c r="U241" s="63">
        <f t="shared" si="40"/>
        <v>0</v>
      </c>
      <c r="V241" s="61">
        <v>22124</v>
      </c>
      <c r="W241" s="61">
        <v>10401.299999999999</v>
      </c>
      <c r="X241" s="63">
        <f t="shared" si="41"/>
        <v>0.47013650334478391</v>
      </c>
      <c r="Y241" s="61">
        <v>389</v>
      </c>
      <c r="Z241" s="102">
        <v>0</v>
      </c>
      <c r="AA241" s="63">
        <f t="shared" si="42"/>
        <v>0</v>
      </c>
      <c r="AB241" s="61">
        <v>19</v>
      </c>
      <c r="AC241" s="61">
        <v>10</v>
      </c>
      <c r="AD241" s="63">
        <f t="shared" si="43"/>
        <v>0.52631578947368418</v>
      </c>
      <c r="AE241" s="61">
        <v>2</v>
      </c>
      <c r="AF241" s="61">
        <v>1</v>
      </c>
      <c r="AG241" s="63">
        <f t="shared" si="44"/>
        <v>0.5</v>
      </c>
      <c r="AH241" s="61">
        <v>90</v>
      </c>
      <c r="AI241" s="61">
        <v>41</v>
      </c>
      <c r="AJ241" s="63">
        <f t="shared" si="45"/>
        <v>0.45555555555555555</v>
      </c>
      <c r="AK241" s="61">
        <v>4</v>
      </c>
      <c r="AL241" s="61">
        <v>0</v>
      </c>
      <c r="AM241" s="63">
        <f t="shared" si="46"/>
        <v>0</v>
      </c>
      <c r="AN241" s="61">
        <v>5</v>
      </c>
      <c r="AO241" s="61">
        <v>0</v>
      </c>
      <c r="AP241" s="63">
        <f t="shared" si="47"/>
        <v>0</v>
      </c>
      <c r="AQ241" s="61">
        <v>8</v>
      </c>
      <c r="AR241" s="61">
        <v>9</v>
      </c>
      <c r="AS241" s="63">
        <f t="shared" si="48"/>
        <v>1.125</v>
      </c>
      <c r="AT241" s="61">
        <v>1</v>
      </c>
      <c r="AU241" s="61">
        <v>0</v>
      </c>
      <c r="AV241" s="63">
        <f t="shared" si="49"/>
        <v>0</v>
      </c>
      <c r="AW241" s="61">
        <v>4</v>
      </c>
      <c r="AX241" s="61">
        <v>0</v>
      </c>
      <c r="AY241" s="63">
        <f t="shared" si="50"/>
        <v>0</v>
      </c>
      <c r="AZ241" s="61">
        <v>7</v>
      </c>
      <c r="BA241" s="61">
        <v>2</v>
      </c>
      <c r="BB241" s="63">
        <f t="shared" si="51"/>
        <v>0.2857142857142857</v>
      </c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</row>
    <row r="242" spans="1:87" x14ac:dyDescent="0.25">
      <c r="A242" s="123">
        <v>21572</v>
      </c>
      <c r="B242" s="123">
        <v>21231</v>
      </c>
      <c r="C242" s="123">
        <v>1027642576</v>
      </c>
      <c r="D242" s="123" t="s">
        <v>816</v>
      </c>
      <c r="E242" s="123" t="s">
        <v>544</v>
      </c>
      <c r="F242" s="123" t="s">
        <v>544</v>
      </c>
      <c r="G242" s="123" t="s">
        <v>439</v>
      </c>
      <c r="H242" s="123" t="s">
        <v>439</v>
      </c>
      <c r="I242" s="123" t="s">
        <v>1218</v>
      </c>
      <c r="J242" s="123" t="s">
        <v>30</v>
      </c>
      <c r="K242" s="123" t="s">
        <v>805</v>
      </c>
      <c r="L242" s="123">
        <v>73036</v>
      </c>
      <c r="M242" s="123"/>
      <c r="N242" s="123"/>
      <c r="O242" s="166"/>
      <c r="P242" s="167">
        <v>715235</v>
      </c>
      <c r="Q242" s="61">
        <v>0</v>
      </c>
      <c r="R242" s="63">
        <f t="shared" si="39"/>
        <v>0</v>
      </c>
      <c r="S242" s="61">
        <v>65183</v>
      </c>
      <c r="T242" s="61">
        <v>0</v>
      </c>
      <c r="U242" s="63">
        <f t="shared" si="40"/>
        <v>0</v>
      </c>
      <c r="V242" s="61">
        <v>135940</v>
      </c>
      <c r="W242" s="61">
        <v>0</v>
      </c>
      <c r="X242" s="63">
        <f t="shared" si="41"/>
        <v>0</v>
      </c>
      <c r="Y242" s="61">
        <v>2433</v>
      </c>
      <c r="Z242" s="102">
        <v>0</v>
      </c>
      <c r="AA242" s="63">
        <f t="shared" si="42"/>
        <v>0</v>
      </c>
      <c r="AB242" s="61">
        <v>115</v>
      </c>
      <c r="AC242" s="61">
        <v>0</v>
      </c>
      <c r="AD242" s="63">
        <f t="shared" si="43"/>
        <v>0</v>
      </c>
      <c r="AE242" s="61">
        <v>14</v>
      </c>
      <c r="AF242" s="61">
        <v>0</v>
      </c>
      <c r="AG242" s="63">
        <f t="shared" si="44"/>
        <v>0</v>
      </c>
      <c r="AH242" s="61">
        <v>561</v>
      </c>
      <c r="AI242" s="61">
        <v>4</v>
      </c>
      <c r="AJ242" s="63">
        <f t="shared" si="45"/>
        <v>7.1301247771836003E-3</v>
      </c>
      <c r="AK242" s="61">
        <v>25</v>
      </c>
      <c r="AL242" s="61">
        <v>0</v>
      </c>
      <c r="AM242" s="63">
        <f t="shared" si="46"/>
        <v>0</v>
      </c>
      <c r="AN242" s="61">
        <v>30</v>
      </c>
      <c r="AO242" s="61">
        <v>0</v>
      </c>
      <c r="AP242" s="63">
        <f t="shared" si="47"/>
        <v>0</v>
      </c>
      <c r="AQ242" s="61">
        <v>50</v>
      </c>
      <c r="AR242" s="61">
        <v>0</v>
      </c>
      <c r="AS242" s="63">
        <f t="shared" si="48"/>
        <v>0</v>
      </c>
      <c r="AT242" s="61">
        <v>76</v>
      </c>
      <c r="AU242" s="61">
        <v>0</v>
      </c>
      <c r="AV242" s="63">
        <f t="shared" si="49"/>
        <v>0</v>
      </c>
      <c r="AW242" s="61">
        <v>20.129293385715581</v>
      </c>
      <c r="AX242" s="61">
        <v>0</v>
      </c>
      <c r="AY242" s="63">
        <f t="shared" si="50"/>
        <v>0</v>
      </c>
      <c r="AZ242" s="61">
        <v>45</v>
      </c>
      <c r="BA242" s="61">
        <v>0</v>
      </c>
      <c r="BB242" s="63">
        <f t="shared" si="51"/>
        <v>0</v>
      </c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</row>
    <row r="243" spans="1:87" x14ac:dyDescent="0.25">
      <c r="A243" s="128">
        <v>3178</v>
      </c>
      <c r="B243" s="128">
        <v>21572</v>
      </c>
      <c r="C243" s="128">
        <v>1038509343</v>
      </c>
      <c r="D243" s="128" t="s">
        <v>808</v>
      </c>
      <c r="E243" s="128" t="s">
        <v>546</v>
      </c>
      <c r="F243" s="128" t="s">
        <v>546</v>
      </c>
      <c r="G243" s="128" t="s">
        <v>436</v>
      </c>
      <c r="H243" s="128" t="s">
        <v>437</v>
      </c>
      <c r="I243" s="128" t="s">
        <v>1218</v>
      </c>
      <c r="J243" s="128" t="s">
        <v>30</v>
      </c>
      <c r="K243" s="128" t="s">
        <v>805</v>
      </c>
      <c r="L243" s="128">
        <v>73036</v>
      </c>
      <c r="M243" s="128" t="s">
        <v>1143</v>
      </c>
      <c r="N243" s="128"/>
      <c r="O243" s="168">
        <v>0.5</v>
      </c>
      <c r="P243" s="157">
        <v>44635</v>
      </c>
      <c r="Q243" s="61">
        <v>97726.080000000002</v>
      </c>
      <c r="R243" s="63">
        <f t="shared" si="39"/>
        <v>2.1894495351181806</v>
      </c>
      <c r="S243" s="61">
        <v>4424</v>
      </c>
      <c r="T243" s="61">
        <v>3477.39</v>
      </c>
      <c r="U243" s="63">
        <f t="shared" si="40"/>
        <v>0.78602848101265821</v>
      </c>
      <c r="V243" s="61">
        <v>9047</v>
      </c>
      <c r="W243" s="61">
        <v>18120.78</v>
      </c>
      <c r="X243" s="63">
        <f t="shared" si="41"/>
        <v>2.0029600972698129</v>
      </c>
      <c r="Y243" s="61">
        <v>174</v>
      </c>
      <c r="Z243" s="102">
        <v>0</v>
      </c>
      <c r="AA243" s="63">
        <f t="shared" si="42"/>
        <v>0</v>
      </c>
      <c r="AB243" s="61">
        <v>7</v>
      </c>
      <c r="AC243" s="61">
        <v>0</v>
      </c>
      <c r="AD243" s="63">
        <f t="shared" si="43"/>
        <v>0</v>
      </c>
      <c r="AE243" s="61">
        <v>2</v>
      </c>
      <c r="AF243" s="61">
        <v>1</v>
      </c>
      <c r="AG243" s="63">
        <f t="shared" si="44"/>
        <v>0.5</v>
      </c>
      <c r="AH243" s="61">
        <v>38</v>
      </c>
      <c r="AI243" s="61">
        <v>20</v>
      </c>
      <c r="AJ243" s="63">
        <f t="shared" si="45"/>
        <v>0.52631578947368418</v>
      </c>
      <c r="AK243" s="61">
        <v>2</v>
      </c>
      <c r="AL243" s="61">
        <v>0</v>
      </c>
      <c r="AM243" s="63">
        <f t="shared" si="46"/>
        <v>0</v>
      </c>
      <c r="AN243" s="61">
        <v>1</v>
      </c>
      <c r="AO243" s="61">
        <v>0</v>
      </c>
      <c r="AP243" s="63">
        <f t="shared" si="47"/>
        <v>0</v>
      </c>
      <c r="AQ243" s="61">
        <v>3</v>
      </c>
      <c r="AR243" s="61">
        <v>4</v>
      </c>
      <c r="AS243" s="63">
        <f t="shared" si="48"/>
        <v>1.3333333333333333</v>
      </c>
      <c r="AT243" s="61">
        <v>1</v>
      </c>
      <c r="AU243" s="61">
        <v>1</v>
      </c>
      <c r="AV243" s="63">
        <f t="shared" si="49"/>
        <v>1</v>
      </c>
      <c r="AW243" s="61">
        <v>1.3063215941438484</v>
      </c>
      <c r="AX243" s="61">
        <v>0</v>
      </c>
      <c r="AY243" s="63">
        <f t="shared" si="50"/>
        <v>0</v>
      </c>
      <c r="AZ243" s="61">
        <v>4</v>
      </c>
      <c r="BA243" s="61">
        <v>6</v>
      </c>
      <c r="BB243" s="63">
        <f t="shared" si="51"/>
        <v>1.5</v>
      </c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</row>
    <row r="244" spans="1:87" x14ac:dyDescent="0.25">
      <c r="A244" s="128">
        <v>10164</v>
      </c>
      <c r="B244" s="128">
        <v>21572</v>
      </c>
      <c r="C244" s="128">
        <v>1045582036</v>
      </c>
      <c r="D244" s="128" t="s">
        <v>823</v>
      </c>
      <c r="E244" s="128" t="s">
        <v>546</v>
      </c>
      <c r="F244" s="128" t="s">
        <v>546</v>
      </c>
      <c r="G244" s="128" t="s">
        <v>109</v>
      </c>
      <c r="H244" s="128" t="s">
        <v>110</v>
      </c>
      <c r="I244" s="128" t="s">
        <v>1218</v>
      </c>
      <c r="J244" s="128" t="s">
        <v>30</v>
      </c>
      <c r="K244" s="128" t="s">
        <v>805</v>
      </c>
      <c r="L244" s="128">
        <v>73036</v>
      </c>
      <c r="M244" s="128" t="s">
        <v>1208</v>
      </c>
      <c r="N244" s="128" t="s">
        <v>1228</v>
      </c>
      <c r="O244" s="168">
        <v>1</v>
      </c>
      <c r="P244" s="157">
        <v>8929</v>
      </c>
      <c r="Q244" s="61">
        <v>106468.72000000002</v>
      </c>
      <c r="R244" s="63">
        <f t="shared" si="39"/>
        <v>11.923924291634004</v>
      </c>
      <c r="S244" s="61">
        <v>0</v>
      </c>
      <c r="T244" s="61">
        <v>2572.1800000000003</v>
      </c>
      <c r="U244" s="63" t="e">
        <f t="shared" si="40"/>
        <v>#DIV/0!</v>
      </c>
      <c r="V244" s="61">
        <v>0</v>
      </c>
      <c r="W244" s="61">
        <v>18679.55</v>
      </c>
      <c r="X244" s="63" t="e">
        <f t="shared" si="41"/>
        <v>#DIV/0!</v>
      </c>
      <c r="Y244" s="61"/>
      <c r="Z244" s="102">
        <v>0</v>
      </c>
      <c r="AA244" s="63" t="e">
        <f t="shared" si="42"/>
        <v>#DIV/0!</v>
      </c>
      <c r="AB244" s="61">
        <v>2</v>
      </c>
      <c r="AC244" s="61">
        <v>6</v>
      </c>
      <c r="AD244" s="63">
        <f t="shared" si="43"/>
        <v>3</v>
      </c>
      <c r="AE244" s="61"/>
      <c r="AF244" s="61">
        <v>1</v>
      </c>
      <c r="AG244" s="63" t="e">
        <f t="shared" si="44"/>
        <v>#DIV/0!</v>
      </c>
      <c r="AH244" s="61">
        <v>7</v>
      </c>
      <c r="AI244" s="61">
        <v>41</v>
      </c>
      <c r="AJ244" s="63">
        <f t="shared" si="45"/>
        <v>5.8571428571428568</v>
      </c>
      <c r="AK244" s="61"/>
      <c r="AL244" s="61">
        <v>0</v>
      </c>
      <c r="AM244" s="63" t="e">
        <f t="shared" si="46"/>
        <v>#DIV/0!</v>
      </c>
      <c r="AN244" s="61"/>
      <c r="AO244" s="61">
        <v>0</v>
      </c>
      <c r="AP244" s="63" t="e">
        <f t="shared" si="47"/>
        <v>#DIV/0!</v>
      </c>
      <c r="AQ244" s="61"/>
      <c r="AR244" s="61">
        <v>3</v>
      </c>
      <c r="AS244" s="63" t="e">
        <f t="shared" si="48"/>
        <v>#DIV/0!</v>
      </c>
      <c r="AT244" s="61">
        <v>69</v>
      </c>
      <c r="AU244" s="61">
        <v>34</v>
      </c>
      <c r="AV244" s="63">
        <f t="shared" si="49"/>
        <v>0.49275362318840582</v>
      </c>
      <c r="AW244" s="61">
        <v>0.26132285233808494</v>
      </c>
      <c r="AX244" s="61">
        <v>0</v>
      </c>
      <c r="AY244" s="63">
        <f t="shared" si="50"/>
        <v>0</v>
      </c>
      <c r="AZ244" s="61"/>
      <c r="BA244" s="61">
        <v>5</v>
      </c>
      <c r="BB244" s="63" t="e">
        <f t="shared" si="51"/>
        <v>#DIV/0!</v>
      </c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</row>
    <row r="245" spans="1:87" x14ac:dyDescent="0.25">
      <c r="A245" s="128">
        <v>20538</v>
      </c>
      <c r="B245" s="128">
        <v>21572</v>
      </c>
      <c r="C245" s="128">
        <v>1121763286</v>
      </c>
      <c r="D245" s="128" t="s">
        <v>770</v>
      </c>
      <c r="E245" s="128" t="s">
        <v>546</v>
      </c>
      <c r="F245" s="128" t="s">
        <v>546</v>
      </c>
      <c r="G245" s="128" t="s">
        <v>68</v>
      </c>
      <c r="H245" s="128" t="s">
        <v>68</v>
      </c>
      <c r="I245" s="128" t="s">
        <v>1218</v>
      </c>
      <c r="J245" s="128" t="s">
        <v>30</v>
      </c>
      <c r="K245" s="128" t="s">
        <v>805</v>
      </c>
      <c r="L245" s="128">
        <v>73036</v>
      </c>
      <c r="M245" s="128" t="s">
        <v>1215</v>
      </c>
      <c r="N245" s="128"/>
      <c r="O245" s="168"/>
      <c r="P245" s="157">
        <v>115900</v>
      </c>
      <c r="Q245" s="61">
        <v>99787.830000000016</v>
      </c>
      <c r="R245" s="63">
        <f t="shared" si="39"/>
        <v>0.86098213977566884</v>
      </c>
      <c r="S245" s="61">
        <v>8434</v>
      </c>
      <c r="T245" s="61">
        <v>3738.26</v>
      </c>
      <c r="U245" s="63">
        <f t="shared" si="40"/>
        <v>0.44323689826891155</v>
      </c>
      <c r="V245" s="61">
        <v>22124</v>
      </c>
      <c r="W245" s="61">
        <v>5549.14</v>
      </c>
      <c r="X245" s="63">
        <f t="shared" si="41"/>
        <v>0.25081992406436449</v>
      </c>
      <c r="Y245" s="61">
        <v>389</v>
      </c>
      <c r="Z245" s="102">
        <v>0</v>
      </c>
      <c r="AA245" s="63">
        <f t="shared" si="42"/>
        <v>0</v>
      </c>
      <c r="AB245" s="61">
        <v>19</v>
      </c>
      <c r="AC245" s="61">
        <v>5</v>
      </c>
      <c r="AD245" s="63">
        <f t="shared" si="43"/>
        <v>0.26315789473684209</v>
      </c>
      <c r="AE245" s="61">
        <v>2</v>
      </c>
      <c r="AF245" s="61">
        <v>0</v>
      </c>
      <c r="AG245" s="63">
        <f t="shared" si="44"/>
        <v>0</v>
      </c>
      <c r="AH245" s="61">
        <v>90</v>
      </c>
      <c r="AI245" s="61">
        <v>48</v>
      </c>
      <c r="AJ245" s="63">
        <f t="shared" si="45"/>
        <v>0.53333333333333333</v>
      </c>
      <c r="AK245" s="61">
        <v>4</v>
      </c>
      <c r="AL245" s="61">
        <v>1</v>
      </c>
      <c r="AM245" s="63">
        <f t="shared" si="46"/>
        <v>0.25</v>
      </c>
      <c r="AN245" s="61">
        <v>5</v>
      </c>
      <c r="AO245" s="61">
        <v>4</v>
      </c>
      <c r="AP245" s="63">
        <f t="shared" si="47"/>
        <v>0.8</v>
      </c>
      <c r="AQ245" s="61">
        <v>8</v>
      </c>
      <c r="AR245" s="61">
        <v>1</v>
      </c>
      <c r="AS245" s="63">
        <f t="shared" si="48"/>
        <v>0.125</v>
      </c>
      <c r="AT245" s="61">
        <v>1</v>
      </c>
      <c r="AU245" s="61">
        <v>0</v>
      </c>
      <c r="AV245" s="63">
        <f t="shared" si="49"/>
        <v>0</v>
      </c>
      <c r="AW245" s="61">
        <v>3.2508340403522369</v>
      </c>
      <c r="AX245" s="61">
        <v>0</v>
      </c>
      <c r="AY245" s="63">
        <f t="shared" si="50"/>
        <v>0</v>
      </c>
      <c r="AZ245" s="61">
        <v>7</v>
      </c>
      <c r="BA245" s="61">
        <v>2</v>
      </c>
      <c r="BB245" s="63">
        <f t="shared" si="51"/>
        <v>0.2857142857142857</v>
      </c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</row>
    <row r="246" spans="1:87" x14ac:dyDescent="0.25">
      <c r="A246" s="213">
        <v>12304</v>
      </c>
      <c r="B246" s="213">
        <v>21572</v>
      </c>
      <c r="C246" s="213">
        <v>1072755885</v>
      </c>
      <c r="D246" s="213" t="s">
        <v>817</v>
      </c>
      <c r="E246" s="213" t="s">
        <v>546</v>
      </c>
      <c r="F246" s="213" t="s">
        <v>546</v>
      </c>
      <c r="G246" s="213" t="s">
        <v>94</v>
      </c>
      <c r="H246" s="213" t="s">
        <v>94</v>
      </c>
      <c r="I246" s="213" t="s">
        <v>1218</v>
      </c>
      <c r="J246" s="213" t="s">
        <v>30</v>
      </c>
      <c r="K246" s="213" t="s">
        <v>805</v>
      </c>
      <c r="L246" s="213">
        <v>73036</v>
      </c>
      <c r="M246" s="213"/>
      <c r="N246" s="213"/>
      <c r="O246" s="246"/>
      <c r="P246" s="232">
        <v>118576</v>
      </c>
      <c r="Q246" s="61">
        <v>139401.74999999997</v>
      </c>
      <c r="R246" s="63">
        <f t="shared" si="39"/>
        <v>1.1756320840642287</v>
      </c>
      <c r="S246" s="61">
        <v>11793</v>
      </c>
      <c r="T246" s="61">
        <v>4021.74</v>
      </c>
      <c r="U246" s="63">
        <f t="shared" si="40"/>
        <v>0.34102772831340622</v>
      </c>
      <c r="V246" s="61">
        <v>22124</v>
      </c>
      <c r="W246" s="61">
        <v>21482.559999999998</v>
      </c>
      <c r="X246" s="63">
        <f t="shared" si="41"/>
        <v>0.97100705116615427</v>
      </c>
      <c r="Y246" s="61">
        <v>389</v>
      </c>
      <c r="Z246" s="102">
        <v>0</v>
      </c>
      <c r="AA246" s="63">
        <f t="shared" si="42"/>
        <v>0</v>
      </c>
      <c r="AB246" s="61">
        <v>19</v>
      </c>
      <c r="AC246" s="61">
        <v>5</v>
      </c>
      <c r="AD246" s="63">
        <f t="shared" si="43"/>
        <v>0.26315789473684209</v>
      </c>
      <c r="AE246" s="61">
        <v>2</v>
      </c>
      <c r="AF246" s="61">
        <v>1</v>
      </c>
      <c r="AG246" s="63">
        <f t="shared" si="44"/>
        <v>0.5</v>
      </c>
      <c r="AH246" s="61">
        <v>90</v>
      </c>
      <c r="AI246" s="61">
        <v>54</v>
      </c>
      <c r="AJ246" s="63">
        <f t="shared" si="45"/>
        <v>0.6</v>
      </c>
      <c r="AK246" s="61">
        <v>4</v>
      </c>
      <c r="AL246" s="61">
        <v>0</v>
      </c>
      <c r="AM246" s="63">
        <f t="shared" si="46"/>
        <v>0</v>
      </c>
      <c r="AN246" s="61">
        <v>5</v>
      </c>
      <c r="AO246" s="61">
        <v>6</v>
      </c>
      <c r="AP246" s="63">
        <f t="shared" si="47"/>
        <v>1.2</v>
      </c>
      <c r="AQ246" s="61">
        <v>8</v>
      </c>
      <c r="AR246" s="61">
        <v>2</v>
      </c>
      <c r="AS246" s="63">
        <f t="shared" si="48"/>
        <v>0.25</v>
      </c>
      <c r="AT246" s="61">
        <v>1</v>
      </c>
      <c r="AU246" s="61">
        <v>0</v>
      </c>
      <c r="AV246" s="63">
        <f t="shared" si="49"/>
        <v>0</v>
      </c>
      <c r="AW246" s="61">
        <v>3.3005875232702282</v>
      </c>
      <c r="AX246" s="61">
        <v>0</v>
      </c>
      <c r="AY246" s="63">
        <f t="shared" si="50"/>
        <v>0</v>
      </c>
      <c r="AZ246" s="61">
        <v>7</v>
      </c>
      <c r="BA246" s="61">
        <v>14</v>
      </c>
      <c r="BB246" s="63">
        <f t="shared" si="51"/>
        <v>2</v>
      </c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</row>
    <row r="247" spans="1:87" x14ac:dyDescent="0.25">
      <c r="A247" s="207">
        <v>22770</v>
      </c>
      <c r="B247" s="207">
        <v>21572</v>
      </c>
      <c r="C247" s="207">
        <v>1129153399</v>
      </c>
      <c r="D247" s="207" t="s">
        <v>810</v>
      </c>
      <c r="E247" s="207" t="s">
        <v>546</v>
      </c>
      <c r="F247" s="207" t="s">
        <v>546</v>
      </c>
      <c r="G247" s="207" t="s">
        <v>35</v>
      </c>
      <c r="H247" s="207" t="s">
        <v>36</v>
      </c>
      <c r="I247" s="207" t="s">
        <v>1218</v>
      </c>
      <c r="J247" s="207" t="s">
        <v>30</v>
      </c>
      <c r="K247" s="207" t="s">
        <v>805</v>
      </c>
      <c r="L247" s="207">
        <v>73036</v>
      </c>
      <c r="M247" s="207" t="s">
        <v>1215</v>
      </c>
      <c r="N247" s="207"/>
      <c r="O247" s="242"/>
      <c r="P247" s="243">
        <v>120052</v>
      </c>
      <c r="Q247" s="61">
        <v>149694.76999999999</v>
      </c>
      <c r="R247" s="63">
        <f t="shared" si="39"/>
        <v>1.2469160863625761</v>
      </c>
      <c r="S247" s="61">
        <v>12209</v>
      </c>
      <c r="T247" s="61">
        <v>13369.560000000001</v>
      </c>
      <c r="U247" s="63">
        <f t="shared" si="40"/>
        <v>1.0950577442870015</v>
      </c>
      <c r="V247" s="61">
        <v>22124</v>
      </c>
      <c r="W247" s="61">
        <v>19063.02</v>
      </c>
      <c r="X247" s="63">
        <f t="shared" si="41"/>
        <v>0.86164436810703315</v>
      </c>
      <c r="Y247" s="61">
        <v>389</v>
      </c>
      <c r="Z247" s="102">
        <v>0</v>
      </c>
      <c r="AA247" s="63">
        <f t="shared" si="42"/>
        <v>0</v>
      </c>
      <c r="AB247" s="61">
        <v>19</v>
      </c>
      <c r="AC247" s="61">
        <v>5</v>
      </c>
      <c r="AD247" s="63">
        <f t="shared" si="43"/>
        <v>0.26315789473684209</v>
      </c>
      <c r="AE247" s="61">
        <v>2</v>
      </c>
      <c r="AF247" s="61">
        <v>1</v>
      </c>
      <c r="AG247" s="63">
        <f t="shared" si="44"/>
        <v>0.5</v>
      </c>
      <c r="AH247" s="61">
        <v>90</v>
      </c>
      <c r="AI247" s="61">
        <v>49</v>
      </c>
      <c r="AJ247" s="63">
        <f t="shared" si="45"/>
        <v>0.5444444444444444</v>
      </c>
      <c r="AK247" s="61">
        <v>4</v>
      </c>
      <c r="AL247" s="61">
        <v>1</v>
      </c>
      <c r="AM247" s="63">
        <f t="shared" si="46"/>
        <v>0.25</v>
      </c>
      <c r="AN247" s="61">
        <v>5</v>
      </c>
      <c r="AO247" s="61">
        <v>2</v>
      </c>
      <c r="AP247" s="63">
        <f t="shared" si="47"/>
        <v>0.4</v>
      </c>
      <c r="AQ247" s="61">
        <v>8</v>
      </c>
      <c r="AR247" s="61">
        <v>5</v>
      </c>
      <c r="AS247" s="63">
        <f t="shared" si="48"/>
        <v>0.625</v>
      </c>
      <c r="AT247" s="61">
        <v>1</v>
      </c>
      <c r="AU247" s="61">
        <v>0</v>
      </c>
      <c r="AV247" s="63">
        <f t="shared" si="49"/>
        <v>0</v>
      </c>
      <c r="AW247" s="61">
        <v>3.3437852531449077</v>
      </c>
      <c r="AX247" s="61">
        <v>0</v>
      </c>
      <c r="AY247" s="63">
        <f t="shared" si="50"/>
        <v>0</v>
      </c>
      <c r="AZ247" s="61">
        <v>7</v>
      </c>
      <c r="BA247" s="61">
        <v>5</v>
      </c>
      <c r="BB247" s="63">
        <f t="shared" si="51"/>
        <v>0.7142857142857143</v>
      </c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</row>
    <row r="248" spans="1:87" x14ac:dyDescent="0.25">
      <c r="A248" s="128">
        <v>12651</v>
      </c>
      <c r="B248" s="128">
        <v>21572</v>
      </c>
      <c r="C248" s="128">
        <v>1126201233</v>
      </c>
      <c r="D248" s="128" t="s">
        <v>811</v>
      </c>
      <c r="E248" s="128" t="s">
        <v>546</v>
      </c>
      <c r="F248" s="128" t="s">
        <v>546</v>
      </c>
      <c r="G248" s="128" t="s">
        <v>91</v>
      </c>
      <c r="H248" s="128" t="s">
        <v>91</v>
      </c>
      <c r="I248" s="128" t="s">
        <v>1218</v>
      </c>
      <c r="J248" s="128" t="s">
        <v>30</v>
      </c>
      <c r="K248" s="128" t="s">
        <v>805</v>
      </c>
      <c r="L248" s="128">
        <v>73036</v>
      </c>
      <c r="M248" s="128" t="s">
        <v>1144</v>
      </c>
      <c r="N248" s="128">
        <v>5</v>
      </c>
      <c r="O248" s="168">
        <v>0.1</v>
      </c>
      <c r="P248" s="157">
        <v>80343</v>
      </c>
      <c r="Q248" s="61">
        <v>76742.829999999987</v>
      </c>
      <c r="R248" s="63">
        <f t="shared" si="39"/>
        <v>0.95518999788407188</v>
      </c>
      <c r="S248" s="61">
        <v>8264</v>
      </c>
      <c r="T248" s="61">
        <v>0</v>
      </c>
      <c r="U248" s="63">
        <f t="shared" si="40"/>
        <v>0</v>
      </c>
      <c r="V248" s="61">
        <v>16273</v>
      </c>
      <c r="W248" s="61">
        <v>6243.28</v>
      </c>
      <c r="X248" s="63">
        <f t="shared" si="41"/>
        <v>0.38365882136053586</v>
      </c>
      <c r="Y248" s="61">
        <v>314</v>
      </c>
      <c r="Z248" s="102">
        <v>0</v>
      </c>
      <c r="AA248" s="63">
        <f t="shared" si="42"/>
        <v>0</v>
      </c>
      <c r="AB248" s="61">
        <v>11</v>
      </c>
      <c r="AC248" s="61">
        <v>1</v>
      </c>
      <c r="AD248" s="63">
        <f t="shared" si="43"/>
        <v>9.0909090909090912E-2</v>
      </c>
      <c r="AE248" s="61">
        <v>2</v>
      </c>
      <c r="AF248" s="61">
        <v>0</v>
      </c>
      <c r="AG248" s="63">
        <f t="shared" si="44"/>
        <v>0</v>
      </c>
      <c r="AH248" s="61">
        <v>66</v>
      </c>
      <c r="AI248" s="61">
        <v>47</v>
      </c>
      <c r="AJ248" s="63">
        <f t="shared" si="45"/>
        <v>0.71212121212121215</v>
      </c>
      <c r="AK248" s="61">
        <v>3</v>
      </c>
      <c r="AL248" s="61">
        <v>0</v>
      </c>
      <c r="AM248" s="63">
        <f t="shared" si="46"/>
        <v>0</v>
      </c>
      <c r="AN248" s="61">
        <v>4</v>
      </c>
      <c r="AO248" s="61">
        <v>0</v>
      </c>
      <c r="AP248" s="63">
        <f t="shared" si="47"/>
        <v>0</v>
      </c>
      <c r="AQ248" s="61">
        <v>7</v>
      </c>
      <c r="AR248" s="61">
        <v>0</v>
      </c>
      <c r="AS248" s="63">
        <f t="shared" si="48"/>
        <v>0</v>
      </c>
      <c r="AT248" s="61">
        <v>1</v>
      </c>
      <c r="AU248" s="61">
        <v>0</v>
      </c>
      <c r="AV248" s="63">
        <f t="shared" si="49"/>
        <v>0</v>
      </c>
      <c r="AW248" s="61">
        <v>2.351378869458927</v>
      </c>
      <c r="AX248" s="61">
        <v>0</v>
      </c>
      <c r="AY248" s="63">
        <f t="shared" si="50"/>
        <v>0</v>
      </c>
      <c r="AZ248" s="61">
        <v>6</v>
      </c>
      <c r="BA248" s="61">
        <v>0</v>
      </c>
      <c r="BB248" s="63">
        <f t="shared" si="51"/>
        <v>0</v>
      </c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</row>
    <row r="249" spans="1:87" s="104" customFormat="1" x14ac:dyDescent="0.25">
      <c r="A249" s="128">
        <v>21983</v>
      </c>
      <c r="B249" s="128">
        <v>21572</v>
      </c>
      <c r="C249" s="128">
        <v>1093075628</v>
      </c>
      <c r="D249" s="128" t="s">
        <v>822</v>
      </c>
      <c r="E249" s="128" t="s">
        <v>546</v>
      </c>
      <c r="F249" s="128" t="s">
        <v>546</v>
      </c>
      <c r="G249" s="128" t="s">
        <v>108</v>
      </c>
      <c r="H249" s="128" t="s">
        <v>108</v>
      </c>
      <c r="I249" s="128" t="s">
        <v>1218</v>
      </c>
      <c r="J249" s="128" t="s">
        <v>30</v>
      </c>
      <c r="K249" s="128" t="s">
        <v>805</v>
      </c>
      <c r="L249" s="128">
        <v>73036</v>
      </c>
      <c r="M249" s="128"/>
      <c r="N249" s="128"/>
      <c r="O249" s="168"/>
      <c r="P249" s="157">
        <v>116000</v>
      </c>
      <c r="Q249" s="61">
        <v>156295.88</v>
      </c>
      <c r="R249" s="63">
        <f t="shared" si="39"/>
        <v>1.3473782758620689</v>
      </c>
      <c r="S249" s="61">
        <v>9634</v>
      </c>
      <c r="T249" s="61">
        <v>16129.96</v>
      </c>
      <c r="U249" s="63">
        <f t="shared" si="40"/>
        <v>1.674274444675109</v>
      </c>
      <c r="V249" s="61">
        <v>22124</v>
      </c>
      <c r="W249" s="61">
        <v>26285.929999999997</v>
      </c>
      <c r="X249" s="63">
        <f t="shared" si="41"/>
        <v>1.1881183330320013</v>
      </c>
      <c r="Y249" s="61">
        <v>389</v>
      </c>
      <c r="Z249" s="102">
        <v>0</v>
      </c>
      <c r="AA249" s="63">
        <f t="shared" si="42"/>
        <v>0</v>
      </c>
      <c r="AB249" s="61">
        <v>19</v>
      </c>
      <c r="AC249" s="61">
        <v>9</v>
      </c>
      <c r="AD249" s="63">
        <f t="shared" si="43"/>
        <v>0.47368421052631576</v>
      </c>
      <c r="AE249" s="61">
        <v>2</v>
      </c>
      <c r="AF249" s="61">
        <v>0</v>
      </c>
      <c r="AG249" s="63">
        <f t="shared" si="44"/>
        <v>0</v>
      </c>
      <c r="AH249" s="61">
        <v>90</v>
      </c>
      <c r="AI249" s="61">
        <v>31</v>
      </c>
      <c r="AJ249" s="63">
        <f t="shared" si="45"/>
        <v>0.34444444444444444</v>
      </c>
      <c r="AK249" s="61">
        <v>4</v>
      </c>
      <c r="AL249" s="61">
        <v>0</v>
      </c>
      <c r="AM249" s="63">
        <f t="shared" si="46"/>
        <v>0</v>
      </c>
      <c r="AN249" s="61">
        <v>5</v>
      </c>
      <c r="AO249" s="61">
        <v>5</v>
      </c>
      <c r="AP249" s="63">
        <f t="shared" si="47"/>
        <v>1</v>
      </c>
      <c r="AQ249" s="61">
        <v>8</v>
      </c>
      <c r="AR249" s="61">
        <v>9</v>
      </c>
      <c r="AS249" s="63">
        <f t="shared" si="48"/>
        <v>1.125</v>
      </c>
      <c r="AT249" s="61">
        <v>1</v>
      </c>
      <c r="AU249" s="61">
        <v>0</v>
      </c>
      <c r="AV249" s="63">
        <f t="shared" si="49"/>
        <v>0</v>
      </c>
      <c r="AW249" s="61">
        <v>3.2420540139549443</v>
      </c>
      <c r="AX249" s="61">
        <v>0</v>
      </c>
      <c r="AY249" s="63">
        <f t="shared" si="50"/>
        <v>0</v>
      </c>
      <c r="AZ249" s="61">
        <v>7</v>
      </c>
      <c r="BA249" s="61">
        <v>12</v>
      </c>
      <c r="BB249" s="63">
        <f t="shared" si="51"/>
        <v>1.7142857142857142</v>
      </c>
    </row>
    <row r="250" spans="1:87" x14ac:dyDescent="0.25">
      <c r="A250" s="128">
        <v>21693</v>
      </c>
      <c r="B250" s="128">
        <v>21572</v>
      </c>
      <c r="C250" s="128">
        <v>1058897529</v>
      </c>
      <c r="D250" s="128" t="s">
        <v>814</v>
      </c>
      <c r="E250" s="128" t="s">
        <v>546</v>
      </c>
      <c r="F250" s="128" t="s">
        <v>546</v>
      </c>
      <c r="G250" s="128" t="s">
        <v>97</v>
      </c>
      <c r="H250" s="128" t="s">
        <v>97</v>
      </c>
      <c r="I250" s="128" t="s">
        <v>1218</v>
      </c>
      <c r="J250" s="128" t="s">
        <v>30</v>
      </c>
      <c r="K250" s="128" t="s">
        <v>805</v>
      </c>
      <c r="L250" s="128">
        <v>73036</v>
      </c>
      <c r="M250" s="128" t="s">
        <v>1215</v>
      </c>
      <c r="N250" s="128"/>
      <c r="O250" s="168"/>
      <c r="P250" s="157">
        <v>110800</v>
      </c>
      <c r="Q250" s="61">
        <v>86439.13</v>
      </c>
      <c r="R250" s="63">
        <f t="shared" si="39"/>
        <v>0.78013655234657042</v>
      </c>
      <c r="S250" s="61">
        <v>10425</v>
      </c>
      <c r="T250" s="61">
        <v>564.35</v>
      </c>
      <c r="U250" s="63">
        <f t="shared" si="40"/>
        <v>5.4134292565947241E-2</v>
      </c>
      <c r="V250" s="61">
        <v>22124</v>
      </c>
      <c r="W250" s="61">
        <v>14842.619999999999</v>
      </c>
      <c r="X250" s="63">
        <f t="shared" si="41"/>
        <v>0.67088320376062194</v>
      </c>
      <c r="Y250" s="61">
        <v>389</v>
      </c>
      <c r="Z250" s="102">
        <v>0</v>
      </c>
      <c r="AA250" s="63">
        <f t="shared" si="42"/>
        <v>0</v>
      </c>
      <c r="AB250" s="61">
        <v>19</v>
      </c>
      <c r="AC250" s="61">
        <v>9</v>
      </c>
      <c r="AD250" s="63">
        <f t="shared" si="43"/>
        <v>0.47368421052631576</v>
      </c>
      <c r="AE250" s="61">
        <v>2</v>
      </c>
      <c r="AF250" s="61">
        <v>1</v>
      </c>
      <c r="AG250" s="63">
        <f t="shared" si="44"/>
        <v>0.5</v>
      </c>
      <c r="AH250" s="61">
        <v>90</v>
      </c>
      <c r="AI250" s="61">
        <v>38</v>
      </c>
      <c r="AJ250" s="63">
        <f t="shared" si="45"/>
        <v>0.42222222222222222</v>
      </c>
      <c r="AK250" s="61">
        <v>4</v>
      </c>
      <c r="AL250" s="61">
        <v>1</v>
      </c>
      <c r="AM250" s="63">
        <f t="shared" si="46"/>
        <v>0.25</v>
      </c>
      <c r="AN250" s="61">
        <v>5</v>
      </c>
      <c r="AO250" s="61">
        <v>0</v>
      </c>
      <c r="AP250" s="63">
        <f t="shared" si="47"/>
        <v>0</v>
      </c>
      <c r="AQ250" s="61">
        <v>8</v>
      </c>
      <c r="AR250" s="61">
        <v>4</v>
      </c>
      <c r="AS250" s="63">
        <f t="shared" si="48"/>
        <v>0.5</v>
      </c>
      <c r="AT250" s="61">
        <v>1</v>
      </c>
      <c r="AU250" s="61">
        <v>2</v>
      </c>
      <c r="AV250" s="63">
        <f t="shared" si="49"/>
        <v>2</v>
      </c>
      <c r="AW250" s="61">
        <v>3.0730092390524044</v>
      </c>
      <c r="AX250" s="61">
        <v>0</v>
      </c>
      <c r="AY250" s="63">
        <f t="shared" si="50"/>
        <v>0</v>
      </c>
      <c r="AZ250" s="61">
        <v>7</v>
      </c>
      <c r="BA250" s="61">
        <v>6</v>
      </c>
      <c r="BB250" s="63">
        <f t="shared" si="51"/>
        <v>0.8571428571428571</v>
      </c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</row>
    <row r="251" spans="1:87" x14ac:dyDescent="0.25">
      <c r="A251" s="128">
        <v>21414</v>
      </c>
      <c r="B251" s="128"/>
      <c r="C251" s="128">
        <v>1010732418</v>
      </c>
      <c r="D251" s="128" t="s">
        <v>885</v>
      </c>
      <c r="E251" s="128" t="s">
        <v>537</v>
      </c>
      <c r="F251" s="128" t="s">
        <v>537</v>
      </c>
      <c r="G251" s="128" t="s">
        <v>886</v>
      </c>
      <c r="H251" s="128">
        <v>0</v>
      </c>
      <c r="I251" s="128" t="s">
        <v>1218</v>
      </c>
      <c r="J251" s="128" t="s">
        <v>1138</v>
      </c>
      <c r="K251" s="128" t="s">
        <v>538</v>
      </c>
      <c r="L251" s="128" t="s">
        <v>539</v>
      </c>
      <c r="M251" s="128"/>
      <c r="N251" s="128"/>
      <c r="O251" s="168"/>
      <c r="P251" s="169">
        <v>8609416.8520029131</v>
      </c>
      <c r="Q251" s="61">
        <v>0</v>
      </c>
      <c r="R251" s="63">
        <f t="shared" si="39"/>
        <v>0</v>
      </c>
      <c r="S251" s="61">
        <v>986800.98078165948</v>
      </c>
      <c r="T251" s="61">
        <v>0</v>
      </c>
      <c r="U251" s="63">
        <f t="shared" si="40"/>
        <v>0</v>
      </c>
      <c r="V251" s="61">
        <v>2601059.9907307415</v>
      </c>
      <c r="W251" s="61">
        <v>0</v>
      </c>
      <c r="X251" s="63">
        <f t="shared" si="41"/>
        <v>0</v>
      </c>
      <c r="Y251" s="61">
        <v>80024.644856257917</v>
      </c>
      <c r="Z251" s="102">
        <v>0</v>
      </c>
      <c r="AA251" s="63">
        <f t="shared" si="42"/>
        <v>0</v>
      </c>
      <c r="AB251" s="61">
        <v>1453.0486384485966</v>
      </c>
      <c r="AC251" s="61">
        <v>0</v>
      </c>
      <c r="AD251" s="63">
        <f t="shared" si="43"/>
        <v>0</v>
      </c>
      <c r="AE251" s="61">
        <v>232.7024392185813</v>
      </c>
      <c r="AF251" s="61">
        <v>0</v>
      </c>
      <c r="AG251" s="63">
        <f t="shared" si="44"/>
        <v>0</v>
      </c>
      <c r="AH251" s="61">
        <v>7745.4673988070626</v>
      </c>
      <c r="AI251" s="61">
        <v>0</v>
      </c>
      <c r="AJ251" s="63">
        <f t="shared" si="45"/>
        <v>0</v>
      </c>
      <c r="AK251" s="61">
        <v>288.11923846450605</v>
      </c>
      <c r="AL251" s="61">
        <v>0</v>
      </c>
      <c r="AM251" s="63">
        <f t="shared" si="46"/>
        <v>0</v>
      </c>
      <c r="AN251" s="61">
        <v>370.01181612926399</v>
      </c>
      <c r="AO251" s="61">
        <v>0</v>
      </c>
      <c r="AP251" s="63">
        <f t="shared" si="47"/>
        <v>0</v>
      </c>
      <c r="AQ251" s="61">
        <v>855.69740764567837</v>
      </c>
      <c r="AR251" s="61">
        <v>0</v>
      </c>
      <c r="AS251" s="63">
        <f t="shared" si="48"/>
        <v>0</v>
      </c>
      <c r="AT251" s="61">
        <v>312.78692539604936</v>
      </c>
      <c r="AU251" s="61">
        <v>0</v>
      </c>
      <c r="AV251" s="63">
        <f t="shared" si="49"/>
        <v>0</v>
      </c>
      <c r="AW251" s="61">
        <v>251.96969075293734</v>
      </c>
      <c r="AX251" s="61">
        <v>0</v>
      </c>
      <c r="AY251" s="63">
        <f t="shared" si="50"/>
        <v>0</v>
      </c>
      <c r="AZ251" s="61">
        <v>756.02399697020792</v>
      </c>
      <c r="BA251" s="61">
        <v>0</v>
      </c>
      <c r="BB251" s="63">
        <f t="shared" si="51"/>
        <v>0</v>
      </c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</row>
    <row r="252" spans="1:87" x14ac:dyDescent="0.25">
      <c r="A252" s="128">
        <v>21577</v>
      </c>
      <c r="B252" s="128">
        <v>21414</v>
      </c>
      <c r="C252" s="128">
        <v>1046997373</v>
      </c>
      <c r="D252" s="128" t="s">
        <v>888</v>
      </c>
      <c r="E252" s="128" t="s">
        <v>541</v>
      </c>
      <c r="F252" s="128" t="s">
        <v>541</v>
      </c>
      <c r="G252" s="128" t="s">
        <v>889</v>
      </c>
      <c r="H252" s="128" t="s">
        <v>889</v>
      </c>
      <c r="I252" s="128" t="s">
        <v>1218</v>
      </c>
      <c r="J252" s="128" t="s">
        <v>887</v>
      </c>
      <c r="K252" s="128" t="s">
        <v>890</v>
      </c>
      <c r="L252" s="128">
        <v>75001</v>
      </c>
      <c r="M252" s="128"/>
      <c r="N252" s="128"/>
      <c r="O252" s="168"/>
      <c r="P252" s="169">
        <v>988589.0149999999</v>
      </c>
      <c r="Q252" s="61">
        <v>0</v>
      </c>
      <c r="R252" s="63">
        <f t="shared" si="39"/>
        <v>0</v>
      </c>
      <c r="S252" s="61">
        <v>111162.79943938497</v>
      </c>
      <c r="T252" s="61">
        <v>0</v>
      </c>
      <c r="U252" s="63">
        <f t="shared" si="40"/>
        <v>0</v>
      </c>
      <c r="V252" s="61">
        <v>288201.13167951856</v>
      </c>
      <c r="W252" s="61">
        <v>0</v>
      </c>
      <c r="X252" s="63">
        <f t="shared" si="41"/>
        <v>0</v>
      </c>
      <c r="Y252" s="61">
        <v>7778.0554425047758</v>
      </c>
      <c r="Z252" s="102">
        <v>0</v>
      </c>
      <c r="AA252" s="63">
        <f t="shared" si="42"/>
        <v>0</v>
      </c>
      <c r="AB252" s="61">
        <v>183</v>
      </c>
      <c r="AC252" s="61">
        <v>2</v>
      </c>
      <c r="AD252" s="63">
        <f t="shared" si="43"/>
        <v>1.092896174863388E-2</v>
      </c>
      <c r="AE252" s="61">
        <v>25.229237746451329</v>
      </c>
      <c r="AF252" s="61">
        <v>0</v>
      </c>
      <c r="AG252" s="63">
        <f t="shared" si="44"/>
        <v>0</v>
      </c>
      <c r="AH252" s="61">
        <v>962.14128007440263</v>
      </c>
      <c r="AI252" s="61">
        <v>0</v>
      </c>
      <c r="AJ252" s="63">
        <f t="shared" si="45"/>
        <v>0</v>
      </c>
      <c r="AK252" s="61">
        <v>31.786578769102331</v>
      </c>
      <c r="AL252" s="61">
        <v>0</v>
      </c>
      <c r="AM252" s="63">
        <f t="shared" si="46"/>
        <v>0</v>
      </c>
      <c r="AN252" s="61">
        <v>38.142474612438747</v>
      </c>
      <c r="AO252" s="61">
        <v>0</v>
      </c>
      <c r="AP252" s="63">
        <f t="shared" si="47"/>
        <v>0</v>
      </c>
      <c r="AQ252" s="61">
        <v>107.53270443263457</v>
      </c>
      <c r="AR252" s="61">
        <v>0</v>
      </c>
      <c r="AS252" s="63">
        <f t="shared" si="48"/>
        <v>0</v>
      </c>
      <c r="AT252" s="61">
        <v>27.033225039046894</v>
      </c>
      <c r="AU252" s="61">
        <v>0</v>
      </c>
      <c r="AV252" s="63">
        <f t="shared" si="49"/>
        <v>0</v>
      </c>
      <c r="AW252" s="61">
        <v>28.932792159244912</v>
      </c>
      <c r="AX252" s="61">
        <v>0</v>
      </c>
      <c r="AY252" s="63">
        <f t="shared" si="50"/>
        <v>0</v>
      </c>
      <c r="AZ252" s="61">
        <v>84.577043310871346</v>
      </c>
      <c r="BA252" s="61">
        <v>0</v>
      </c>
      <c r="BB252" s="63">
        <f t="shared" si="51"/>
        <v>0</v>
      </c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</row>
    <row r="253" spans="1:87" x14ac:dyDescent="0.25">
      <c r="A253" s="123">
        <v>20542</v>
      </c>
      <c r="B253" s="123">
        <v>21577</v>
      </c>
      <c r="C253" s="123">
        <v>1092800372</v>
      </c>
      <c r="D253" s="123" t="s">
        <v>891</v>
      </c>
      <c r="E253" s="123" t="s">
        <v>544</v>
      </c>
      <c r="F253" s="123" t="s">
        <v>544</v>
      </c>
      <c r="G253" s="123" t="s">
        <v>892</v>
      </c>
      <c r="H253" s="123" t="s">
        <v>892</v>
      </c>
      <c r="I253" s="123" t="s">
        <v>1218</v>
      </c>
      <c r="J253" s="123" t="s">
        <v>887</v>
      </c>
      <c r="K253" s="123" t="s">
        <v>890</v>
      </c>
      <c r="L253" s="123">
        <v>75001</v>
      </c>
      <c r="M253" s="123"/>
      <c r="N253" s="123"/>
      <c r="O253" s="166"/>
      <c r="P253" s="167">
        <v>324729</v>
      </c>
      <c r="Q253" s="61">
        <v>0</v>
      </c>
      <c r="R253" s="63">
        <f t="shared" si="39"/>
        <v>0</v>
      </c>
      <c r="S253" s="61">
        <v>38252.842538013974</v>
      </c>
      <c r="T253" s="61">
        <v>0</v>
      </c>
      <c r="U253" s="63">
        <f t="shared" si="40"/>
        <v>0</v>
      </c>
      <c r="V253" s="61">
        <v>95882.299577993705</v>
      </c>
      <c r="W253" s="61">
        <v>0</v>
      </c>
      <c r="X253" s="63">
        <f t="shared" si="41"/>
        <v>0</v>
      </c>
      <c r="Y253" s="61">
        <v>2712</v>
      </c>
      <c r="Z253" s="102">
        <v>0</v>
      </c>
      <c r="AA253" s="63">
        <f t="shared" si="42"/>
        <v>0</v>
      </c>
      <c r="AB253" s="61">
        <v>60.882692307692309</v>
      </c>
      <c r="AC253" s="61">
        <v>0</v>
      </c>
      <c r="AD253" s="63">
        <f t="shared" si="43"/>
        <v>0</v>
      </c>
      <c r="AE253" s="61">
        <v>8.3935733271847681</v>
      </c>
      <c r="AF253" s="61">
        <v>0</v>
      </c>
      <c r="AG253" s="63">
        <f t="shared" si="44"/>
        <v>0</v>
      </c>
      <c r="AH253" s="61">
        <v>320.09700279398396</v>
      </c>
      <c r="AI253" s="61">
        <v>0</v>
      </c>
      <c r="AJ253" s="63">
        <f t="shared" si="45"/>
        <v>0</v>
      </c>
      <c r="AK253" s="61">
        <v>10.575150244335969</v>
      </c>
      <c r="AL253" s="61">
        <v>0</v>
      </c>
      <c r="AM253" s="63">
        <f t="shared" si="46"/>
        <v>0</v>
      </c>
      <c r="AN253" s="61">
        <v>12.689707899907505</v>
      </c>
      <c r="AO253" s="61">
        <v>0</v>
      </c>
      <c r="AP253" s="63">
        <f t="shared" si="47"/>
        <v>0</v>
      </c>
      <c r="AQ253" s="61">
        <v>34.948128940606246</v>
      </c>
      <c r="AR253" s="61">
        <v>0</v>
      </c>
      <c r="AS253" s="63">
        <f t="shared" si="48"/>
        <v>0</v>
      </c>
      <c r="AT253" s="61">
        <v>8.9937460226059862</v>
      </c>
      <c r="AU253" s="61">
        <v>0</v>
      </c>
      <c r="AV253" s="63">
        <f t="shared" si="49"/>
        <v>0</v>
      </c>
      <c r="AW253" s="61">
        <v>9.5037639732214121</v>
      </c>
      <c r="AX253" s="61">
        <v>0</v>
      </c>
      <c r="AY253" s="63">
        <f t="shared" si="50"/>
        <v>0</v>
      </c>
      <c r="AZ253" s="61">
        <v>28.138131716886047</v>
      </c>
      <c r="BA253" s="61">
        <v>0</v>
      </c>
      <c r="BB253" s="63">
        <f t="shared" si="51"/>
        <v>0</v>
      </c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</row>
    <row r="254" spans="1:87" x14ac:dyDescent="0.25">
      <c r="A254" s="128">
        <v>5144</v>
      </c>
      <c r="B254" s="128">
        <v>20542</v>
      </c>
      <c r="C254" s="128">
        <v>1053538888</v>
      </c>
      <c r="D254" s="128" t="s">
        <v>919</v>
      </c>
      <c r="E254" s="128" t="s">
        <v>546</v>
      </c>
      <c r="F254" s="128" t="s">
        <v>546</v>
      </c>
      <c r="G254" s="128" t="s">
        <v>920</v>
      </c>
      <c r="H254" s="128" t="s">
        <v>921</v>
      </c>
      <c r="I254" s="128" t="s">
        <v>1218</v>
      </c>
      <c r="J254" s="128" t="s">
        <v>887</v>
      </c>
      <c r="K254" s="128" t="s">
        <v>890</v>
      </c>
      <c r="L254" s="128">
        <v>75001</v>
      </c>
      <c r="M254" s="128" t="s">
        <v>1215</v>
      </c>
      <c r="N254" s="128"/>
      <c r="O254" s="168"/>
      <c r="P254" s="157">
        <v>91371.603969999996</v>
      </c>
      <c r="Q254" s="61">
        <v>85300.01999999999</v>
      </c>
      <c r="R254" s="63">
        <f t="shared" si="39"/>
        <v>0.9335506469603676</v>
      </c>
      <c r="S254" s="61">
        <v>10598.837860599295</v>
      </c>
      <c r="T254" s="61">
        <v>0</v>
      </c>
      <c r="U254" s="63">
        <f t="shared" si="40"/>
        <v>0</v>
      </c>
      <c r="V254" s="61">
        <v>26880.297858570488</v>
      </c>
      <c r="W254" s="61">
        <v>6192.17</v>
      </c>
      <c r="X254" s="63">
        <f t="shared" si="41"/>
        <v>0.23036091462155039</v>
      </c>
      <c r="Y254" s="61">
        <v>708</v>
      </c>
      <c r="Z254" s="102">
        <v>0</v>
      </c>
      <c r="AA254" s="63">
        <f t="shared" si="42"/>
        <v>0</v>
      </c>
      <c r="AB254" s="61">
        <v>17.068269230769229</v>
      </c>
      <c r="AC254" s="61">
        <v>5</v>
      </c>
      <c r="AD254" s="63">
        <f t="shared" si="43"/>
        <v>0.29294124274688754</v>
      </c>
      <c r="AE254" s="61">
        <v>2.3531115975055563</v>
      </c>
      <c r="AF254" s="61">
        <v>1</v>
      </c>
      <c r="AG254" s="63">
        <f t="shared" si="44"/>
        <v>0.42496921992992676</v>
      </c>
      <c r="AH254" s="61">
        <v>89.738177083862567</v>
      </c>
      <c r="AI254" s="61">
        <v>49</v>
      </c>
      <c r="AJ254" s="63">
        <f t="shared" si="45"/>
        <v>0.54603293260802788</v>
      </c>
      <c r="AK254" s="61">
        <v>2.9647097505797366</v>
      </c>
      <c r="AL254" s="61">
        <v>1</v>
      </c>
      <c r="AM254" s="63">
        <f t="shared" si="46"/>
        <v>0.33730114720486692</v>
      </c>
      <c r="AN254" s="61">
        <v>3.5575192667370756</v>
      </c>
      <c r="AO254" s="61">
        <v>0</v>
      </c>
      <c r="AP254" s="63">
        <f t="shared" si="47"/>
        <v>0</v>
      </c>
      <c r="AQ254" s="61">
        <v>9.8222164440508983</v>
      </c>
      <c r="AR254" s="61">
        <v>2</v>
      </c>
      <c r="AS254" s="63">
        <f t="shared" si="48"/>
        <v>0.20362002928690867</v>
      </c>
      <c r="AT254" s="61">
        <v>2.521368104603412</v>
      </c>
      <c r="AU254" s="61">
        <v>0</v>
      </c>
      <c r="AV254" s="63">
        <f t="shared" si="49"/>
        <v>0</v>
      </c>
      <c r="AW254" s="61">
        <v>2.6741503160652127</v>
      </c>
      <c r="AX254" s="61">
        <v>0</v>
      </c>
      <c r="AY254" s="63">
        <f t="shared" si="50"/>
        <v>0</v>
      </c>
      <c r="AZ254" s="61">
        <v>7.8884357703408856</v>
      </c>
      <c r="BA254" s="61">
        <v>1</v>
      </c>
      <c r="BB254" s="63">
        <f t="shared" si="51"/>
        <v>0.12676784461627005</v>
      </c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</row>
    <row r="255" spans="1:87" x14ac:dyDescent="0.25">
      <c r="A255" s="128">
        <v>10215</v>
      </c>
      <c r="B255" s="128">
        <v>20542</v>
      </c>
      <c r="C255" s="128">
        <v>1044383923</v>
      </c>
      <c r="D255" s="128" t="s">
        <v>1197</v>
      </c>
      <c r="E255" s="128" t="s">
        <v>546</v>
      </c>
      <c r="F255" s="128" t="s">
        <v>546</v>
      </c>
      <c r="G255" s="128" t="s">
        <v>1198</v>
      </c>
      <c r="H255" s="128" t="s">
        <v>1198</v>
      </c>
      <c r="I255" s="128" t="s">
        <v>1218</v>
      </c>
      <c r="J255" s="128" t="s">
        <v>887</v>
      </c>
      <c r="K255" s="128" t="s">
        <v>890</v>
      </c>
      <c r="L255" s="128">
        <v>75001</v>
      </c>
      <c r="M255" s="128" t="s">
        <v>1148</v>
      </c>
      <c r="N255" s="128"/>
      <c r="O255" s="168">
        <v>0.5</v>
      </c>
      <c r="P255" s="157">
        <v>37189.324399999998</v>
      </c>
      <c r="Q255" s="61">
        <v>120967.88999999997</v>
      </c>
      <c r="R255" s="63">
        <f t="shared" si="39"/>
        <v>3.2527584717295905</v>
      </c>
      <c r="S255" s="61">
        <v>4507.2606517935228</v>
      </c>
      <c r="T255" s="61">
        <v>9658.26</v>
      </c>
      <c r="U255" s="63">
        <f t="shared" si="40"/>
        <v>2.1428226024951096</v>
      </c>
      <c r="V255" s="61">
        <v>11084.658910750717</v>
      </c>
      <c r="W255" s="61">
        <v>13378.26</v>
      </c>
      <c r="X255" s="63">
        <f t="shared" si="41"/>
        <v>1.2069167042230573</v>
      </c>
      <c r="Y255" s="61">
        <v>296</v>
      </c>
      <c r="Z255" s="102">
        <v>0</v>
      </c>
      <c r="AA255" s="63">
        <f t="shared" si="42"/>
        <v>0</v>
      </c>
      <c r="AB255" s="61">
        <v>7.0384615384615383</v>
      </c>
      <c r="AC255" s="61">
        <v>7</v>
      </c>
      <c r="AD255" s="63">
        <f t="shared" si="43"/>
        <v>0.99453551912568305</v>
      </c>
      <c r="AE255" s="61">
        <v>0.97035529794043562</v>
      </c>
      <c r="AF255" s="61">
        <v>2</v>
      </c>
      <c r="AG255" s="63">
        <f t="shared" si="44"/>
        <v>2.0611007166601447</v>
      </c>
      <c r="AH255" s="61">
        <v>37.005433849015489</v>
      </c>
      <c r="AI255" s="61">
        <v>73</v>
      </c>
      <c r="AJ255" s="63">
        <f t="shared" si="45"/>
        <v>1.972683263161962</v>
      </c>
      <c r="AK255" s="61">
        <v>1.2225607218885512</v>
      </c>
      <c r="AL255" s="61">
        <v>1</v>
      </c>
      <c r="AM255" s="63">
        <f t="shared" si="46"/>
        <v>0.81795528197180223</v>
      </c>
      <c r="AN255" s="61">
        <v>1.4670182543245673</v>
      </c>
      <c r="AO255" s="61">
        <v>0</v>
      </c>
      <c r="AP255" s="63">
        <f t="shared" si="47"/>
        <v>0</v>
      </c>
      <c r="AQ255" s="61">
        <v>4.1358732474090223</v>
      </c>
      <c r="AR255" s="61">
        <v>2</v>
      </c>
      <c r="AS255" s="63">
        <f t="shared" si="48"/>
        <v>0.4835738138863247</v>
      </c>
      <c r="AT255" s="61">
        <v>1.0397394245787266</v>
      </c>
      <c r="AU255" s="61">
        <v>2</v>
      </c>
      <c r="AV255" s="63">
        <f t="shared" si="49"/>
        <v>1.9235588770814804</v>
      </c>
      <c r="AW255" s="61">
        <v>1.0884108330982571</v>
      </c>
      <c r="AX255" s="61">
        <v>0</v>
      </c>
      <c r="AY255" s="63">
        <f t="shared" si="50"/>
        <v>0</v>
      </c>
      <c r="AZ255" s="61">
        <v>3.2529632042642831</v>
      </c>
      <c r="BA255" s="61">
        <v>2</v>
      </c>
      <c r="BB255" s="63">
        <f t="shared" si="51"/>
        <v>0.61482404638890975</v>
      </c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</row>
    <row r="256" spans="1:87" x14ac:dyDescent="0.25">
      <c r="A256" s="128">
        <v>7211</v>
      </c>
      <c r="B256" s="128">
        <v>20542</v>
      </c>
      <c r="C256" s="128">
        <v>1044926994</v>
      </c>
      <c r="D256" s="128" t="s">
        <v>903</v>
      </c>
      <c r="E256" s="128" t="s">
        <v>546</v>
      </c>
      <c r="F256" s="128" t="s">
        <v>546</v>
      </c>
      <c r="G256" s="128" t="s">
        <v>904</v>
      </c>
      <c r="H256" s="128" t="s">
        <v>905</v>
      </c>
      <c r="I256" s="128" t="s">
        <v>1218</v>
      </c>
      <c r="J256" s="128" t="s">
        <v>887</v>
      </c>
      <c r="K256" s="128" t="s">
        <v>890</v>
      </c>
      <c r="L256" s="128">
        <v>75001</v>
      </c>
      <c r="M256" s="128" t="s">
        <v>1215</v>
      </c>
      <c r="N256" s="128"/>
      <c r="O256" s="168"/>
      <c r="P256" s="157">
        <v>91371.603969999996</v>
      </c>
      <c r="Q256" s="61">
        <v>53204.36</v>
      </c>
      <c r="R256" s="63">
        <f t="shared" si="39"/>
        <v>0.58228549886755376</v>
      </c>
      <c r="S256" s="61">
        <v>10598.837860599295</v>
      </c>
      <c r="T256" s="61">
        <v>0</v>
      </c>
      <c r="U256" s="63">
        <f t="shared" si="40"/>
        <v>0</v>
      </c>
      <c r="V256" s="61">
        <v>26880.297858570488</v>
      </c>
      <c r="W256" s="61">
        <v>10151.76</v>
      </c>
      <c r="X256" s="63">
        <f t="shared" si="41"/>
        <v>0.37766545792807216</v>
      </c>
      <c r="Y256" s="61">
        <v>708</v>
      </c>
      <c r="Z256" s="102">
        <v>0</v>
      </c>
      <c r="AA256" s="63">
        <f t="shared" si="42"/>
        <v>0</v>
      </c>
      <c r="AB256" s="61">
        <v>17.068269230769229</v>
      </c>
      <c r="AC256" s="61">
        <v>0</v>
      </c>
      <c r="AD256" s="63">
        <f t="shared" si="43"/>
        <v>0</v>
      </c>
      <c r="AE256" s="61">
        <v>2.3531115975055563</v>
      </c>
      <c r="AF256" s="61">
        <v>0</v>
      </c>
      <c r="AG256" s="63">
        <f t="shared" si="44"/>
        <v>0</v>
      </c>
      <c r="AH256" s="61">
        <v>89.738177083862567</v>
      </c>
      <c r="AI256" s="61">
        <v>25</v>
      </c>
      <c r="AJ256" s="63">
        <f t="shared" si="45"/>
        <v>0.27858823092246321</v>
      </c>
      <c r="AK256" s="61">
        <v>2.9647097505797366</v>
      </c>
      <c r="AL256" s="61">
        <v>0</v>
      </c>
      <c r="AM256" s="63">
        <f t="shared" si="46"/>
        <v>0</v>
      </c>
      <c r="AN256" s="61">
        <v>3.5575192667370756</v>
      </c>
      <c r="AO256" s="61">
        <v>0</v>
      </c>
      <c r="AP256" s="63">
        <f t="shared" si="47"/>
        <v>0</v>
      </c>
      <c r="AQ256" s="61">
        <v>9.8222164440508983</v>
      </c>
      <c r="AR256" s="61">
        <v>1</v>
      </c>
      <c r="AS256" s="63">
        <f t="shared" si="48"/>
        <v>0.10181001464345434</v>
      </c>
      <c r="AT256" s="61">
        <v>2.521368104603412</v>
      </c>
      <c r="AU256" s="61">
        <v>0</v>
      </c>
      <c r="AV256" s="63">
        <f t="shared" si="49"/>
        <v>0</v>
      </c>
      <c r="AW256" s="61">
        <v>2.6741503160652127</v>
      </c>
      <c r="AX256" s="61">
        <v>0</v>
      </c>
      <c r="AY256" s="63">
        <f t="shared" si="50"/>
        <v>0</v>
      </c>
      <c r="AZ256" s="61">
        <v>7.8884357703408856</v>
      </c>
      <c r="BA256" s="61">
        <v>2</v>
      </c>
      <c r="BB256" s="63">
        <f t="shared" si="51"/>
        <v>0.25353568923254011</v>
      </c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</row>
    <row r="257" spans="1:87" x14ac:dyDescent="0.25">
      <c r="A257" s="128">
        <v>1011</v>
      </c>
      <c r="B257" s="128">
        <v>20542</v>
      </c>
      <c r="C257" s="128">
        <v>1014945479</v>
      </c>
      <c r="D257" s="128" t="s">
        <v>1229</v>
      </c>
      <c r="E257" s="128" t="s">
        <v>546</v>
      </c>
      <c r="F257" s="128" t="s">
        <v>546</v>
      </c>
      <c r="G257" s="128" t="s">
        <v>1230</v>
      </c>
      <c r="H257" s="128" t="s">
        <v>1230</v>
      </c>
      <c r="I257" s="128" t="s">
        <v>1218</v>
      </c>
      <c r="J257" s="128" t="s">
        <v>887</v>
      </c>
      <c r="K257" s="128" t="s">
        <v>890</v>
      </c>
      <c r="L257" s="128">
        <v>75001</v>
      </c>
      <c r="M257" s="128"/>
      <c r="N257" s="128"/>
      <c r="O257" s="168">
        <v>0.5</v>
      </c>
      <c r="P257" s="157">
        <v>37189.324399999998</v>
      </c>
      <c r="Q257" s="61">
        <v>30195.660000000003</v>
      </c>
      <c r="R257" s="63">
        <f t="shared" si="39"/>
        <v>0.81194430087576441</v>
      </c>
      <c r="S257" s="61">
        <v>4507.2606517935228</v>
      </c>
      <c r="T257" s="61">
        <v>0</v>
      </c>
      <c r="U257" s="63">
        <f t="shared" si="40"/>
        <v>0</v>
      </c>
      <c r="V257" s="61">
        <v>11084.658910750717</v>
      </c>
      <c r="W257" s="61">
        <v>0</v>
      </c>
      <c r="X257" s="63">
        <f t="shared" si="41"/>
        <v>0</v>
      </c>
      <c r="Y257" s="61">
        <v>0</v>
      </c>
      <c r="Z257" s="102">
        <v>0</v>
      </c>
      <c r="AA257" s="63" t="e">
        <f t="shared" si="42"/>
        <v>#DIV/0!</v>
      </c>
      <c r="AB257" s="61">
        <v>7.0384615384615383</v>
      </c>
      <c r="AC257" s="61">
        <v>0</v>
      </c>
      <c r="AD257" s="63">
        <f t="shared" si="43"/>
        <v>0</v>
      </c>
      <c r="AE257" s="61">
        <v>0.97035529794043562</v>
      </c>
      <c r="AF257" s="61">
        <v>0</v>
      </c>
      <c r="AG257" s="63">
        <f t="shared" si="44"/>
        <v>0</v>
      </c>
      <c r="AH257" s="61">
        <v>37.005433849015489</v>
      </c>
      <c r="AI257" s="61">
        <v>23</v>
      </c>
      <c r="AJ257" s="63">
        <f t="shared" si="45"/>
        <v>0.62153034318801548</v>
      </c>
      <c r="AK257" s="61">
        <v>1.2225607218885512</v>
      </c>
      <c r="AL257" s="61">
        <v>0</v>
      </c>
      <c r="AM257" s="63">
        <f t="shared" si="46"/>
        <v>0</v>
      </c>
      <c r="AN257" s="61">
        <v>1.4670182543245673</v>
      </c>
      <c r="AO257" s="61">
        <v>0</v>
      </c>
      <c r="AP257" s="63">
        <f t="shared" si="47"/>
        <v>0</v>
      </c>
      <c r="AQ257" s="61">
        <v>4.1358732474090223</v>
      </c>
      <c r="AR257" s="61">
        <v>0</v>
      </c>
      <c r="AS257" s="63">
        <f t="shared" si="48"/>
        <v>0</v>
      </c>
      <c r="AT257" s="61">
        <v>1.0397394245787266</v>
      </c>
      <c r="AU257" s="61">
        <v>0</v>
      </c>
      <c r="AV257" s="63">
        <f t="shared" si="49"/>
        <v>0</v>
      </c>
      <c r="AW257" s="61">
        <v>1.0884108330982571</v>
      </c>
      <c r="AX257" s="61">
        <v>0</v>
      </c>
      <c r="AY257" s="63">
        <f t="shared" si="50"/>
        <v>0</v>
      </c>
      <c r="AZ257" s="61">
        <v>3.2529632042642831</v>
      </c>
      <c r="BA257" s="61">
        <v>0</v>
      </c>
      <c r="BB257" s="63">
        <f t="shared" si="51"/>
        <v>0</v>
      </c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</row>
    <row r="258" spans="1:87" x14ac:dyDescent="0.25">
      <c r="A258" s="128">
        <v>21539</v>
      </c>
      <c r="B258" s="128">
        <v>20542</v>
      </c>
      <c r="C258" s="128">
        <v>1036234472</v>
      </c>
      <c r="D258" s="128" t="s">
        <v>909</v>
      </c>
      <c r="E258" s="128" t="s">
        <v>546</v>
      </c>
      <c r="F258" s="128" t="s">
        <v>546</v>
      </c>
      <c r="G258" s="128" t="s">
        <v>910</v>
      </c>
      <c r="H258" s="128" t="s">
        <v>910</v>
      </c>
      <c r="I258" s="128" t="s">
        <v>1218</v>
      </c>
      <c r="J258" s="128" t="s">
        <v>887</v>
      </c>
      <c r="K258" s="128" t="s">
        <v>890</v>
      </c>
      <c r="L258" s="128">
        <v>75001</v>
      </c>
      <c r="M258" s="128" t="s">
        <v>1231</v>
      </c>
      <c r="N258" s="128">
        <v>5</v>
      </c>
      <c r="O258" s="168">
        <v>0.1</v>
      </c>
      <c r="P258" s="157">
        <v>67607.444000000003</v>
      </c>
      <c r="Q258" s="61">
        <v>48018.28</v>
      </c>
      <c r="R258" s="63">
        <f t="shared" si="39"/>
        <v>0.7102513740942491</v>
      </c>
      <c r="S258" s="61">
        <v>8040.364973228342</v>
      </c>
      <c r="T258" s="61">
        <v>2013.04</v>
      </c>
      <c r="U258" s="63">
        <f t="shared" si="40"/>
        <v>0.25036674413446813</v>
      </c>
      <c r="V258" s="61">
        <v>19952.386039351291</v>
      </c>
      <c r="W258" s="61">
        <v>3480</v>
      </c>
      <c r="X258" s="63">
        <f t="shared" si="41"/>
        <v>0.17441522999487558</v>
      </c>
      <c r="Y258" s="61">
        <v>1000</v>
      </c>
      <c r="Z258" s="102">
        <v>279</v>
      </c>
      <c r="AA258" s="63">
        <f t="shared" si="42"/>
        <v>0.27900000000000003</v>
      </c>
      <c r="AB258" s="61">
        <v>12.669230769230769</v>
      </c>
      <c r="AC258" s="61">
        <v>3</v>
      </c>
      <c r="AD258" s="63">
        <f t="shared" si="43"/>
        <v>0.23679417122040075</v>
      </c>
      <c r="AE258" s="61">
        <v>1.7466395362927842</v>
      </c>
      <c r="AF258" s="61">
        <v>0</v>
      </c>
      <c r="AG258" s="63">
        <f t="shared" si="44"/>
        <v>0</v>
      </c>
      <c r="AH258" s="61">
        <v>66.609780928227892</v>
      </c>
      <c r="AI258" s="61">
        <v>5</v>
      </c>
      <c r="AJ258" s="63">
        <f t="shared" si="45"/>
        <v>7.5064051109663688E-2</v>
      </c>
      <c r="AK258" s="61">
        <v>2.2006092993993924</v>
      </c>
      <c r="AL258" s="61">
        <v>1</v>
      </c>
      <c r="AM258" s="63">
        <f t="shared" si="46"/>
        <v>0.45441960109544566</v>
      </c>
      <c r="AN258" s="61">
        <v>2.6406328577842211</v>
      </c>
      <c r="AO258" s="61">
        <v>0</v>
      </c>
      <c r="AP258" s="63">
        <f t="shared" si="47"/>
        <v>0</v>
      </c>
      <c r="AQ258" s="61">
        <v>7.4445718453362408</v>
      </c>
      <c r="AR258" s="61">
        <v>3</v>
      </c>
      <c r="AS258" s="63">
        <f t="shared" si="48"/>
        <v>0.40297817823860388</v>
      </c>
      <c r="AT258" s="61">
        <v>1.871530964241708</v>
      </c>
      <c r="AU258" s="61">
        <v>1</v>
      </c>
      <c r="AV258" s="63">
        <f t="shared" si="49"/>
        <v>0.53432191030041121</v>
      </c>
      <c r="AW258" s="61">
        <v>1.9786504765782671</v>
      </c>
      <c r="AX258" s="61">
        <v>0</v>
      </c>
      <c r="AY258" s="63">
        <f t="shared" si="50"/>
        <v>0</v>
      </c>
      <c r="AZ258" s="61">
        <v>5.8553337676757096</v>
      </c>
      <c r="BA258" s="61">
        <v>0</v>
      </c>
      <c r="BB258" s="63">
        <f t="shared" si="51"/>
        <v>0</v>
      </c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</row>
    <row r="259" spans="1:87" x14ac:dyDescent="0.25">
      <c r="A259" s="116">
        <v>23856</v>
      </c>
      <c r="B259" s="116">
        <v>21577</v>
      </c>
      <c r="C259" s="116">
        <v>1076206117</v>
      </c>
      <c r="D259" s="116" t="s">
        <v>901</v>
      </c>
      <c r="E259" s="116" t="s">
        <v>544</v>
      </c>
      <c r="F259" s="116" t="s">
        <v>544</v>
      </c>
      <c r="G259" s="116" t="s">
        <v>902</v>
      </c>
      <c r="H259" s="116" t="s">
        <v>902</v>
      </c>
      <c r="I259" s="116" t="s">
        <v>1218</v>
      </c>
      <c r="J259" s="116" t="s">
        <v>887</v>
      </c>
      <c r="K259" s="116" t="s">
        <v>890</v>
      </c>
      <c r="L259" s="116">
        <v>75001</v>
      </c>
      <c r="M259" s="116"/>
      <c r="N259" s="116"/>
      <c r="O259" s="170"/>
      <c r="P259" s="153">
        <v>352556</v>
      </c>
      <c r="Q259" s="61">
        <v>0</v>
      </c>
      <c r="R259" s="63">
        <f t="shared" si="39"/>
        <v>0</v>
      </c>
      <c r="S259" s="61">
        <v>36605.727865026223</v>
      </c>
      <c r="T259" s="61">
        <v>0</v>
      </c>
      <c r="U259" s="63">
        <f t="shared" si="40"/>
        <v>0</v>
      </c>
      <c r="V259" s="61">
        <v>100593.27961506274</v>
      </c>
      <c r="W259" s="61">
        <v>0</v>
      </c>
      <c r="X259" s="63">
        <f t="shared" si="41"/>
        <v>0</v>
      </c>
      <c r="Y259" s="61">
        <v>2646</v>
      </c>
      <c r="Z259" s="102">
        <v>0</v>
      </c>
      <c r="AA259" s="63">
        <f t="shared" si="42"/>
        <v>0</v>
      </c>
      <c r="AB259" s="61">
        <v>63.874038461538461</v>
      </c>
      <c r="AC259" s="61">
        <v>1</v>
      </c>
      <c r="AD259" s="63">
        <f t="shared" si="43"/>
        <v>1.5655812973249635E-2</v>
      </c>
      <c r="AE259" s="61">
        <v>8.8059743288094534</v>
      </c>
      <c r="AF259" s="61">
        <v>0</v>
      </c>
      <c r="AG259" s="63">
        <f t="shared" si="44"/>
        <v>0</v>
      </c>
      <c r="AH259" s="61">
        <v>335.82431217981559</v>
      </c>
      <c r="AI259" s="61">
        <v>0</v>
      </c>
      <c r="AJ259" s="63">
        <f t="shared" si="45"/>
        <v>0</v>
      </c>
      <c r="AK259" s="61">
        <v>11.094738551138603</v>
      </c>
      <c r="AL259" s="61">
        <v>0</v>
      </c>
      <c r="AM259" s="63">
        <f t="shared" si="46"/>
        <v>0</v>
      </c>
      <c r="AN259" s="61">
        <v>13.313190657995447</v>
      </c>
      <c r="AO259" s="61">
        <v>0</v>
      </c>
      <c r="AP259" s="63">
        <f t="shared" si="47"/>
        <v>0</v>
      </c>
      <c r="AQ259" s="61">
        <v>36.740340681150151</v>
      </c>
      <c r="AR259" s="61">
        <v>0</v>
      </c>
      <c r="AS259" s="63">
        <f t="shared" si="48"/>
        <v>0</v>
      </c>
      <c r="AT259" s="61">
        <v>9.4356352780519437</v>
      </c>
      <c r="AU259" s="61">
        <v>0</v>
      </c>
      <c r="AV259" s="63">
        <f t="shared" si="49"/>
        <v>0</v>
      </c>
      <c r="AW259" s="61">
        <v>10.318169955079615</v>
      </c>
      <c r="AX259" s="61">
        <v>0</v>
      </c>
      <c r="AY259" s="63">
        <f t="shared" si="50"/>
        <v>0</v>
      </c>
      <c r="AZ259" s="61">
        <v>29.520641078698368</v>
      </c>
      <c r="BA259" s="61">
        <v>0</v>
      </c>
      <c r="BB259" s="63">
        <f t="shared" si="51"/>
        <v>0</v>
      </c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</row>
    <row r="260" spans="1:87" x14ac:dyDescent="0.25">
      <c r="A260" s="207">
        <v>4581</v>
      </c>
      <c r="B260" s="207">
        <v>23856</v>
      </c>
      <c r="C260" s="207">
        <v>1069108395</v>
      </c>
      <c r="D260" s="207" t="s">
        <v>893</v>
      </c>
      <c r="E260" s="207" t="s">
        <v>546</v>
      </c>
      <c r="F260" s="207" t="s">
        <v>546</v>
      </c>
      <c r="G260" s="207" t="s">
        <v>894</v>
      </c>
      <c r="H260" s="207" t="s">
        <v>895</v>
      </c>
      <c r="I260" s="207" t="s">
        <v>1218</v>
      </c>
      <c r="J260" s="207" t="s">
        <v>887</v>
      </c>
      <c r="K260" s="207" t="s">
        <v>890</v>
      </c>
      <c r="L260" s="207">
        <v>75001</v>
      </c>
      <c r="M260" s="207" t="s">
        <v>1215</v>
      </c>
      <c r="N260" s="207"/>
      <c r="O260" s="242"/>
      <c r="P260" s="243">
        <v>102204.93670000001</v>
      </c>
      <c r="Q260" s="61">
        <v>89693.96</v>
      </c>
      <c r="R260" s="63">
        <f t="shared" ref="R260:R323" si="52">Q260/P260</f>
        <v>0.87758931120202921</v>
      </c>
      <c r="S260" s="61">
        <v>7368.0687938657129</v>
      </c>
      <c r="T260" s="61">
        <v>1924.9299999999998</v>
      </c>
      <c r="U260" s="63">
        <f t="shared" ref="U260:U323" si="53">T260/S260</f>
        <v>0.26125298960327309</v>
      </c>
      <c r="V260" s="61">
        <v>26880.297858570488</v>
      </c>
      <c r="W260" s="61">
        <v>26852.510000000002</v>
      </c>
      <c r="X260" s="63">
        <f t="shared" ref="X260:X323" si="54">W260/V260</f>
        <v>0.99896623695478781</v>
      </c>
      <c r="Y260" s="61">
        <v>708</v>
      </c>
      <c r="Z260" s="102">
        <v>110</v>
      </c>
      <c r="AA260" s="63">
        <f t="shared" ref="AA260:AA323" si="55">Z260/Y260</f>
        <v>0.15536723163841809</v>
      </c>
      <c r="AB260" s="61">
        <v>17.068269230769229</v>
      </c>
      <c r="AC260" s="61">
        <v>6</v>
      </c>
      <c r="AD260" s="63">
        <f t="shared" ref="AD260:AD323" si="56">AC260/AB260</f>
        <v>0.35152949129626504</v>
      </c>
      <c r="AE260" s="61">
        <v>2.3531115975055563</v>
      </c>
      <c r="AF260" s="61">
        <v>1</v>
      </c>
      <c r="AG260" s="63">
        <f t="shared" ref="AG260:AG323" si="57">AF260/AE260</f>
        <v>0.42496921992992676</v>
      </c>
      <c r="AH260" s="61">
        <v>89.738177083862567</v>
      </c>
      <c r="AI260" s="61">
        <v>78</v>
      </c>
      <c r="AJ260" s="63">
        <f t="shared" ref="AJ260:AJ323" si="58">AI260/AH260</f>
        <v>0.86919528047808514</v>
      </c>
      <c r="AK260" s="61">
        <v>2.9647097505797366</v>
      </c>
      <c r="AL260" s="61">
        <v>3</v>
      </c>
      <c r="AM260" s="63">
        <f t="shared" ref="AM260:AM323" si="59">AL260/AK260</f>
        <v>1.0119034416146007</v>
      </c>
      <c r="AN260" s="61">
        <v>3.5575192667370756</v>
      </c>
      <c r="AO260" s="61">
        <v>1</v>
      </c>
      <c r="AP260" s="63">
        <f t="shared" ref="AP260:AP323" si="60">AO260/AN260</f>
        <v>0.28109475311912813</v>
      </c>
      <c r="AQ260" s="61">
        <v>9.8222164440508983</v>
      </c>
      <c r="AR260" s="61">
        <v>4</v>
      </c>
      <c r="AS260" s="63">
        <f t="shared" ref="AS260:AS323" si="61">AR260/AQ260</f>
        <v>0.40724005857381734</v>
      </c>
      <c r="AT260" s="61">
        <v>2.521368104603412</v>
      </c>
      <c r="AU260" s="61">
        <v>0</v>
      </c>
      <c r="AV260" s="63">
        <f t="shared" ref="AV260:AV323" si="62">AU260/AT260</f>
        <v>0</v>
      </c>
      <c r="AW260" s="61">
        <v>2.9912068071987257</v>
      </c>
      <c r="AX260" s="61">
        <v>0</v>
      </c>
      <c r="AY260" s="63">
        <f t="shared" ref="AY260:AY323" si="63">AX260/AW260</f>
        <v>0</v>
      </c>
      <c r="AZ260" s="61">
        <v>7.8884357703408856</v>
      </c>
      <c r="BA260" s="61">
        <v>2</v>
      </c>
      <c r="BB260" s="63">
        <f t="shared" ref="BB260:BB323" si="64">BA260/AZ260</f>
        <v>0.25353568923254011</v>
      </c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</row>
    <row r="261" spans="1:87" x14ac:dyDescent="0.25">
      <c r="A261" s="128">
        <v>10344</v>
      </c>
      <c r="B261" s="128">
        <v>23856</v>
      </c>
      <c r="C261" s="128">
        <v>1067960813</v>
      </c>
      <c r="D261" s="128" t="s">
        <v>916</v>
      </c>
      <c r="E261" s="128" t="s">
        <v>546</v>
      </c>
      <c r="F261" s="128" t="s">
        <v>546</v>
      </c>
      <c r="G261" s="128" t="s">
        <v>917</v>
      </c>
      <c r="H261" s="128" t="s">
        <v>918</v>
      </c>
      <c r="I261" s="128" t="s">
        <v>1218</v>
      </c>
      <c r="J261" s="128" t="s">
        <v>887</v>
      </c>
      <c r="K261" s="128" t="s">
        <v>890</v>
      </c>
      <c r="L261" s="128">
        <v>75001</v>
      </c>
      <c r="M261" s="128" t="s">
        <v>1215</v>
      </c>
      <c r="N261" s="128"/>
      <c r="O261" s="168"/>
      <c r="P261" s="157">
        <v>91371.603969999996</v>
      </c>
      <c r="Q261" s="61">
        <v>22309.57</v>
      </c>
      <c r="R261" s="63">
        <f t="shared" si="52"/>
        <v>0.24416305537686406</v>
      </c>
      <c r="S261" s="61">
        <v>10598.837860599295</v>
      </c>
      <c r="T261" s="61">
        <v>0</v>
      </c>
      <c r="U261" s="63">
        <f t="shared" si="53"/>
        <v>0</v>
      </c>
      <c r="V261" s="61">
        <v>26880.297858570488</v>
      </c>
      <c r="W261" s="61">
        <v>24640.05</v>
      </c>
      <c r="X261" s="63">
        <f t="shared" si="54"/>
        <v>0.91665836925031652</v>
      </c>
      <c r="Y261" s="61">
        <v>708</v>
      </c>
      <c r="Z261" s="102">
        <v>0</v>
      </c>
      <c r="AA261" s="63">
        <f t="shared" si="55"/>
        <v>0</v>
      </c>
      <c r="AB261" s="61">
        <v>17.068269230769229</v>
      </c>
      <c r="AC261" s="61">
        <v>1</v>
      </c>
      <c r="AD261" s="63">
        <f t="shared" si="56"/>
        <v>5.8588248549377504E-2</v>
      </c>
      <c r="AE261" s="61">
        <v>2.3531115975055563</v>
      </c>
      <c r="AF261" s="61">
        <v>0</v>
      </c>
      <c r="AG261" s="63">
        <f t="shared" si="57"/>
        <v>0</v>
      </c>
      <c r="AH261" s="61">
        <v>89.738177083862567</v>
      </c>
      <c r="AI261" s="61">
        <v>26</v>
      </c>
      <c r="AJ261" s="63">
        <f t="shared" si="58"/>
        <v>0.28973176015936175</v>
      </c>
      <c r="AK261" s="61">
        <v>2.9647097505797366</v>
      </c>
      <c r="AL261" s="61">
        <v>0</v>
      </c>
      <c r="AM261" s="63">
        <f t="shared" si="59"/>
        <v>0</v>
      </c>
      <c r="AN261" s="61">
        <v>3.5575192667370756</v>
      </c>
      <c r="AO261" s="61">
        <v>1</v>
      </c>
      <c r="AP261" s="63">
        <f t="shared" si="60"/>
        <v>0.28109475311912813</v>
      </c>
      <c r="AQ261" s="61">
        <v>9.8222164440508983</v>
      </c>
      <c r="AR261" s="61">
        <v>4</v>
      </c>
      <c r="AS261" s="63">
        <f t="shared" si="61"/>
        <v>0.40724005857381734</v>
      </c>
      <c r="AT261" s="61">
        <v>2.521368104603412</v>
      </c>
      <c r="AU261" s="61">
        <v>0</v>
      </c>
      <c r="AV261" s="63">
        <f t="shared" si="62"/>
        <v>0</v>
      </c>
      <c r="AW261" s="61">
        <v>2.6741503160652127</v>
      </c>
      <c r="AX261" s="61">
        <v>0</v>
      </c>
      <c r="AY261" s="63">
        <f t="shared" si="63"/>
        <v>0</v>
      </c>
      <c r="AZ261" s="61">
        <v>7.8884357703408856</v>
      </c>
      <c r="BA261" s="61">
        <v>0</v>
      </c>
      <c r="BB261" s="63">
        <f t="shared" si="64"/>
        <v>0</v>
      </c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</row>
    <row r="262" spans="1:87" x14ac:dyDescent="0.25">
      <c r="A262" s="128">
        <v>10195</v>
      </c>
      <c r="B262" s="128">
        <v>23856</v>
      </c>
      <c r="C262" s="128">
        <v>1058561174</v>
      </c>
      <c r="D262" s="128" t="s">
        <v>906</v>
      </c>
      <c r="E262" s="128" t="s">
        <v>546</v>
      </c>
      <c r="F262" s="128" t="s">
        <v>546</v>
      </c>
      <c r="G262" s="128" t="s">
        <v>907</v>
      </c>
      <c r="H262" s="128" t="s">
        <v>908</v>
      </c>
      <c r="I262" s="128" t="s">
        <v>1218</v>
      </c>
      <c r="J262" s="128" t="s">
        <v>887</v>
      </c>
      <c r="K262" s="128" t="s">
        <v>890</v>
      </c>
      <c r="L262" s="128">
        <v>75001</v>
      </c>
      <c r="M262" s="128" t="s">
        <v>1144</v>
      </c>
      <c r="N262" s="128">
        <v>5</v>
      </c>
      <c r="O262" s="168">
        <v>0.1</v>
      </c>
      <c r="P262" s="157">
        <v>67607.444000000003</v>
      </c>
      <c r="Q262" s="61">
        <v>35818.28</v>
      </c>
      <c r="R262" s="63">
        <f t="shared" si="52"/>
        <v>0.5297978725537974</v>
      </c>
      <c r="S262" s="61">
        <v>8040.364973228342</v>
      </c>
      <c r="T262" s="61">
        <v>0</v>
      </c>
      <c r="U262" s="63">
        <f t="shared" si="53"/>
        <v>0</v>
      </c>
      <c r="V262" s="61">
        <v>19952.386039351291</v>
      </c>
      <c r="W262" s="61">
        <v>2895.2200000000003</v>
      </c>
      <c r="X262" s="63">
        <f t="shared" si="54"/>
        <v>0.14510645465108152</v>
      </c>
      <c r="Y262" s="61">
        <v>522</v>
      </c>
      <c r="Z262" s="102">
        <v>0</v>
      </c>
      <c r="AA262" s="63">
        <f t="shared" si="55"/>
        <v>0</v>
      </c>
      <c r="AB262" s="61">
        <v>12.669230769230769</v>
      </c>
      <c r="AC262" s="61">
        <v>1</v>
      </c>
      <c r="AD262" s="63">
        <f t="shared" si="56"/>
        <v>7.893139040680025E-2</v>
      </c>
      <c r="AE262" s="61">
        <v>1.7466395362927842</v>
      </c>
      <c r="AF262" s="61">
        <v>0</v>
      </c>
      <c r="AG262" s="63">
        <f t="shared" si="57"/>
        <v>0</v>
      </c>
      <c r="AH262" s="61">
        <v>66.609780928227892</v>
      </c>
      <c r="AI262" s="61">
        <v>13</v>
      </c>
      <c r="AJ262" s="63">
        <f t="shared" si="58"/>
        <v>0.19516653288512559</v>
      </c>
      <c r="AK262" s="61">
        <v>2.2006092993993924</v>
      </c>
      <c r="AL262" s="61">
        <v>0</v>
      </c>
      <c r="AM262" s="63">
        <f t="shared" si="59"/>
        <v>0</v>
      </c>
      <c r="AN262" s="61">
        <v>2.6406328577842211</v>
      </c>
      <c r="AO262" s="61">
        <v>0</v>
      </c>
      <c r="AP262" s="63">
        <f t="shared" si="60"/>
        <v>0</v>
      </c>
      <c r="AQ262" s="61">
        <v>7.4445718453362408</v>
      </c>
      <c r="AR262" s="61">
        <v>1</v>
      </c>
      <c r="AS262" s="63">
        <f t="shared" si="61"/>
        <v>0.13432605941286796</v>
      </c>
      <c r="AT262" s="61">
        <v>1.871530964241708</v>
      </c>
      <c r="AU262" s="61">
        <v>0</v>
      </c>
      <c r="AV262" s="63">
        <f t="shared" si="62"/>
        <v>0</v>
      </c>
      <c r="AW262" s="61">
        <v>1.9786504765782671</v>
      </c>
      <c r="AX262" s="61">
        <v>0</v>
      </c>
      <c r="AY262" s="63">
        <f t="shared" si="63"/>
        <v>0</v>
      </c>
      <c r="AZ262" s="61">
        <v>5.8553337676757096</v>
      </c>
      <c r="BA262" s="61">
        <v>0</v>
      </c>
      <c r="BB262" s="63">
        <f t="shared" si="64"/>
        <v>0</v>
      </c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</row>
    <row r="263" spans="1:87" x14ac:dyDescent="0.25">
      <c r="A263" s="128">
        <v>6981</v>
      </c>
      <c r="B263" s="128">
        <v>23856</v>
      </c>
      <c r="C263" s="128">
        <v>1014598534</v>
      </c>
      <c r="D263" s="128" t="s">
        <v>1139</v>
      </c>
      <c r="E263" s="128" t="s">
        <v>546</v>
      </c>
      <c r="F263" s="128" t="s">
        <v>546</v>
      </c>
      <c r="G263" s="128" t="s">
        <v>1140</v>
      </c>
      <c r="H263" s="128" t="s">
        <v>1140</v>
      </c>
      <c r="I263" s="128" t="s">
        <v>1218</v>
      </c>
      <c r="J263" s="128" t="s">
        <v>1141</v>
      </c>
      <c r="K263" s="128" t="s">
        <v>890</v>
      </c>
      <c r="L263" s="128">
        <v>75001</v>
      </c>
      <c r="M263" s="128" t="s">
        <v>1215</v>
      </c>
      <c r="N263" s="128"/>
      <c r="O263" s="168"/>
      <c r="P263" s="157">
        <v>91371.603969999996</v>
      </c>
      <c r="Q263" s="61">
        <v>89727.01</v>
      </c>
      <c r="R263" s="63">
        <f t="shared" si="52"/>
        <v>0.98200103863187116</v>
      </c>
      <c r="S263" s="61">
        <v>10598.837860599295</v>
      </c>
      <c r="T263" s="61">
        <v>3216.52</v>
      </c>
      <c r="U263" s="63">
        <f t="shared" si="53"/>
        <v>0.30347855513077232</v>
      </c>
      <c r="V263" s="61">
        <v>26880.297858570488</v>
      </c>
      <c r="W263" s="61">
        <v>7821.7300000000005</v>
      </c>
      <c r="X263" s="63">
        <f t="shared" si="54"/>
        <v>0.29098375476171029</v>
      </c>
      <c r="Y263" s="61">
        <v>708</v>
      </c>
      <c r="Z263" s="102">
        <v>0</v>
      </c>
      <c r="AA263" s="63">
        <f t="shared" si="55"/>
        <v>0</v>
      </c>
      <c r="AB263" s="61">
        <v>17.068269230769229</v>
      </c>
      <c r="AC263" s="61">
        <v>1</v>
      </c>
      <c r="AD263" s="63">
        <f t="shared" si="56"/>
        <v>5.8588248549377504E-2</v>
      </c>
      <c r="AE263" s="61">
        <v>2.3531115975055563</v>
      </c>
      <c r="AF263" s="61">
        <v>0</v>
      </c>
      <c r="AG263" s="63">
        <f t="shared" si="57"/>
        <v>0</v>
      </c>
      <c r="AH263" s="61">
        <v>89.738177083862567</v>
      </c>
      <c r="AI263" s="61">
        <v>35</v>
      </c>
      <c r="AJ263" s="63">
        <f t="shared" si="58"/>
        <v>0.39002352329144846</v>
      </c>
      <c r="AK263" s="61">
        <v>2.9647097505797366</v>
      </c>
      <c r="AL263" s="61">
        <v>0</v>
      </c>
      <c r="AM263" s="63">
        <f t="shared" si="59"/>
        <v>0</v>
      </c>
      <c r="AN263" s="61">
        <v>3.5575192667370756</v>
      </c>
      <c r="AO263" s="61">
        <v>0</v>
      </c>
      <c r="AP263" s="63">
        <f t="shared" si="60"/>
        <v>0</v>
      </c>
      <c r="AQ263" s="61">
        <v>9.8222164440508983</v>
      </c>
      <c r="AR263" s="61">
        <v>2</v>
      </c>
      <c r="AS263" s="63">
        <f t="shared" si="61"/>
        <v>0.20362002928690867</v>
      </c>
      <c r="AT263" s="61">
        <v>2.521368104603412</v>
      </c>
      <c r="AU263" s="61">
        <v>0</v>
      </c>
      <c r="AV263" s="63">
        <f t="shared" si="62"/>
        <v>0</v>
      </c>
      <c r="AW263" s="61">
        <v>2.6741503160652127</v>
      </c>
      <c r="AX263" s="61">
        <v>0</v>
      </c>
      <c r="AY263" s="63">
        <f t="shared" si="63"/>
        <v>0</v>
      </c>
      <c r="AZ263" s="61">
        <v>7.8884357703408856</v>
      </c>
      <c r="BA263" s="61">
        <v>3</v>
      </c>
      <c r="BB263" s="63">
        <f t="shared" si="64"/>
        <v>0.38030353384881016</v>
      </c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</row>
    <row r="264" spans="1:87" x14ac:dyDescent="0.25">
      <c r="A264" s="128">
        <v>10484</v>
      </c>
      <c r="B264" s="128">
        <v>21577</v>
      </c>
      <c r="C264" s="128">
        <v>1077871042</v>
      </c>
      <c r="D264" s="128" t="s">
        <v>911</v>
      </c>
      <c r="E264" s="128" t="s">
        <v>544</v>
      </c>
      <c r="F264" s="128" t="s">
        <v>544</v>
      </c>
      <c r="G264" s="128" t="s">
        <v>912</v>
      </c>
      <c r="H264" s="128" t="s">
        <v>912</v>
      </c>
      <c r="I264" s="128" t="s">
        <v>1218</v>
      </c>
      <c r="J264" s="128" t="s">
        <v>887</v>
      </c>
      <c r="K264" s="128" t="s">
        <v>890</v>
      </c>
      <c r="L264" s="128">
        <v>75001</v>
      </c>
      <c r="M264" s="128" t="s">
        <v>1215</v>
      </c>
      <c r="N264" s="128"/>
      <c r="O264" s="168"/>
      <c r="P264" s="169">
        <v>311304</v>
      </c>
      <c r="Q264" s="61">
        <v>19998.27</v>
      </c>
      <c r="R264" s="63">
        <f t="shared" si="52"/>
        <v>6.4240324570195045E-2</v>
      </c>
      <c r="S264" s="61">
        <v>36304.002543591399</v>
      </c>
      <c r="T264" s="61">
        <v>833.91</v>
      </c>
      <c r="U264" s="63">
        <f t="shared" si="53"/>
        <v>2.2970194512263408E-2</v>
      </c>
      <c r="V264" s="61">
        <v>91725.552486462169</v>
      </c>
      <c r="W264" s="61">
        <v>3189.13</v>
      </c>
      <c r="X264" s="63">
        <f t="shared" si="54"/>
        <v>3.4768174336924119E-2</v>
      </c>
      <c r="Y264" s="61">
        <v>2420</v>
      </c>
      <c r="Z264" s="102">
        <v>0</v>
      </c>
      <c r="AA264" s="63">
        <f t="shared" si="55"/>
        <v>0</v>
      </c>
      <c r="AB264" s="61">
        <v>58.243269230769229</v>
      </c>
      <c r="AC264" s="61">
        <v>2</v>
      </c>
      <c r="AD264" s="63">
        <f t="shared" si="56"/>
        <v>3.4338731778185E-2</v>
      </c>
      <c r="AE264" s="61">
        <v>8.0296900904571054</v>
      </c>
      <c r="AF264" s="61">
        <v>0</v>
      </c>
      <c r="AG264" s="63">
        <f t="shared" si="57"/>
        <v>0</v>
      </c>
      <c r="AH264" s="61">
        <v>306.21996510060319</v>
      </c>
      <c r="AI264" s="61">
        <v>7</v>
      </c>
      <c r="AJ264" s="63">
        <f t="shared" si="58"/>
        <v>2.2859384748803929E-2</v>
      </c>
      <c r="AK264" s="61">
        <v>10.116689973627761</v>
      </c>
      <c r="AL264" s="61">
        <v>0</v>
      </c>
      <c r="AM264" s="63">
        <f t="shared" si="59"/>
        <v>0</v>
      </c>
      <c r="AN264" s="61">
        <v>12.139576054535793</v>
      </c>
      <c r="AO264" s="61">
        <v>0</v>
      </c>
      <c r="AP264" s="63">
        <f t="shared" si="60"/>
        <v>0</v>
      </c>
      <c r="AQ264" s="61">
        <v>35.844234810878199</v>
      </c>
      <c r="AR264" s="61">
        <v>1</v>
      </c>
      <c r="AS264" s="63">
        <f t="shared" si="61"/>
        <v>2.7898489262672577E-2</v>
      </c>
      <c r="AT264" s="61">
        <v>8.6038437383889637</v>
      </c>
      <c r="AU264" s="61">
        <v>0</v>
      </c>
      <c r="AV264" s="63">
        <f t="shared" si="62"/>
        <v>0</v>
      </c>
      <c r="AW264" s="61">
        <v>9.1108577919425677</v>
      </c>
      <c r="AX264" s="61">
        <v>0</v>
      </c>
      <c r="AY264" s="63">
        <f t="shared" si="63"/>
        <v>0</v>
      </c>
      <c r="AZ264" s="61">
        <v>26.918270515286942</v>
      </c>
      <c r="BA264" s="61">
        <v>1</v>
      </c>
      <c r="BB264" s="63">
        <f t="shared" si="64"/>
        <v>3.7149489207789106E-2</v>
      </c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</row>
    <row r="265" spans="1:87" x14ac:dyDescent="0.25">
      <c r="A265" s="128">
        <v>1652</v>
      </c>
      <c r="B265" s="128">
        <v>10484</v>
      </c>
      <c r="C265" s="128">
        <v>1043068491</v>
      </c>
      <c r="D265" s="128" t="s">
        <v>913</v>
      </c>
      <c r="E265" s="128" t="s">
        <v>546</v>
      </c>
      <c r="F265" s="128" t="s">
        <v>546</v>
      </c>
      <c r="G265" s="128" t="s">
        <v>914</v>
      </c>
      <c r="H265" s="128" t="s">
        <v>915</v>
      </c>
      <c r="I265" s="128" t="s">
        <v>1218</v>
      </c>
      <c r="J265" s="128" t="s">
        <v>887</v>
      </c>
      <c r="K265" s="128" t="s">
        <v>890</v>
      </c>
      <c r="L265" s="128">
        <v>75001</v>
      </c>
      <c r="M265" s="103" t="s">
        <v>1222</v>
      </c>
      <c r="N265" s="103"/>
      <c r="O265" s="171"/>
      <c r="P265" s="157">
        <v>91371.603969999996</v>
      </c>
      <c r="Q265" s="61">
        <v>68565.240000000005</v>
      </c>
      <c r="R265" s="63">
        <f t="shared" si="52"/>
        <v>0.75039987283699217</v>
      </c>
      <c r="S265" s="61">
        <v>10598.837860599295</v>
      </c>
      <c r="T265" s="61">
        <v>8301.74</v>
      </c>
      <c r="U265" s="63">
        <f t="shared" si="53"/>
        <v>0.78326889317378334</v>
      </c>
      <c r="V265" s="61">
        <v>26880.297858570488</v>
      </c>
      <c r="W265" s="61">
        <v>11949.130000000001</v>
      </c>
      <c r="X265" s="63">
        <f t="shared" si="54"/>
        <v>0.44453116043839341</v>
      </c>
      <c r="Y265" s="61">
        <v>708</v>
      </c>
      <c r="Z265" s="102">
        <v>0</v>
      </c>
      <c r="AA265" s="63">
        <f t="shared" si="55"/>
        <v>0</v>
      </c>
      <c r="AB265" s="61">
        <v>17.068269230769229</v>
      </c>
      <c r="AC265" s="61">
        <v>0</v>
      </c>
      <c r="AD265" s="63">
        <f t="shared" si="56"/>
        <v>0</v>
      </c>
      <c r="AE265" s="61">
        <v>2.3531115975055563</v>
      </c>
      <c r="AF265" s="61">
        <v>0</v>
      </c>
      <c r="AG265" s="63">
        <f t="shared" si="57"/>
        <v>0</v>
      </c>
      <c r="AH265" s="61">
        <v>89.738177083862567</v>
      </c>
      <c r="AI265" s="61">
        <v>31</v>
      </c>
      <c r="AJ265" s="63">
        <f t="shared" si="58"/>
        <v>0.34544940634385435</v>
      </c>
      <c r="AK265" s="61">
        <v>2.9647097505797366</v>
      </c>
      <c r="AL265" s="61">
        <v>0</v>
      </c>
      <c r="AM265" s="63">
        <f t="shared" si="59"/>
        <v>0</v>
      </c>
      <c r="AN265" s="61">
        <v>3.5575192667370756</v>
      </c>
      <c r="AO265" s="61">
        <v>1</v>
      </c>
      <c r="AP265" s="63">
        <f t="shared" si="60"/>
        <v>0.28109475311912813</v>
      </c>
      <c r="AQ265" s="61">
        <v>12.545482183807369</v>
      </c>
      <c r="AR265" s="61">
        <v>0</v>
      </c>
      <c r="AS265" s="63">
        <f t="shared" si="61"/>
        <v>0</v>
      </c>
      <c r="AT265" s="61">
        <v>2.521368104603412</v>
      </c>
      <c r="AU265" s="61">
        <v>0</v>
      </c>
      <c r="AV265" s="63">
        <f t="shared" si="62"/>
        <v>0</v>
      </c>
      <c r="AW265" s="61">
        <v>2.6741503160652127</v>
      </c>
      <c r="AX265" s="61">
        <v>0</v>
      </c>
      <c r="AY265" s="63">
        <f t="shared" si="63"/>
        <v>0</v>
      </c>
      <c r="AZ265" s="61">
        <v>7.8884357703408856</v>
      </c>
      <c r="BA265" s="61">
        <v>5</v>
      </c>
      <c r="BB265" s="63">
        <f t="shared" si="64"/>
        <v>0.63383922308135032</v>
      </c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</row>
    <row r="266" spans="1:87" x14ac:dyDescent="0.25">
      <c r="A266" s="207">
        <v>36613</v>
      </c>
      <c r="B266" s="207">
        <v>10484</v>
      </c>
      <c r="C266" s="207">
        <v>1096291222</v>
      </c>
      <c r="D266" s="207" t="s">
        <v>1209</v>
      </c>
      <c r="E266" s="207" t="s">
        <v>546</v>
      </c>
      <c r="F266" s="207" t="s">
        <v>546</v>
      </c>
      <c r="G266" s="207" t="s">
        <v>1210</v>
      </c>
      <c r="H266" s="207" t="s">
        <v>1210</v>
      </c>
      <c r="I266" s="207" t="s">
        <v>1218</v>
      </c>
      <c r="J266" s="207" t="s">
        <v>887</v>
      </c>
      <c r="K266" s="207" t="s">
        <v>890</v>
      </c>
      <c r="L266" s="207">
        <v>75001</v>
      </c>
      <c r="M266" s="207"/>
      <c r="N266" s="207"/>
      <c r="O266" s="242">
        <v>0.5</v>
      </c>
      <c r="P266" s="243">
        <v>37189.324399999998</v>
      </c>
      <c r="Q266" s="61">
        <v>135924.4</v>
      </c>
      <c r="R266" s="63">
        <f t="shared" si="52"/>
        <v>3.6549306069136338</v>
      </c>
      <c r="S266" s="61">
        <v>4507.2606517935228</v>
      </c>
      <c r="T266" s="61">
        <v>564.35</v>
      </c>
      <c r="U266" s="63">
        <f t="shared" si="53"/>
        <v>0.12520908897856498</v>
      </c>
      <c r="V266" s="61">
        <v>11084.658910750717</v>
      </c>
      <c r="W266" s="61">
        <v>3675.7099999999996</v>
      </c>
      <c r="X266" s="63">
        <f t="shared" si="54"/>
        <v>0.33160334743679176</v>
      </c>
      <c r="Y266" s="61">
        <v>296</v>
      </c>
      <c r="Z266" s="102">
        <v>0</v>
      </c>
      <c r="AA266" s="63">
        <f t="shared" si="55"/>
        <v>0</v>
      </c>
      <c r="AB266" s="61">
        <v>7.0384615384615383</v>
      </c>
      <c r="AC266" s="61">
        <v>0</v>
      </c>
      <c r="AD266" s="63">
        <f t="shared" si="56"/>
        <v>0</v>
      </c>
      <c r="AE266" s="61">
        <v>0.97035529794043562</v>
      </c>
      <c r="AF266" s="61">
        <v>0</v>
      </c>
      <c r="AG266" s="63">
        <f t="shared" si="57"/>
        <v>0</v>
      </c>
      <c r="AH266" s="61">
        <v>37.005433849015489</v>
      </c>
      <c r="AI266" s="61">
        <v>5</v>
      </c>
      <c r="AJ266" s="63">
        <f t="shared" si="58"/>
        <v>0.13511529199739467</v>
      </c>
      <c r="AK266" s="61">
        <v>1.2225607218885512</v>
      </c>
      <c r="AL266" s="61">
        <v>0</v>
      </c>
      <c r="AM266" s="63">
        <f t="shared" si="59"/>
        <v>0</v>
      </c>
      <c r="AN266" s="61">
        <v>1.4670182543245673</v>
      </c>
      <c r="AO266" s="61">
        <v>0</v>
      </c>
      <c r="AP266" s="63">
        <f t="shared" si="60"/>
        <v>0</v>
      </c>
      <c r="AQ266" s="61">
        <v>3.5844234810878199</v>
      </c>
      <c r="AR266" s="61">
        <v>0</v>
      </c>
      <c r="AS266" s="63">
        <f t="shared" si="61"/>
        <v>0</v>
      </c>
      <c r="AT266" s="61">
        <v>1.0397394245787266</v>
      </c>
      <c r="AU266" s="61">
        <v>0</v>
      </c>
      <c r="AV266" s="63">
        <f t="shared" si="62"/>
        <v>0</v>
      </c>
      <c r="AW266" s="61">
        <v>1.0884108330982571</v>
      </c>
      <c r="AX266" s="61">
        <v>0</v>
      </c>
      <c r="AY266" s="63">
        <f t="shared" si="63"/>
        <v>0</v>
      </c>
      <c r="AZ266" s="61">
        <v>3.2529632042642831</v>
      </c>
      <c r="BA266" s="61">
        <v>2</v>
      </c>
      <c r="BB266" s="63">
        <f t="shared" si="64"/>
        <v>0.61482404638890975</v>
      </c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</row>
    <row r="267" spans="1:87" x14ac:dyDescent="0.25">
      <c r="A267" s="128">
        <v>10485</v>
      </c>
      <c r="B267" s="128">
        <v>10484</v>
      </c>
      <c r="C267" s="128">
        <v>1071620445</v>
      </c>
      <c r="D267" s="128" t="s">
        <v>896</v>
      </c>
      <c r="E267" s="128" t="s">
        <v>546</v>
      </c>
      <c r="F267" s="128" t="s">
        <v>546</v>
      </c>
      <c r="G267" s="128" t="s">
        <v>897</v>
      </c>
      <c r="H267" s="128" t="s">
        <v>898</v>
      </c>
      <c r="I267" s="128" t="s">
        <v>1218</v>
      </c>
      <c r="J267" s="128" t="s">
        <v>887</v>
      </c>
      <c r="K267" s="128" t="s">
        <v>890</v>
      </c>
      <c r="L267" s="128">
        <v>75001</v>
      </c>
      <c r="M267" s="128" t="s">
        <v>1215</v>
      </c>
      <c r="N267" s="128"/>
      <c r="O267" s="168"/>
      <c r="P267" s="157">
        <v>91371.603969999996</v>
      </c>
      <c r="Q267" s="61">
        <v>36619.14</v>
      </c>
      <c r="R267" s="63">
        <f t="shared" si="52"/>
        <v>0.40077155712428064</v>
      </c>
      <c r="S267" s="61">
        <v>10598.837860599295</v>
      </c>
      <c r="T267" s="61">
        <v>0</v>
      </c>
      <c r="U267" s="63">
        <f t="shared" si="53"/>
        <v>0</v>
      </c>
      <c r="V267" s="61">
        <v>26880.297858570488</v>
      </c>
      <c r="W267" s="61">
        <v>1999.1100000000001</v>
      </c>
      <c r="X267" s="63">
        <f t="shared" si="54"/>
        <v>7.4370827679002299E-2</v>
      </c>
      <c r="Y267" s="61">
        <v>708</v>
      </c>
      <c r="Z267" s="102">
        <v>0</v>
      </c>
      <c r="AA267" s="63">
        <f t="shared" si="55"/>
        <v>0</v>
      </c>
      <c r="AB267" s="61">
        <v>17.068269230769229</v>
      </c>
      <c r="AC267" s="61">
        <v>4</v>
      </c>
      <c r="AD267" s="63">
        <f t="shared" si="56"/>
        <v>0.23435299419751002</v>
      </c>
      <c r="AE267" s="61">
        <v>2.3531115975055563</v>
      </c>
      <c r="AF267" s="61">
        <v>1</v>
      </c>
      <c r="AG267" s="63">
        <f t="shared" si="57"/>
        <v>0.42496921992992676</v>
      </c>
      <c r="AH267" s="61">
        <v>89.738177083862567</v>
      </c>
      <c r="AI267" s="61">
        <v>69</v>
      </c>
      <c r="AJ267" s="63">
        <f t="shared" si="58"/>
        <v>0.76890351734599838</v>
      </c>
      <c r="AK267" s="61">
        <v>2.9647097505797366</v>
      </c>
      <c r="AL267" s="61">
        <v>2</v>
      </c>
      <c r="AM267" s="63">
        <f t="shared" si="59"/>
        <v>0.67460229440973385</v>
      </c>
      <c r="AN267" s="61">
        <v>3.5575192667370756</v>
      </c>
      <c r="AO267" s="61">
        <v>1</v>
      </c>
      <c r="AP267" s="63">
        <f t="shared" si="60"/>
        <v>0.28109475311912813</v>
      </c>
      <c r="AQ267" s="61">
        <v>9.8222164440508983</v>
      </c>
      <c r="AR267" s="61">
        <v>0</v>
      </c>
      <c r="AS267" s="63">
        <f t="shared" si="61"/>
        <v>0</v>
      </c>
      <c r="AT267" s="61">
        <v>2.521368104603412</v>
      </c>
      <c r="AU267" s="61">
        <v>0</v>
      </c>
      <c r="AV267" s="63">
        <f t="shared" si="62"/>
        <v>0</v>
      </c>
      <c r="AW267" s="61">
        <v>2.6741503160652127</v>
      </c>
      <c r="AX267" s="61">
        <v>0</v>
      </c>
      <c r="AY267" s="63">
        <f t="shared" si="63"/>
        <v>0</v>
      </c>
      <c r="AZ267" s="61">
        <v>7.8884357703408856</v>
      </c>
      <c r="BA267" s="61">
        <v>0</v>
      </c>
      <c r="BB267" s="63">
        <f t="shared" si="64"/>
        <v>0</v>
      </c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</row>
    <row r="268" spans="1:87" x14ac:dyDescent="0.25">
      <c r="A268" s="128">
        <v>10846</v>
      </c>
      <c r="B268" s="128">
        <v>10484</v>
      </c>
      <c r="C268" s="128">
        <v>1066561158</v>
      </c>
      <c r="D268" s="128" t="s">
        <v>899</v>
      </c>
      <c r="E268" s="128" t="s">
        <v>546</v>
      </c>
      <c r="F268" s="128" t="s">
        <v>546</v>
      </c>
      <c r="G268" s="128" t="s">
        <v>900</v>
      </c>
      <c r="H268" s="128" t="s">
        <v>900</v>
      </c>
      <c r="I268" s="128" t="s">
        <v>1218</v>
      </c>
      <c r="J268" s="128" t="s">
        <v>887</v>
      </c>
      <c r="K268" s="128" t="s">
        <v>890</v>
      </c>
      <c r="L268" s="128">
        <v>75001</v>
      </c>
      <c r="M268" s="128" t="s">
        <v>1215</v>
      </c>
      <c r="N268" s="128"/>
      <c r="O268" s="168"/>
      <c r="P268" s="157">
        <v>91371.603969999996</v>
      </c>
      <c r="Q268" s="61">
        <v>90493.07</v>
      </c>
      <c r="R268" s="63">
        <f t="shared" si="52"/>
        <v>0.99038504380104309</v>
      </c>
      <c r="S268" s="61">
        <v>10598.837860599295</v>
      </c>
      <c r="T268" s="61">
        <v>282.61</v>
      </c>
      <c r="U268" s="63">
        <f t="shared" si="53"/>
        <v>2.666424411025194E-2</v>
      </c>
      <c r="V268" s="61">
        <v>26880.297858570488</v>
      </c>
      <c r="W268" s="61">
        <v>14300.429999999997</v>
      </c>
      <c r="X268" s="63">
        <f t="shared" si="54"/>
        <v>0.5320041494793355</v>
      </c>
      <c r="Y268" s="61">
        <v>708</v>
      </c>
      <c r="Z268" s="102">
        <v>0</v>
      </c>
      <c r="AA268" s="63">
        <f t="shared" si="55"/>
        <v>0</v>
      </c>
      <c r="AB268" s="61">
        <v>17.068269230769229</v>
      </c>
      <c r="AC268" s="61">
        <v>5</v>
      </c>
      <c r="AD268" s="63">
        <f t="shared" si="56"/>
        <v>0.29294124274688754</v>
      </c>
      <c r="AE268" s="61">
        <v>2.3531115975055563</v>
      </c>
      <c r="AF268" s="61">
        <v>2</v>
      </c>
      <c r="AG268" s="63">
        <f t="shared" si="57"/>
        <v>0.84993843985985351</v>
      </c>
      <c r="AH268" s="61">
        <v>89.738177083862567</v>
      </c>
      <c r="AI268" s="61">
        <v>65</v>
      </c>
      <c r="AJ268" s="63">
        <f t="shared" si="58"/>
        <v>0.72432940039840432</v>
      </c>
      <c r="AK268" s="61">
        <v>2.9647097505797366</v>
      </c>
      <c r="AL268" s="61">
        <v>1</v>
      </c>
      <c r="AM268" s="63">
        <f t="shared" si="59"/>
        <v>0.33730114720486692</v>
      </c>
      <c r="AN268" s="61">
        <v>3.5575192667370756</v>
      </c>
      <c r="AO268" s="61">
        <v>3</v>
      </c>
      <c r="AP268" s="63">
        <f t="shared" si="60"/>
        <v>0.84328425935738438</v>
      </c>
      <c r="AQ268" s="61">
        <v>9.8222164440508983</v>
      </c>
      <c r="AR268" s="61">
        <v>7</v>
      </c>
      <c r="AS268" s="63">
        <f t="shared" si="61"/>
        <v>0.71267010250418039</v>
      </c>
      <c r="AT268" s="61">
        <v>2.521368104603412</v>
      </c>
      <c r="AU268" s="61">
        <v>0</v>
      </c>
      <c r="AV268" s="63">
        <f t="shared" si="62"/>
        <v>0</v>
      </c>
      <c r="AW268" s="61">
        <v>2.6741503160652127</v>
      </c>
      <c r="AX268" s="61">
        <v>0</v>
      </c>
      <c r="AY268" s="63">
        <f t="shared" si="63"/>
        <v>0</v>
      </c>
      <c r="AZ268" s="61">
        <v>7.8884357703408856</v>
      </c>
      <c r="BA268" s="61">
        <v>0</v>
      </c>
      <c r="BB268" s="63">
        <f t="shared" si="64"/>
        <v>0</v>
      </c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</row>
    <row r="269" spans="1:87" x14ac:dyDescent="0.25">
      <c r="A269" s="128">
        <v>10211</v>
      </c>
      <c r="B269" s="128">
        <v>21414</v>
      </c>
      <c r="C269" s="128">
        <v>1044206983</v>
      </c>
      <c r="D269" s="128" t="s">
        <v>926</v>
      </c>
      <c r="E269" s="128" t="s">
        <v>541</v>
      </c>
      <c r="F269" s="128" t="s">
        <v>541</v>
      </c>
      <c r="G269" s="128" t="s">
        <v>927</v>
      </c>
      <c r="H269" s="128" t="s">
        <v>927</v>
      </c>
      <c r="I269" s="128" t="s">
        <v>1218</v>
      </c>
      <c r="J269" s="128" t="s">
        <v>887</v>
      </c>
      <c r="K269" s="128" t="s">
        <v>928</v>
      </c>
      <c r="L269" s="128">
        <v>75002</v>
      </c>
      <c r="M269" s="128"/>
      <c r="N269" s="128"/>
      <c r="O269" s="168"/>
      <c r="P269" s="169">
        <v>638203.03500000015</v>
      </c>
      <c r="Q269" s="61">
        <v>0</v>
      </c>
      <c r="R269" s="63">
        <f t="shared" si="52"/>
        <v>0</v>
      </c>
      <c r="S269" s="61">
        <v>57547.349421813735</v>
      </c>
      <c r="T269" s="61">
        <v>0</v>
      </c>
      <c r="U269" s="63">
        <f t="shared" si="53"/>
        <v>0</v>
      </c>
      <c r="V269" s="61">
        <v>157556.22443538875</v>
      </c>
      <c r="W269" s="61">
        <v>2025.22</v>
      </c>
      <c r="X269" s="63">
        <f t="shared" si="54"/>
        <v>1.2853951072117179E-2</v>
      </c>
      <c r="Y269" s="61">
        <v>4083.4791073150072</v>
      </c>
      <c r="Z269" s="102">
        <v>0</v>
      </c>
      <c r="AA269" s="63">
        <f t="shared" si="55"/>
        <v>0</v>
      </c>
      <c r="AB269" s="61">
        <v>87.245712487317363</v>
      </c>
      <c r="AC269" s="61">
        <v>0</v>
      </c>
      <c r="AD269" s="63">
        <f t="shared" si="56"/>
        <v>0</v>
      </c>
      <c r="AE269" s="61">
        <v>13.50270825086792</v>
      </c>
      <c r="AF269" s="61">
        <v>0</v>
      </c>
      <c r="AG269" s="63">
        <f t="shared" si="57"/>
        <v>0</v>
      </c>
      <c r="AH269" s="61">
        <v>494.63098070535034</v>
      </c>
      <c r="AI269" s="61">
        <v>0</v>
      </c>
      <c r="AJ269" s="63">
        <f t="shared" si="58"/>
        <v>0</v>
      </c>
      <c r="AK269" s="61">
        <v>17.012202418711276</v>
      </c>
      <c r="AL269" s="61">
        <v>0</v>
      </c>
      <c r="AM269" s="63">
        <f t="shared" si="59"/>
        <v>0</v>
      </c>
      <c r="AN269" s="61">
        <v>20.41388296522511</v>
      </c>
      <c r="AO269" s="61">
        <v>0</v>
      </c>
      <c r="AP269" s="63">
        <f t="shared" si="60"/>
        <v>0</v>
      </c>
      <c r="AQ269" s="61">
        <v>59.394793187495452</v>
      </c>
      <c r="AR269" s="61">
        <v>0</v>
      </c>
      <c r="AS269" s="63">
        <f t="shared" si="61"/>
        <v>0</v>
      </c>
      <c r="AT269" s="61">
        <v>18</v>
      </c>
      <c r="AU269" s="61">
        <v>0</v>
      </c>
      <c r="AV269" s="63">
        <f t="shared" si="62"/>
        <v>0</v>
      </c>
      <c r="AW269" s="61">
        <v>18.678131647107481</v>
      </c>
      <c r="AX269" s="61">
        <v>0</v>
      </c>
      <c r="AY269" s="63">
        <f t="shared" si="63"/>
        <v>0</v>
      </c>
      <c r="AZ269" s="61">
        <v>45.265701327355785</v>
      </c>
      <c r="BA269" s="61">
        <v>0</v>
      </c>
      <c r="BB269" s="63">
        <f t="shared" si="64"/>
        <v>0</v>
      </c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</row>
    <row r="270" spans="1:87" x14ac:dyDescent="0.25">
      <c r="A270" s="128">
        <v>27267</v>
      </c>
      <c r="B270" s="128">
        <v>10211</v>
      </c>
      <c r="C270" s="128">
        <v>1082650423</v>
      </c>
      <c r="D270" s="128" t="s">
        <v>929</v>
      </c>
      <c r="E270" s="128" t="s">
        <v>546</v>
      </c>
      <c r="F270" s="128" t="s">
        <v>546</v>
      </c>
      <c r="G270" s="128" t="s">
        <v>930</v>
      </c>
      <c r="H270" s="128" t="s">
        <v>930</v>
      </c>
      <c r="I270" s="128" t="s">
        <v>1218</v>
      </c>
      <c r="J270" s="128" t="s">
        <v>887</v>
      </c>
      <c r="K270" s="128" t="s">
        <v>928</v>
      </c>
      <c r="L270" s="128">
        <v>75002</v>
      </c>
      <c r="M270" s="128" t="s">
        <v>1222</v>
      </c>
      <c r="N270" s="128"/>
      <c r="O270" s="168"/>
      <c r="P270" s="157">
        <v>130958.965625</v>
      </c>
      <c r="Q270" s="61">
        <v>71786.12000000001</v>
      </c>
      <c r="R270" s="63">
        <f t="shared" si="52"/>
        <v>0.54815735339235205</v>
      </c>
      <c r="S270" s="61">
        <v>11940.031129544526</v>
      </c>
      <c r="T270" s="61">
        <v>6433.04</v>
      </c>
      <c r="U270" s="63">
        <f t="shared" si="53"/>
        <v>0.53877916482830812</v>
      </c>
      <c r="V270" s="61">
        <v>31326.561236347356</v>
      </c>
      <c r="W270" s="61">
        <v>8412.17</v>
      </c>
      <c r="X270" s="63">
        <f t="shared" si="54"/>
        <v>0.26853154856459599</v>
      </c>
      <c r="Y270" s="61">
        <v>1035.79729542635</v>
      </c>
      <c r="Z270" s="102">
        <v>0</v>
      </c>
      <c r="AA270" s="63">
        <f t="shared" si="55"/>
        <v>0</v>
      </c>
      <c r="AB270" s="61">
        <v>18.176190101524451</v>
      </c>
      <c r="AC270" s="61">
        <v>8</v>
      </c>
      <c r="AD270" s="63">
        <f t="shared" si="56"/>
        <v>0.44013624171597071</v>
      </c>
      <c r="AE270" s="61">
        <v>2.8130642189308168</v>
      </c>
      <c r="AF270" s="61">
        <v>0</v>
      </c>
      <c r="AG270" s="63">
        <f t="shared" si="57"/>
        <v>0</v>
      </c>
      <c r="AH270" s="61">
        <v>112.46749598028131</v>
      </c>
      <c r="AI270" s="61">
        <v>26</v>
      </c>
      <c r="AJ270" s="63">
        <f t="shared" si="58"/>
        <v>0.23117790409914102</v>
      </c>
      <c r="AK270" s="61">
        <v>3.5442088372315159</v>
      </c>
      <c r="AL270" s="61">
        <v>1</v>
      </c>
      <c r="AM270" s="63">
        <f t="shared" si="59"/>
        <v>0.28215041661628748</v>
      </c>
      <c r="AN270" s="61">
        <v>4.2528922844218968</v>
      </c>
      <c r="AO270" s="61">
        <v>2</v>
      </c>
      <c r="AP270" s="63">
        <f t="shared" si="60"/>
        <v>0.47026820014367315</v>
      </c>
      <c r="AQ270" s="61">
        <v>14.33769392435128</v>
      </c>
      <c r="AR270" s="61">
        <v>5</v>
      </c>
      <c r="AS270" s="63">
        <f t="shared" si="61"/>
        <v>0.34873111578340721</v>
      </c>
      <c r="AT270" s="61">
        <v>3.45</v>
      </c>
      <c r="AU270" s="61">
        <v>1</v>
      </c>
      <c r="AV270" s="63">
        <f t="shared" si="62"/>
        <v>0.28985507246376813</v>
      </c>
      <c r="AW270" s="61">
        <v>3.8327439171654403</v>
      </c>
      <c r="AX270" s="61">
        <v>0</v>
      </c>
      <c r="AY270" s="63">
        <f t="shared" si="63"/>
        <v>0</v>
      </c>
      <c r="AZ270" s="61">
        <v>9.4303544431991213</v>
      </c>
      <c r="BA270" s="61">
        <v>2</v>
      </c>
      <c r="BB270" s="63">
        <f t="shared" si="64"/>
        <v>0.21208110596970592</v>
      </c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</row>
    <row r="271" spans="1:87" x14ac:dyDescent="0.25">
      <c r="A271" s="128">
        <v>3740</v>
      </c>
      <c r="B271" s="128">
        <v>10211</v>
      </c>
      <c r="C271" s="128">
        <v>1055963530</v>
      </c>
      <c r="D271" s="128" t="s">
        <v>931</v>
      </c>
      <c r="E271" s="128" t="s">
        <v>546</v>
      </c>
      <c r="F271" s="128" t="s">
        <v>546</v>
      </c>
      <c r="G271" s="128" t="s">
        <v>932</v>
      </c>
      <c r="H271" s="128" t="s">
        <v>932</v>
      </c>
      <c r="I271" s="128" t="s">
        <v>1218</v>
      </c>
      <c r="J271" s="128" t="s">
        <v>887</v>
      </c>
      <c r="K271" s="128" t="s">
        <v>928</v>
      </c>
      <c r="L271" s="128">
        <v>75002</v>
      </c>
      <c r="M271" s="128" t="s">
        <v>1215</v>
      </c>
      <c r="N271" s="128"/>
      <c r="O271" s="168"/>
      <c r="P271" s="157">
        <v>132958.96562500001</v>
      </c>
      <c r="Q271" s="61">
        <v>64833.93</v>
      </c>
      <c r="R271" s="63">
        <f t="shared" si="52"/>
        <v>0.48762360398364446</v>
      </c>
      <c r="S271" s="61">
        <v>12850.031129544572</v>
      </c>
      <c r="T271" s="61">
        <v>0</v>
      </c>
      <c r="U271" s="63">
        <f t="shared" si="53"/>
        <v>0</v>
      </c>
      <c r="V271" s="61">
        <v>32155.507186490358</v>
      </c>
      <c r="W271" s="61">
        <v>3066.5200000000004</v>
      </c>
      <c r="X271" s="63">
        <f t="shared" si="54"/>
        <v>9.5365312766341678E-2</v>
      </c>
      <c r="Y271" s="61">
        <v>910.79729542635596</v>
      </c>
      <c r="Z271" s="102">
        <v>0</v>
      </c>
      <c r="AA271" s="63">
        <f t="shared" si="55"/>
        <v>0</v>
      </c>
      <c r="AB271" s="61">
        <v>18.176190101524451</v>
      </c>
      <c r="AC271" s="61">
        <v>4</v>
      </c>
      <c r="AD271" s="63">
        <f t="shared" si="56"/>
        <v>0.22006812085798536</v>
      </c>
      <c r="AE271" s="61">
        <v>2.8130642189308168</v>
      </c>
      <c r="AF271" s="61">
        <v>0</v>
      </c>
      <c r="AG271" s="63">
        <f t="shared" si="57"/>
        <v>0</v>
      </c>
      <c r="AH271" s="61">
        <v>112.46749598028131</v>
      </c>
      <c r="AI271" s="61">
        <v>17</v>
      </c>
      <c r="AJ271" s="63">
        <f t="shared" si="58"/>
        <v>0.15115478344943836</v>
      </c>
      <c r="AK271" s="61">
        <v>3.5442088372315159</v>
      </c>
      <c r="AL271" s="61">
        <v>0</v>
      </c>
      <c r="AM271" s="63">
        <f t="shared" si="59"/>
        <v>0</v>
      </c>
      <c r="AN271" s="61">
        <v>4.2528922844218968</v>
      </c>
      <c r="AO271" s="61">
        <v>2</v>
      </c>
      <c r="AP271" s="63">
        <f t="shared" si="60"/>
        <v>0.47026820014367315</v>
      </c>
      <c r="AQ271" s="61">
        <v>10.75327044326346</v>
      </c>
      <c r="AR271" s="61">
        <v>1</v>
      </c>
      <c r="AS271" s="63">
        <f t="shared" si="61"/>
        <v>9.2994964208908584E-2</v>
      </c>
      <c r="AT271" s="61">
        <v>3.45</v>
      </c>
      <c r="AU271" s="61">
        <v>0</v>
      </c>
      <c r="AV271" s="63">
        <f t="shared" si="62"/>
        <v>0</v>
      </c>
      <c r="AW271" s="61">
        <v>3.8912774264807246</v>
      </c>
      <c r="AX271" s="61">
        <v>0</v>
      </c>
      <c r="AY271" s="63">
        <f t="shared" si="63"/>
        <v>0</v>
      </c>
      <c r="AZ271" s="61">
        <v>9.4303544431991213</v>
      </c>
      <c r="BA271" s="61">
        <v>3</v>
      </c>
      <c r="BB271" s="63">
        <f t="shared" si="64"/>
        <v>0.31812165895455891</v>
      </c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</row>
    <row r="272" spans="1:87" x14ac:dyDescent="0.25">
      <c r="A272" s="213">
        <v>7296</v>
      </c>
      <c r="B272" s="213">
        <v>10211</v>
      </c>
      <c r="C272" s="213">
        <v>1057426338</v>
      </c>
      <c r="D272" s="213" t="s">
        <v>933</v>
      </c>
      <c r="E272" s="213" t="s">
        <v>546</v>
      </c>
      <c r="F272" s="213" t="s">
        <v>546</v>
      </c>
      <c r="G272" s="213" t="s">
        <v>934</v>
      </c>
      <c r="H272" s="213" t="s">
        <v>935</v>
      </c>
      <c r="I272" s="213" t="s">
        <v>1218</v>
      </c>
      <c r="J272" s="213" t="s">
        <v>887</v>
      </c>
      <c r="K272" s="213" t="s">
        <v>928</v>
      </c>
      <c r="L272" s="213">
        <v>75002</v>
      </c>
      <c r="M272" s="213" t="s">
        <v>1215</v>
      </c>
      <c r="N272" s="213"/>
      <c r="O272" s="246"/>
      <c r="P272" s="232">
        <v>131958.96562500001</v>
      </c>
      <c r="Q272" s="61">
        <v>0</v>
      </c>
      <c r="R272" s="63">
        <f t="shared" si="52"/>
        <v>0</v>
      </c>
      <c r="S272" s="61">
        <v>12028.03112954457</v>
      </c>
      <c r="T272" s="61">
        <v>0</v>
      </c>
      <c r="U272" s="63">
        <f t="shared" si="53"/>
        <v>0</v>
      </c>
      <c r="V272" s="61">
        <v>33791.230756886878</v>
      </c>
      <c r="W272" s="61">
        <v>0</v>
      </c>
      <c r="X272" s="63">
        <f t="shared" si="54"/>
        <v>0</v>
      </c>
      <c r="Y272" s="61">
        <v>910.79729542635596</v>
      </c>
      <c r="Z272" s="102">
        <v>0</v>
      </c>
      <c r="AA272" s="63">
        <f t="shared" si="55"/>
        <v>0</v>
      </c>
      <c r="AB272" s="61">
        <v>18.176190101524451</v>
      </c>
      <c r="AC272" s="61">
        <v>1</v>
      </c>
      <c r="AD272" s="63">
        <f t="shared" si="56"/>
        <v>5.5017030214496339E-2</v>
      </c>
      <c r="AE272" s="61">
        <v>2.8130642189308168</v>
      </c>
      <c r="AF272" s="61">
        <v>0</v>
      </c>
      <c r="AG272" s="63">
        <f t="shared" si="57"/>
        <v>0</v>
      </c>
      <c r="AH272" s="61">
        <v>112.46749598028131</v>
      </c>
      <c r="AI272" s="61">
        <v>0</v>
      </c>
      <c r="AJ272" s="63">
        <f t="shared" si="58"/>
        <v>0</v>
      </c>
      <c r="AK272" s="61">
        <v>3.5442088372315159</v>
      </c>
      <c r="AL272" s="61">
        <v>0</v>
      </c>
      <c r="AM272" s="63">
        <f t="shared" si="59"/>
        <v>0</v>
      </c>
      <c r="AN272" s="61">
        <v>4.2528922844218968</v>
      </c>
      <c r="AO272" s="61">
        <v>0</v>
      </c>
      <c r="AP272" s="63">
        <f t="shared" si="60"/>
        <v>0</v>
      </c>
      <c r="AQ272" s="61">
        <v>10.75327044326346</v>
      </c>
      <c r="AR272" s="61">
        <v>0</v>
      </c>
      <c r="AS272" s="63">
        <f t="shared" si="61"/>
        <v>0</v>
      </c>
      <c r="AT272" s="61">
        <v>3.45</v>
      </c>
      <c r="AU272" s="61">
        <v>0</v>
      </c>
      <c r="AV272" s="63">
        <f t="shared" si="62"/>
        <v>0</v>
      </c>
      <c r="AW272" s="61">
        <v>3.8620106718230827</v>
      </c>
      <c r="AX272" s="61">
        <v>0</v>
      </c>
      <c r="AY272" s="63">
        <f t="shared" si="63"/>
        <v>0</v>
      </c>
      <c r="AZ272" s="61">
        <v>9.4303544431991213</v>
      </c>
      <c r="BA272" s="61">
        <v>0</v>
      </c>
      <c r="BB272" s="63">
        <f t="shared" si="64"/>
        <v>0</v>
      </c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</row>
    <row r="273" spans="1:87" x14ac:dyDescent="0.25">
      <c r="A273" s="207">
        <v>454</v>
      </c>
      <c r="B273" s="207">
        <v>10211</v>
      </c>
      <c r="C273" s="207">
        <v>1014183691</v>
      </c>
      <c r="D273" s="207" t="s">
        <v>936</v>
      </c>
      <c r="E273" s="207" t="s">
        <v>546</v>
      </c>
      <c r="F273" s="207" t="s">
        <v>546</v>
      </c>
      <c r="G273" s="207" t="s">
        <v>937</v>
      </c>
      <c r="H273" s="207" t="s">
        <v>937</v>
      </c>
      <c r="I273" s="207" t="s">
        <v>1218</v>
      </c>
      <c r="J273" s="207" t="s">
        <v>887</v>
      </c>
      <c r="K273" s="207" t="s">
        <v>928</v>
      </c>
      <c r="L273" s="207">
        <v>75002</v>
      </c>
      <c r="M273" s="207"/>
      <c r="N273" s="207"/>
      <c r="O273" s="242"/>
      <c r="P273" s="243">
        <v>137958.96562500001</v>
      </c>
      <c r="Q273" s="61">
        <v>95881.760000000009</v>
      </c>
      <c r="R273" s="63">
        <f t="shared" si="52"/>
        <v>0.69500202154766633</v>
      </c>
      <c r="S273" s="61">
        <v>11138.2467294097</v>
      </c>
      <c r="T273" s="61">
        <v>10033.040000000001</v>
      </c>
      <c r="U273" s="63">
        <f t="shared" si="53"/>
        <v>0.90077372532146516</v>
      </c>
      <c r="V273" s="61">
        <v>33824.213424039328</v>
      </c>
      <c r="W273" s="61">
        <v>5651.73</v>
      </c>
      <c r="X273" s="63">
        <f t="shared" si="54"/>
        <v>0.16709124700541411</v>
      </c>
      <c r="Y273" s="61">
        <v>910.79729542635596</v>
      </c>
      <c r="Z273" s="102">
        <v>0</v>
      </c>
      <c r="AA273" s="63">
        <f t="shared" si="55"/>
        <v>0</v>
      </c>
      <c r="AB273" s="61">
        <v>18.176190101524451</v>
      </c>
      <c r="AC273" s="61">
        <v>2</v>
      </c>
      <c r="AD273" s="63">
        <f t="shared" si="56"/>
        <v>0.11003406042899268</v>
      </c>
      <c r="AE273" s="61">
        <v>2.8130642189308168</v>
      </c>
      <c r="AF273" s="61">
        <v>1</v>
      </c>
      <c r="AG273" s="63">
        <f t="shared" si="57"/>
        <v>0.35548424144404273</v>
      </c>
      <c r="AH273" s="61">
        <v>112.46749598028131</v>
      </c>
      <c r="AI273" s="61">
        <v>81</v>
      </c>
      <c r="AJ273" s="63">
        <f t="shared" si="58"/>
        <v>0.72020808584732388</v>
      </c>
      <c r="AK273" s="61">
        <v>3.5442088372315159</v>
      </c>
      <c r="AL273" s="61">
        <v>0</v>
      </c>
      <c r="AM273" s="63">
        <f t="shared" si="59"/>
        <v>0</v>
      </c>
      <c r="AN273" s="61">
        <v>4.2528922844218968</v>
      </c>
      <c r="AO273" s="61">
        <v>1</v>
      </c>
      <c r="AP273" s="63">
        <f t="shared" si="60"/>
        <v>0.23513410007183658</v>
      </c>
      <c r="AQ273" s="61">
        <v>10.75327044326346</v>
      </c>
      <c r="AR273" s="61">
        <v>1</v>
      </c>
      <c r="AS273" s="63">
        <f t="shared" si="61"/>
        <v>9.2994964208908584E-2</v>
      </c>
      <c r="AT273" s="61">
        <v>3.45</v>
      </c>
      <c r="AU273" s="61">
        <v>4</v>
      </c>
      <c r="AV273" s="63">
        <f t="shared" si="62"/>
        <v>1.1594202898550725</v>
      </c>
      <c r="AW273" s="61">
        <v>4.0376111997689339</v>
      </c>
      <c r="AX273" s="61">
        <v>0</v>
      </c>
      <c r="AY273" s="63">
        <f t="shared" si="63"/>
        <v>0</v>
      </c>
      <c r="AZ273" s="61">
        <v>9.4303544431991213</v>
      </c>
      <c r="BA273" s="61">
        <v>4</v>
      </c>
      <c r="BB273" s="63">
        <f t="shared" si="64"/>
        <v>0.42416221193941184</v>
      </c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</row>
    <row r="274" spans="1:87" x14ac:dyDescent="0.25">
      <c r="A274" s="128">
        <v>10925</v>
      </c>
      <c r="B274" s="128">
        <v>10211</v>
      </c>
      <c r="C274" s="128">
        <v>1076645744</v>
      </c>
      <c r="D274" s="128" t="s">
        <v>1199</v>
      </c>
      <c r="E274" s="128" t="s">
        <v>546</v>
      </c>
      <c r="F274" s="128" t="s">
        <v>546</v>
      </c>
      <c r="G274" s="128" t="s">
        <v>1200</v>
      </c>
      <c r="H274" s="128" t="s">
        <v>1200</v>
      </c>
      <c r="I274" s="128" t="s">
        <v>1218</v>
      </c>
      <c r="J274" s="128" t="s">
        <v>887</v>
      </c>
      <c r="K274" s="128" t="s">
        <v>928</v>
      </c>
      <c r="L274" s="128">
        <v>75002</v>
      </c>
      <c r="M274" s="128" t="s">
        <v>1148</v>
      </c>
      <c r="N274" s="128"/>
      <c r="O274" s="168">
        <v>0.5</v>
      </c>
      <c r="P274" s="157">
        <v>52183.58625</v>
      </c>
      <c r="Q274" s="61">
        <v>93476.55</v>
      </c>
      <c r="R274" s="63">
        <f t="shared" si="52"/>
        <v>1.791301762055497</v>
      </c>
      <c r="S274" s="61">
        <v>4795.6124518178112</v>
      </c>
      <c r="T274" s="61">
        <v>217.4</v>
      </c>
      <c r="U274" s="63">
        <f t="shared" si="53"/>
        <v>4.5333104412470397E-2</v>
      </c>
      <c r="V274" s="61">
        <v>13329.685369615736</v>
      </c>
      <c r="W274" s="61">
        <v>18510.429999999997</v>
      </c>
      <c r="X274" s="63">
        <f t="shared" si="54"/>
        <v>1.3886621841947955</v>
      </c>
      <c r="Y274" s="61">
        <v>315.28992560958397</v>
      </c>
      <c r="Z274" s="102">
        <v>0</v>
      </c>
      <c r="AA274" s="63">
        <f t="shared" si="55"/>
        <v>0</v>
      </c>
      <c r="AB274" s="61">
        <v>7.2704760406097799</v>
      </c>
      <c r="AC274" s="61">
        <v>6</v>
      </c>
      <c r="AD274" s="63">
        <f t="shared" si="56"/>
        <v>0.82525545321744509</v>
      </c>
      <c r="AE274" s="61">
        <v>1.1252256875723268</v>
      </c>
      <c r="AF274" s="61">
        <v>0</v>
      </c>
      <c r="AG274" s="63">
        <f t="shared" si="57"/>
        <v>0</v>
      </c>
      <c r="AH274" s="61">
        <v>41.219248392112526</v>
      </c>
      <c r="AI274" s="61">
        <v>41</v>
      </c>
      <c r="AJ274" s="63">
        <f t="shared" si="58"/>
        <v>0.99468092212582704</v>
      </c>
      <c r="AK274" s="61">
        <v>1.4176835348926065</v>
      </c>
      <c r="AL274" s="61">
        <v>1</v>
      </c>
      <c r="AM274" s="63">
        <f t="shared" si="59"/>
        <v>0.70537604154071865</v>
      </c>
      <c r="AN274" s="61">
        <v>1.701156913768759</v>
      </c>
      <c r="AO274" s="61">
        <v>3</v>
      </c>
      <c r="AP274" s="63">
        <f t="shared" si="60"/>
        <v>1.7635057505387741</v>
      </c>
      <c r="AQ274" s="61">
        <v>6.2727410919036846</v>
      </c>
      <c r="AR274" s="61">
        <v>8</v>
      </c>
      <c r="AS274" s="63">
        <f t="shared" si="61"/>
        <v>1.2753595091507464</v>
      </c>
      <c r="AT274" s="61">
        <v>2</v>
      </c>
      <c r="AU274" s="61">
        <v>1</v>
      </c>
      <c r="AV274" s="63">
        <f t="shared" si="62"/>
        <v>0.5</v>
      </c>
      <c r="AW274" s="61">
        <v>1.5272442159346478</v>
      </c>
      <c r="AX274" s="61">
        <v>0</v>
      </c>
      <c r="AY274" s="63">
        <f t="shared" si="63"/>
        <v>0</v>
      </c>
      <c r="AZ274" s="61">
        <v>3.7721417772796482</v>
      </c>
      <c r="BA274" s="61">
        <v>5</v>
      </c>
      <c r="BB274" s="63">
        <f t="shared" si="64"/>
        <v>1.3255069123106622</v>
      </c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</row>
    <row r="275" spans="1:87" x14ac:dyDescent="0.25">
      <c r="A275" s="128">
        <v>10845</v>
      </c>
      <c r="B275" s="128">
        <v>10211</v>
      </c>
      <c r="C275" s="128">
        <v>1065594846</v>
      </c>
      <c r="D275" s="128" t="s">
        <v>1232</v>
      </c>
      <c r="E275" s="128" t="s">
        <v>546</v>
      </c>
      <c r="F275" s="128" t="s">
        <v>546</v>
      </c>
      <c r="G275" s="128" t="s">
        <v>1233</v>
      </c>
      <c r="H275" s="128" t="s">
        <v>1233</v>
      </c>
      <c r="I275" s="128" t="s">
        <v>1218</v>
      </c>
      <c r="J275" s="128" t="s">
        <v>887</v>
      </c>
      <c r="K275" s="128" t="s">
        <v>928</v>
      </c>
      <c r="L275" s="128">
        <v>75002</v>
      </c>
      <c r="M275" s="128"/>
      <c r="N275" s="128"/>
      <c r="O275" s="168"/>
      <c r="P275" s="157">
        <v>52183.58625</v>
      </c>
      <c r="Q275" s="61">
        <v>62597.420000000013</v>
      </c>
      <c r="R275" s="63">
        <f t="shared" si="52"/>
        <v>1.1995614808861477</v>
      </c>
      <c r="S275" s="61">
        <v>4795.6124518178112</v>
      </c>
      <c r="T275" s="61">
        <v>565.22</v>
      </c>
      <c r="U275" s="63">
        <f t="shared" si="53"/>
        <v>0.11786190099363625</v>
      </c>
      <c r="V275" s="61">
        <v>13129.685369615732</v>
      </c>
      <c r="W275" s="61">
        <v>5780.87</v>
      </c>
      <c r="X275" s="63">
        <f t="shared" si="54"/>
        <v>0.44029006310980545</v>
      </c>
      <c r="Y275" s="61">
        <v>0</v>
      </c>
      <c r="Z275" s="102">
        <v>0</v>
      </c>
      <c r="AA275" s="63" t="e">
        <f t="shared" si="55"/>
        <v>#DIV/0!</v>
      </c>
      <c r="AB275" s="61">
        <v>7.2704760406097799</v>
      </c>
      <c r="AC275" s="61">
        <v>1</v>
      </c>
      <c r="AD275" s="63">
        <f t="shared" si="56"/>
        <v>0.13754257553624086</v>
      </c>
      <c r="AE275" s="61">
        <v>1.1252256875723268</v>
      </c>
      <c r="AF275" s="61">
        <v>0</v>
      </c>
      <c r="AG275" s="63">
        <f t="shared" si="57"/>
        <v>0</v>
      </c>
      <c r="AH275" s="61">
        <v>3.5417483921125226</v>
      </c>
      <c r="AI275" s="61">
        <v>45</v>
      </c>
      <c r="AJ275" s="63">
        <f t="shared" si="58"/>
        <v>12.70558916613474</v>
      </c>
      <c r="AK275" s="61">
        <v>1.4176835348926065</v>
      </c>
      <c r="AL275" s="61">
        <v>0</v>
      </c>
      <c r="AM275" s="63">
        <f t="shared" si="59"/>
        <v>0</v>
      </c>
      <c r="AN275" s="61">
        <v>1.701156913768759</v>
      </c>
      <c r="AO275" s="61">
        <v>0</v>
      </c>
      <c r="AP275" s="63">
        <f t="shared" si="60"/>
        <v>0</v>
      </c>
      <c r="AQ275" s="61">
        <v>6.2727410919036846</v>
      </c>
      <c r="AR275" s="61">
        <v>2</v>
      </c>
      <c r="AS275" s="63">
        <f t="shared" si="61"/>
        <v>0.31883987728768659</v>
      </c>
      <c r="AT275" s="61">
        <v>2</v>
      </c>
      <c r="AU275" s="61">
        <v>0</v>
      </c>
      <c r="AV275" s="63">
        <f t="shared" si="62"/>
        <v>0</v>
      </c>
      <c r="AW275" s="61">
        <v>1.5272442159346478</v>
      </c>
      <c r="AX275" s="61">
        <v>0</v>
      </c>
      <c r="AY275" s="63">
        <f t="shared" si="63"/>
        <v>0</v>
      </c>
      <c r="AZ275" s="61">
        <v>3.7721417772796482</v>
      </c>
      <c r="BA275" s="61">
        <v>2</v>
      </c>
      <c r="BB275" s="63">
        <f t="shared" si="64"/>
        <v>0.53020276492426488</v>
      </c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</row>
    <row r="276" spans="1:87" x14ac:dyDescent="0.25">
      <c r="A276" s="128">
        <v>21566</v>
      </c>
      <c r="B276" s="128">
        <v>21414</v>
      </c>
      <c r="C276" s="128">
        <v>1013024524</v>
      </c>
      <c r="D276" s="128" t="s">
        <v>940</v>
      </c>
      <c r="E276" s="128" t="s">
        <v>541</v>
      </c>
      <c r="F276" s="128" t="s">
        <v>541</v>
      </c>
      <c r="G276" s="128" t="s">
        <v>941</v>
      </c>
      <c r="H276" s="128" t="s">
        <v>941</v>
      </c>
      <c r="I276" s="128" t="s">
        <v>1218</v>
      </c>
      <c r="J276" s="128" t="s">
        <v>887</v>
      </c>
      <c r="K276" s="128" t="s">
        <v>942</v>
      </c>
      <c r="L276" s="128">
        <v>75013</v>
      </c>
      <c r="M276" s="128"/>
      <c r="N276" s="128"/>
      <c r="O276" s="168"/>
      <c r="P276" s="169">
        <v>525578.97000000009</v>
      </c>
      <c r="Q276" s="61">
        <v>0</v>
      </c>
      <c r="R276" s="63">
        <f t="shared" si="52"/>
        <v>0</v>
      </c>
      <c r="S276" s="61">
        <v>54422.628664902812</v>
      </c>
      <c r="T276" s="61">
        <v>0</v>
      </c>
      <c r="U276" s="63">
        <f t="shared" si="53"/>
        <v>0</v>
      </c>
      <c r="V276" s="61">
        <v>144505.87738648895</v>
      </c>
      <c r="W276" s="61">
        <v>0</v>
      </c>
      <c r="X276" s="63">
        <f t="shared" si="54"/>
        <v>0</v>
      </c>
      <c r="Y276" s="61">
        <v>4277.9304933776275</v>
      </c>
      <c r="Z276" s="102">
        <v>0</v>
      </c>
      <c r="AA276" s="63">
        <f t="shared" si="55"/>
        <v>0</v>
      </c>
      <c r="AB276" s="61">
        <v>83.638262500813312</v>
      </c>
      <c r="AC276" s="61">
        <v>0</v>
      </c>
      <c r="AD276" s="63">
        <f t="shared" si="56"/>
        <v>0</v>
      </c>
      <c r="AE276" s="61">
        <v>12.944396062123491</v>
      </c>
      <c r="AF276" s="61">
        <v>0</v>
      </c>
      <c r="AG276" s="63">
        <f t="shared" si="57"/>
        <v>0</v>
      </c>
      <c r="AH276" s="61">
        <v>449.81364320530736</v>
      </c>
      <c r="AI276" s="61">
        <v>0</v>
      </c>
      <c r="AJ276" s="63">
        <f t="shared" si="58"/>
        <v>0</v>
      </c>
      <c r="AK276" s="61">
        <v>16.308779091235955</v>
      </c>
      <c r="AL276" s="61">
        <v>0</v>
      </c>
      <c r="AM276" s="63">
        <f t="shared" si="59"/>
        <v>0</v>
      </c>
      <c r="AN276" s="61">
        <v>19.569806394263512</v>
      </c>
      <c r="AO276" s="61">
        <v>0</v>
      </c>
      <c r="AP276" s="63">
        <f t="shared" si="60"/>
        <v>0</v>
      </c>
      <c r="AQ276" s="61">
        <v>50.181928735229477</v>
      </c>
      <c r="AR276" s="61">
        <v>0</v>
      </c>
      <c r="AS276" s="63">
        <f t="shared" si="61"/>
        <v>0</v>
      </c>
      <c r="AT276" s="61">
        <v>20.411999999999999</v>
      </c>
      <c r="AU276" s="61">
        <v>0</v>
      </c>
      <c r="AV276" s="63">
        <f t="shared" si="62"/>
        <v>0</v>
      </c>
      <c r="AW276" s="61">
        <v>15.38199076820616</v>
      </c>
      <c r="AX276" s="61">
        <v>0</v>
      </c>
      <c r="AY276" s="63">
        <f t="shared" si="63"/>
        <v>0</v>
      </c>
      <c r="AZ276" s="61">
        <v>43.394047706942011</v>
      </c>
      <c r="BA276" s="61">
        <v>0</v>
      </c>
      <c r="BB276" s="63">
        <f t="shared" si="64"/>
        <v>0</v>
      </c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</row>
    <row r="277" spans="1:87" x14ac:dyDescent="0.25">
      <c r="A277" s="128">
        <v>4583</v>
      </c>
      <c r="B277" s="128">
        <v>21566</v>
      </c>
      <c r="C277" s="128">
        <v>1067104255</v>
      </c>
      <c r="D277" s="128" t="s">
        <v>943</v>
      </c>
      <c r="E277" s="128" t="s">
        <v>544</v>
      </c>
      <c r="F277" s="128" t="s">
        <v>544</v>
      </c>
      <c r="G277" s="128" t="s">
        <v>944</v>
      </c>
      <c r="H277" s="128" t="s">
        <v>945</v>
      </c>
      <c r="I277" s="128" t="s">
        <v>1218</v>
      </c>
      <c r="J277" s="128" t="s">
        <v>887</v>
      </c>
      <c r="K277" s="128" t="s">
        <v>942</v>
      </c>
      <c r="L277" s="128">
        <v>75013</v>
      </c>
      <c r="M277" s="128"/>
      <c r="N277" s="128"/>
      <c r="O277" s="168"/>
      <c r="P277" s="169">
        <v>230511</v>
      </c>
      <c r="Q277" s="61">
        <v>0</v>
      </c>
      <c r="R277" s="63">
        <f t="shared" si="52"/>
        <v>0</v>
      </c>
      <c r="S277" s="61">
        <v>25690.303912992109</v>
      </c>
      <c r="T277" s="61">
        <v>0</v>
      </c>
      <c r="U277" s="63">
        <f t="shared" si="53"/>
        <v>0</v>
      </c>
      <c r="V277" s="61">
        <v>65627.644823919967</v>
      </c>
      <c r="W277" s="61">
        <v>0</v>
      </c>
      <c r="X277" s="63">
        <f t="shared" si="54"/>
        <v>0</v>
      </c>
      <c r="Y277" s="61">
        <v>1985</v>
      </c>
      <c r="Z277" s="102">
        <v>0</v>
      </c>
      <c r="AA277" s="63">
        <f t="shared" si="55"/>
        <v>0</v>
      </c>
      <c r="AB277" s="61">
        <v>39</v>
      </c>
      <c r="AC277" s="61">
        <v>0</v>
      </c>
      <c r="AD277" s="63">
        <f t="shared" si="56"/>
        <v>0</v>
      </c>
      <c r="AE277" s="61">
        <v>5.8249782279555706</v>
      </c>
      <c r="AF277" s="61">
        <v>0</v>
      </c>
      <c r="AG277" s="63">
        <f t="shared" si="57"/>
        <v>0</v>
      </c>
      <c r="AH277" s="61">
        <v>202.41613944238833</v>
      </c>
      <c r="AI277" s="61">
        <v>11</v>
      </c>
      <c r="AJ277" s="63">
        <f t="shared" si="58"/>
        <v>5.4343492719022141E-2</v>
      </c>
      <c r="AK277" s="61">
        <v>7.3389505910561788</v>
      </c>
      <c r="AL277" s="61">
        <v>0</v>
      </c>
      <c r="AM277" s="63">
        <f t="shared" si="59"/>
        <v>0</v>
      </c>
      <c r="AN277" s="61">
        <v>8.8064128774185804</v>
      </c>
      <c r="AO277" s="61">
        <v>0</v>
      </c>
      <c r="AP277" s="63">
        <f t="shared" si="60"/>
        <v>0</v>
      </c>
      <c r="AQ277" s="61">
        <v>22.402646756798873</v>
      </c>
      <c r="AR277" s="61">
        <v>0</v>
      </c>
      <c r="AS277" s="63">
        <f t="shared" si="61"/>
        <v>0</v>
      </c>
      <c r="AT277" s="61">
        <v>8</v>
      </c>
      <c r="AU277" s="61">
        <v>0</v>
      </c>
      <c r="AV277" s="63">
        <f t="shared" si="62"/>
        <v>0</v>
      </c>
      <c r="AW277" s="61">
        <v>6.7463088828877025</v>
      </c>
      <c r="AX277" s="61">
        <v>0</v>
      </c>
      <c r="AY277" s="63">
        <f t="shared" si="63"/>
        <v>0</v>
      </c>
      <c r="AZ277" s="61">
        <v>19.527321468123905</v>
      </c>
      <c r="BA277" s="61">
        <v>0</v>
      </c>
      <c r="BB277" s="63">
        <f t="shared" si="64"/>
        <v>0</v>
      </c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</row>
    <row r="278" spans="1:87" x14ac:dyDescent="0.25">
      <c r="A278" s="128">
        <v>21568</v>
      </c>
      <c r="B278" s="128">
        <v>4583</v>
      </c>
      <c r="C278" s="128">
        <v>1038280812</v>
      </c>
      <c r="D278" s="128" t="s">
        <v>946</v>
      </c>
      <c r="E278" s="128" t="s">
        <v>546</v>
      </c>
      <c r="F278" s="128" t="s">
        <v>546</v>
      </c>
      <c r="G278" s="128" t="s">
        <v>947</v>
      </c>
      <c r="H278" s="128" t="s">
        <v>947</v>
      </c>
      <c r="I278" s="128" t="s">
        <v>1218</v>
      </c>
      <c r="J278" s="128" t="s">
        <v>887</v>
      </c>
      <c r="K278" s="128" t="s">
        <v>942</v>
      </c>
      <c r="L278" s="128">
        <v>75013</v>
      </c>
      <c r="M278" s="128"/>
      <c r="N278" s="128"/>
      <c r="O278" s="168"/>
      <c r="P278" s="157">
        <v>94356.144499999995</v>
      </c>
      <c r="Q278" s="61">
        <v>129585.30000000002</v>
      </c>
      <c r="R278" s="63">
        <f t="shared" si="52"/>
        <v>1.3733636604874209</v>
      </c>
      <c r="S278" s="61">
        <v>11977.481921898798</v>
      </c>
      <c r="T278" s="61">
        <v>503.48</v>
      </c>
      <c r="U278" s="63">
        <f t="shared" si="53"/>
        <v>4.2035546643528814E-2</v>
      </c>
      <c r="V278" s="61">
        <v>26292.744187522971</v>
      </c>
      <c r="W278" s="61">
        <v>18773.429999999993</v>
      </c>
      <c r="X278" s="63">
        <f t="shared" si="54"/>
        <v>0.71401561838146921</v>
      </c>
      <c r="Y278" s="61">
        <v>764.28725711923198</v>
      </c>
      <c r="Z278" s="102">
        <v>0</v>
      </c>
      <c r="AA278" s="63">
        <f t="shared" si="55"/>
        <v>0</v>
      </c>
      <c r="AB278" s="61">
        <v>15.933</v>
      </c>
      <c r="AC278" s="61">
        <v>3</v>
      </c>
      <c r="AD278" s="63">
        <f t="shared" si="56"/>
        <v>0.18828845791752966</v>
      </c>
      <c r="AE278" s="61">
        <v>2.3731392780559735</v>
      </c>
      <c r="AF278" s="61">
        <v>1</v>
      </c>
      <c r="AG278" s="63">
        <f t="shared" si="57"/>
        <v>0.42138276891155724</v>
      </c>
      <c r="AH278" s="61">
        <v>82.465834587639677</v>
      </c>
      <c r="AI278" s="61">
        <v>48</v>
      </c>
      <c r="AJ278" s="63">
        <f t="shared" si="58"/>
        <v>0.58205922780043551</v>
      </c>
      <c r="AK278" s="61">
        <v>2.9899428333932585</v>
      </c>
      <c r="AL278" s="61">
        <v>0</v>
      </c>
      <c r="AM278" s="63">
        <f t="shared" si="59"/>
        <v>0</v>
      </c>
      <c r="AN278" s="61">
        <v>3.5877978389483105</v>
      </c>
      <c r="AO278" s="61">
        <v>0</v>
      </c>
      <c r="AP278" s="63">
        <f t="shared" si="60"/>
        <v>0</v>
      </c>
      <c r="AQ278" s="61">
        <v>9.1850851702875378</v>
      </c>
      <c r="AR278" s="61">
        <v>4</v>
      </c>
      <c r="AS278" s="63">
        <f t="shared" si="61"/>
        <v>0.4354886128807427</v>
      </c>
      <c r="AT278" s="61">
        <v>3.25</v>
      </c>
      <c r="AU278" s="61">
        <v>13</v>
      </c>
      <c r="AV278" s="63">
        <f t="shared" si="62"/>
        <v>4</v>
      </c>
      <c r="AW278" s="61">
        <v>2.7614981315225116</v>
      </c>
      <c r="AX278" s="61">
        <v>0</v>
      </c>
      <c r="AY278" s="63">
        <f t="shared" si="63"/>
        <v>0</v>
      </c>
      <c r="AZ278" s="61">
        <v>7.9555754129393685</v>
      </c>
      <c r="BA278" s="61">
        <v>4</v>
      </c>
      <c r="BB278" s="63">
        <f t="shared" si="64"/>
        <v>0.50279204110040721</v>
      </c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</row>
    <row r="279" spans="1:87" x14ac:dyDescent="0.25">
      <c r="A279" s="128">
        <v>21529</v>
      </c>
      <c r="B279" s="128">
        <v>4583</v>
      </c>
      <c r="C279" s="128">
        <v>1014647729</v>
      </c>
      <c r="D279" s="128" t="s">
        <v>948</v>
      </c>
      <c r="E279" s="128" t="s">
        <v>546</v>
      </c>
      <c r="F279" s="128" t="s">
        <v>546</v>
      </c>
      <c r="G279" s="128" t="s">
        <v>949</v>
      </c>
      <c r="H279" s="128" t="s">
        <v>949</v>
      </c>
      <c r="I279" s="128" t="s">
        <v>1218</v>
      </c>
      <c r="J279" s="128" t="s">
        <v>887</v>
      </c>
      <c r="K279" s="128" t="s">
        <v>942</v>
      </c>
      <c r="L279" s="128">
        <v>75013</v>
      </c>
      <c r="M279" s="128" t="s">
        <v>1145</v>
      </c>
      <c r="N279" s="128"/>
      <c r="O279" s="168"/>
      <c r="P279" s="157">
        <v>94356.144499999995</v>
      </c>
      <c r="Q279" s="61">
        <v>107000.92</v>
      </c>
      <c r="R279" s="63">
        <f t="shared" si="52"/>
        <v>1.1340111506993591</v>
      </c>
      <c r="S279" s="61">
        <v>9577.4819218988468</v>
      </c>
      <c r="T279" s="61">
        <v>6715.65</v>
      </c>
      <c r="U279" s="63">
        <f t="shared" si="53"/>
        <v>0.70119161328247581</v>
      </c>
      <c r="V279" s="61">
        <v>27492.744187522971</v>
      </c>
      <c r="W279" s="61">
        <v>12925.23</v>
      </c>
      <c r="X279" s="63">
        <f t="shared" si="54"/>
        <v>0.47013240700307596</v>
      </c>
      <c r="Y279" s="61">
        <v>884.28725711923198</v>
      </c>
      <c r="Z279" s="102">
        <v>598</v>
      </c>
      <c r="AA279" s="63">
        <f t="shared" si="55"/>
        <v>0.67625083951579468</v>
      </c>
      <c r="AB279" s="61">
        <v>15.933</v>
      </c>
      <c r="AC279" s="61">
        <v>1</v>
      </c>
      <c r="AD279" s="63">
        <f t="shared" si="56"/>
        <v>6.2762819305843223E-2</v>
      </c>
      <c r="AE279" s="61">
        <v>2.3731392780559735</v>
      </c>
      <c r="AF279" s="61">
        <v>0</v>
      </c>
      <c r="AG279" s="63">
        <f t="shared" si="57"/>
        <v>0</v>
      </c>
      <c r="AH279" s="61">
        <v>82.465834587639677</v>
      </c>
      <c r="AI279" s="61">
        <v>85</v>
      </c>
      <c r="AJ279" s="63">
        <f t="shared" si="58"/>
        <v>1.0307298825632714</v>
      </c>
      <c r="AK279" s="61">
        <v>2.9899428333932585</v>
      </c>
      <c r="AL279" s="61">
        <v>2</v>
      </c>
      <c r="AM279" s="63">
        <f t="shared" si="59"/>
        <v>0.66890911012175391</v>
      </c>
      <c r="AN279" s="61">
        <v>3.5877978389483105</v>
      </c>
      <c r="AO279" s="61">
        <v>2</v>
      </c>
      <c r="AP279" s="63">
        <f t="shared" si="60"/>
        <v>0.55744500938387853</v>
      </c>
      <c r="AQ279" s="61">
        <v>8.9610587027195496</v>
      </c>
      <c r="AR279" s="61">
        <v>2</v>
      </c>
      <c r="AS279" s="63">
        <f t="shared" si="61"/>
        <v>0.22318791410138061</v>
      </c>
      <c r="AT279" s="61">
        <v>3.25</v>
      </c>
      <c r="AU279" s="61">
        <v>0</v>
      </c>
      <c r="AV279" s="63">
        <f t="shared" si="62"/>
        <v>0</v>
      </c>
      <c r="AW279" s="61">
        <v>2.7614981315225116</v>
      </c>
      <c r="AX279" s="61">
        <v>0</v>
      </c>
      <c r="AY279" s="63">
        <f t="shared" si="63"/>
        <v>0</v>
      </c>
      <c r="AZ279" s="61">
        <v>7.9555754129393685</v>
      </c>
      <c r="BA279" s="61">
        <v>1</v>
      </c>
      <c r="BB279" s="63">
        <f t="shared" si="64"/>
        <v>0.1256980102751018</v>
      </c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</row>
    <row r="280" spans="1:87" x14ac:dyDescent="0.25">
      <c r="A280" s="128">
        <v>10921</v>
      </c>
      <c r="B280" s="128">
        <v>4583</v>
      </c>
      <c r="C280" s="128">
        <v>1081085134</v>
      </c>
      <c r="D280" s="128" t="s">
        <v>1204</v>
      </c>
      <c r="E280" s="128" t="s">
        <v>546</v>
      </c>
      <c r="F280" s="128" t="s">
        <v>546</v>
      </c>
      <c r="G280" s="128" t="s">
        <v>1205</v>
      </c>
      <c r="H280" s="128" t="s">
        <v>1205</v>
      </c>
      <c r="I280" s="128" t="s">
        <v>1218</v>
      </c>
      <c r="J280" s="128" t="s">
        <v>887</v>
      </c>
      <c r="K280" s="128" t="s">
        <v>942</v>
      </c>
      <c r="L280" s="128">
        <v>75013</v>
      </c>
      <c r="M280" s="128" t="s">
        <v>1175</v>
      </c>
      <c r="N280" s="128">
        <v>15</v>
      </c>
      <c r="O280" s="168">
        <v>0.5</v>
      </c>
      <c r="P280" s="157">
        <v>41798.247499999998</v>
      </c>
      <c r="Q280" s="61">
        <v>1800</v>
      </c>
      <c r="R280" s="63">
        <f t="shared" si="52"/>
        <v>4.3064006451466658E-2</v>
      </c>
      <c r="S280" s="61">
        <v>4135.2190554085664</v>
      </c>
      <c r="T280" s="61">
        <v>0</v>
      </c>
      <c r="U280" s="63">
        <f t="shared" si="53"/>
        <v>0</v>
      </c>
      <c r="V280" s="61">
        <v>11842.156448874077</v>
      </c>
      <c r="W280" s="61">
        <v>0</v>
      </c>
      <c r="X280" s="63">
        <f t="shared" si="54"/>
        <v>0</v>
      </c>
      <c r="Y280" s="61">
        <v>336.49420778146902</v>
      </c>
      <c r="Z280" s="102">
        <v>0</v>
      </c>
      <c r="AA280" s="63">
        <f t="shared" si="55"/>
        <v>0</v>
      </c>
      <c r="AB280" s="61">
        <v>7.569</v>
      </c>
      <c r="AC280" s="61">
        <v>0</v>
      </c>
      <c r="AD280" s="63">
        <f t="shared" si="56"/>
        <v>0</v>
      </c>
      <c r="AE280" s="61">
        <v>1.0786996718436241</v>
      </c>
      <c r="AF280" s="61">
        <v>0</v>
      </c>
      <c r="AG280" s="63">
        <f t="shared" si="57"/>
        <v>0</v>
      </c>
      <c r="AH280" s="61">
        <v>37.484470267108946</v>
      </c>
      <c r="AI280" s="61">
        <v>1</v>
      </c>
      <c r="AJ280" s="63">
        <f t="shared" si="58"/>
        <v>2.667771460751996E-2</v>
      </c>
      <c r="AK280" s="61">
        <v>1.3590649242696629</v>
      </c>
      <c r="AL280" s="61">
        <v>0</v>
      </c>
      <c r="AM280" s="63">
        <f t="shared" si="59"/>
        <v>0</v>
      </c>
      <c r="AN280" s="61">
        <v>1.6308171995219589</v>
      </c>
      <c r="AO280" s="61">
        <v>0</v>
      </c>
      <c r="AP280" s="63">
        <f t="shared" si="60"/>
        <v>0</v>
      </c>
      <c r="AQ280" s="61">
        <v>4.0324764162237976</v>
      </c>
      <c r="AR280" s="61">
        <v>0</v>
      </c>
      <c r="AS280" s="63">
        <f t="shared" si="61"/>
        <v>0</v>
      </c>
      <c r="AT280" s="61">
        <v>1.5</v>
      </c>
      <c r="AU280" s="61">
        <v>0</v>
      </c>
      <c r="AV280" s="63">
        <f t="shared" si="62"/>
        <v>0</v>
      </c>
      <c r="AW280" s="61">
        <v>1.2232990547018958</v>
      </c>
      <c r="AX280" s="61">
        <v>0</v>
      </c>
      <c r="AY280" s="63">
        <f t="shared" si="63"/>
        <v>0</v>
      </c>
      <c r="AZ280" s="61">
        <v>3.6161706422451672</v>
      </c>
      <c r="BA280" s="61">
        <v>0</v>
      </c>
      <c r="BB280" s="63">
        <f t="shared" si="64"/>
        <v>0</v>
      </c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</row>
    <row r="281" spans="1:87" x14ac:dyDescent="0.25">
      <c r="A281" s="116">
        <v>5697</v>
      </c>
      <c r="B281" s="116">
        <v>21566</v>
      </c>
      <c r="C281" s="116">
        <v>1023949876</v>
      </c>
      <c r="D281" s="116" t="s">
        <v>922</v>
      </c>
      <c r="E281" s="116" t="s">
        <v>544</v>
      </c>
      <c r="F281" s="116" t="s">
        <v>544</v>
      </c>
      <c r="G281" s="116" t="s">
        <v>923</v>
      </c>
      <c r="H281" s="116" t="s">
        <v>923</v>
      </c>
      <c r="I281" s="116" t="s">
        <v>1218</v>
      </c>
      <c r="J281" s="116" t="s">
        <v>887</v>
      </c>
      <c r="K281" s="116" t="s">
        <v>942</v>
      </c>
      <c r="L281" s="116">
        <v>75013</v>
      </c>
      <c r="M281" s="116"/>
      <c r="N281" s="116"/>
      <c r="O281" s="170"/>
      <c r="P281" s="153">
        <v>295068.43349999998</v>
      </c>
      <c r="Q281" s="61">
        <v>2694.78</v>
      </c>
      <c r="R281" s="63">
        <f t="shared" si="52"/>
        <v>9.1327288657598819E-3</v>
      </c>
      <c r="S281" s="61">
        <v>28732.48256032369</v>
      </c>
      <c r="T281" s="61">
        <v>0</v>
      </c>
      <c r="U281" s="63">
        <f t="shared" si="53"/>
        <v>0</v>
      </c>
      <c r="V281" s="61">
        <v>78877.746265748094</v>
      </c>
      <c r="W281" s="61">
        <v>199.13</v>
      </c>
      <c r="X281" s="63">
        <f t="shared" si="54"/>
        <v>2.5245396759829876E-3</v>
      </c>
      <c r="Y281" s="61">
        <v>2293</v>
      </c>
      <c r="Z281" s="102">
        <v>0</v>
      </c>
      <c r="AA281" s="63">
        <f t="shared" si="55"/>
        <v>0</v>
      </c>
      <c r="AB281" s="61">
        <v>44</v>
      </c>
      <c r="AC281" s="61">
        <v>1</v>
      </c>
      <c r="AD281" s="63">
        <f t="shared" si="56"/>
        <v>2.2727272727272728E-2</v>
      </c>
      <c r="AE281" s="61">
        <v>7.1194178341679208</v>
      </c>
      <c r="AF281" s="61">
        <v>0</v>
      </c>
      <c r="AG281" s="63">
        <f t="shared" si="57"/>
        <v>0</v>
      </c>
      <c r="AH281" s="61">
        <v>247.39750376291903</v>
      </c>
      <c r="AI281" s="61">
        <v>27</v>
      </c>
      <c r="AJ281" s="63">
        <f t="shared" si="58"/>
        <v>0.10913610521258167</v>
      </c>
      <c r="AK281" s="61">
        <v>8.9698285001797746</v>
      </c>
      <c r="AL281" s="61">
        <v>0</v>
      </c>
      <c r="AM281" s="63">
        <f t="shared" si="59"/>
        <v>0</v>
      </c>
      <c r="AN281" s="61">
        <v>10.763393516844932</v>
      </c>
      <c r="AO281" s="61">
        <v>0</v>
      </c>
      <c r="AP281" s="63">
        <f t="shared" si="60"/>
        <v>0</v>
      </c>
      <c r="AQ281" s="61">
        <v>27.779281978430603</v>
      </c>
      <c r="AR281" s="61">
        <v>0</v>
      </c>
      <c r="AS281" s="63">
        <f t="shared" si="61"/>
        <v>0</v>
      </c>
      <c r="AT281" s="61">
        <v>12</v>
      </c>
      <c r="AU281" s="61">
        <v>0</v>
      </c>
      <c r="AV281" s="63">
        <f t="shared" si="62"/>
        <v>0</v>
      </c>
      <c r="AW281" s="61">
        <v>8.635695450459238</v>
      </c>
      <c r="AX281" s="61">
        <v>0</v>
      </c>
      <c r="AY281" s="63">
        <f t="shared" si="63"/>
        <v>0</v>
      </c>
      <c r="AZ281" s="61">
        <v>23.866726238818107</v>
      </c>
      <c r="BA281" s="61">
        <v>0</v>
      </c>
      <c r="BB281" s="63">
        <f t="shared" si="64"/>
        <v>0</v>
      </c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</row>
    <row r="282" spans="1:87" x14ac:dyDescent="0.25">
      <c r="A282" s="207">
        <v>1810</v>
      </c>
      <c r="B282" s="207">
        <v>5697</v>
      </c>
      <c r="C282" s="207">
        <v>1031350323</v>
      </c>
      <c r="D282" s="207" t="s">
        <v>950</v>
      </c>
      <c r="E282" s="207" t="s">
        <v>546</v>
      </c>
      <c r="F282" s="207" t="s">
        <v>546</v>
      </c>
      <c r="G282" s="207" t="s">
        <v>951</v>
      </c>
      <c r="H282" s="207" t="s">
        <v>951</v>
      </c>
      <c r="I282" s="207" t="s">
        <v>1218</v>
      </c>
      <c r="J282" s="207" t="s">
        <v>887</v>
      </c>
      <c r="K282" s="207" t="s">
        <v>942</v>
      </c>
      <c r="L282" s="207">
        <v>75013</v>
      </c>
      <c r="M282" s="207" t="s">
        <v>1222</v>
      </c>
      <c r="N282" s="207"/>
      <c r="O282" s="242"/>
      <c r="P282" s="243">
        <v>94356.144499999995</v>
      </c>
      <c r="Q282" s="61">
        <v>94459.180000000022</v>
      </c>
      <c r="R282" s="63">
        <f t="shared" si="52"/>
        <v>1.0010919850588005</v>
      </c>
      <c r="S282" s="61">
        <v>9577.4819218988468</v>
      </c>
      <c r="T282" s="61">
        <v>3216.52</v>
      </c>
      <c r="U282" s="63">
        <f t="shared" si="53"/>
        <v>0.33584192862274675</v>
      </c>
      <c r="V282" s="61">
        <v>26292.744187522971</v>
      </c>
      <c r="W282" s="61">
        <v>30102.2</v>
      </c>
      <c r="X282" s="63">
        <f t="shared" si="54"/>
        <v>1.144886200744492</v>
      </c>
      <c r="Y282" s="61">
        <v>764.28725711923198</v>
      </c>
      <c r="Z282" s="102">
        <v>399</v>
      </c>
      <c r="AA282" s="63">
        <f t="shared" si="55"/>
        <v>0.52205502091441303</v>
      </c>
      <c r="AB282" s="61">
        <v>15.933</v>
      </c>
      <c r="AC282" s="61">
        <v>2</v>
      </c>
      <c r="AD282" s="63">
        <f t="shared" si="56"/>
        <v>0.12552563861168645</v>
      </c>
      <c r="AE282" s="61">
        <v>2.3731392780559735</v>
      </c>
      <c r="AF282" s="61">
        <v>2</v>
      </c>
      <c r="AG282" s="63">
        <f t="shared" si="57"/>
        <v>0.84276553782311447</v>
      </c>
      <c r="AH282" s="61">
        <v>82.465834587639677</v>
      </c>
      <c r="AI282" s="61">
        <v>26</v>
      </c>
      <c r="AJ282" s="63">
        <f t="shared" si="58"/>
        <v>0.31528208172523592</v>
      </c>
      <c r="AK282" s="61">
        <v>2.9899428333932585</v>
      </c>
      <c r="AL282" s="61">
        <v>0</v>
      </c>
      <c r="AM282" s="63">
        <f t="shared" si="59"/>
        <v>0</v>
      </c>
      <c r="AN282" s="61">
        <v>3.5877978389483105</v>
      </c>
      <c r="AO282" s="61">
        <v>0</v>
      </c>
      <c r="AP282" s="63">
        <f t="shared" si="60"/>
        <v>0</v>
      </c>
      <c r="AQ282" s="61">
        <v>8.0649528324475952</v>
      </c>
      <c r="AR282" s="61">
        <v>3</v>
      </c>
      <c r="AS282" s="63">
        <f t="shared" si="61"/>
        <v>0.37197985683563434</v>
      </c>
      <c r="AT282" s="61">
        <v>5.5</v>
      </c>
      <c r="AU282" s="61">
        <v>4</v>
      </c>
      <c r="AV282" s="63">
        <f t="shared" si="62"/>
        <v>0.72727272727272729</v>
      </c>
      <c r="AW282" s="61">
        <v>2.7614981315225116</v>
      </c>
      <c r="AX282" s="61">
        <v>2</v>
      </c>
      <c r="AY282" s="63">
        <f t="shared" si="63"/>
        <v>0.72424456028776285</v>
      </c>
      <c r="AZ282" s="61">
        <v>7.9555754129393685</v>
      </c>
      <c r="BA282" s="61">
        <v>5</v>
      </c>
      <c r="BB282" s="63">
        <f t="shared" si="64"/>
        <v>0.62849005137550895</v>
      </c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</row>
    <row r="283" spans="1:87" x14ac:dyDescent="0.25">
      <c r="A283" s="128">
        <v>4741</v>
      </c>
      <c r="B283" s="128">
        <v>5697</v>
      </c>
      <c r="C283" s="128">
        <v>1055097867</v>
      </c>
      <c r="D283" s="128" t="s">
        <v>924</v>
      </c>
      <c r="E283" s="128" t="s">
        <v>546</v>
      </c>
      <c r="F283" s="128" t="s">
        <v>546</v>
      </c>
      <c r="G283" s="128" t="s">
        <v>925</v>
      </c>
      <c r="H283" s="128" t="s">
        <v>925</v>
      </c>
      <c r="I283" s="128" t="s">
        <v>1218</v>
      </c>
      <c r="J283" s="128" t="s">
        <v>887</v>
      </c>
      <c r="K283" s="128" t="s">
        <v>942</v>
      </c>
      <c r="L283" s="128">
        <v>75013</v>
      </c>
      <c r="M283" s="128" t="s">
        <v>1222</v>
      </c>
      <c r="N283" s="128"/>
      <c r="O283" s="168"/>
      <c r="P283" s="157">
        <v>106356.14449999999</v>
      </c>
      <c r="Q283" s="61">
        <v>106686.16</v>
      </c>
      <c r="R283" s="63">
        <f t="shared" si="52"/>
        <v>1.0031029283879316</v>
      </c>
      <c r="S283" s="61">
        <v>9577.4819218988468</v>
      </c>
      <c r="T283" s="61">
        <v>90898.23</v>
      </c>
      <c r="U283" s="63">
        <f t="shared" si="53"/>
        <v>9.4908276247603052</v>
      </c>
      <c r="V283" s="61">
        <v>26292.744187522971</v>
      </c>
      <c r="W283" s="61">
        <v>31053.07</v>
      </c>
      <c r="X283" s="63">
        <f t="shared" si="54"/>
        <v>1.1810509309536434</v>
      </c>
      <c r="Y283" s="61">
        <v>764.28725711923198</v>
      </c>
      <c r="Z283" s="102">
        <v>0</v>
      </c>
      <c r="AA283" s="63">
        <f t="shared" si="55"/>
        <v>0</v>
      </c>
      <c r="AB283" s="61">
        <v>13.333681458482401</v>
      </c>
      <c r="AC283" s="61">
        <v>0</v>
      </c>
      <c r="AD283" s="63">
        <f t="shared" si="56"/>
        <v>0</v>
      </c>
      <c r="AE283" s="61">
        <v>2.3731392780559735</v>
      </c>
      <c r="AF283" s="61">
        <v>0</v>
      </c>
      <c r="AG283" s="63">
        <f t="shared" si="57"/>
        <v>0</v>
      </c>
      <c r="AH283" s="61">
        <v>82.465834587639677</v>
      </c>
      <c r="AI283" s="61">
        <v>21</v>
      </c>
      <c r="AJ283" s="63">
        <f t="shared" si="58"/>
        <v>0.25465091216269053</v>
      </c>
      <c r="AK283" s="61">
        <v>2.9899428333932585</v>
      </c>
      <c r="AL283" s="61">
        <v>0</v>
      </c>
      <c r="AM283" s="63">
        <f t="shared" si="59"/>
        <v>0</v>
      </c>
      <c r="AN283" s="61">
        <v>3.5877978389483105</v>
      </c>
      <c r="AO283" s="61">
        <v>1</v>
      </c>
      <c r="AP283" s="63">
        <f t="shared" si="60"/>
        <v>0.27872250469193927</v>
      </c>
      <c r="AQ283" s="61">
        <v>10.75327044326346</v>
      </c>
      <c r="AR283" s="61">
        <v>4</v>
      </c>
      <c r="AS283" s="63">
        <f t="shared" si="61"/>
        <v>0.37197985683563434</v>
      </c>
      <c r="AT283" s="61">
        <v>3.25</v>
      </c>
      <c r="AU283" s="61">
        <v>0</v>
      </c>
      <c r="AV283" s="63">
        <f t="shared" si="62"/>
        <v>0</v>
      </c>
      <c r="AW283" s="61">
        <v>3.1126991874142149</v>
      </c>
      <c r="AX283" s="61">
        <v>0</v>
      </c>
      <c r="AY283" s="63">
        <f t="shared" si="63"/>
        <v>0</v>
      </c>
      <c r="AZ283" s="61">
        <v>7.9555754129393685</v>
      </c>
      <c r="BA283" s="61">
        <v>14</v>
      </c>
      <c r="BB283" s="63">
        <f t="shared" si="64"/>
        <v>1.7597721438514251</v>
      </c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</row>
    <row r="284" spans="1:87" x14ac:dyDescent="0.25">
      <c r="A284" s="128">
        <v>11817</v>
      </c>
      <c r="B284" s="128">
        <v>5697</v>
      </c>
      <c r="C284" s="128">
        <v>1086972583</v>
      </c>
      <c r="D284" s="128" t="s">
        <v>952</v>
      </c>
      <c r="E284" s="128" t="s">
        <v>546</v>
      </c>
      <c r="F284" s="128" t="s">
        <v>546</v>
      </c>
      <c r="G284" s="128" t="s">
        <v>953</v>
      </c>
      <c r="H284" s="128" t="s">
        <v>953</v>
      </c>
      <c r="I284" s="128" t="s">
        <v>1218</v>
      </c>
      <c r="J284" s="128" t="s">
        <v>887</v>
      </c>
      <c r="K284" s="128" t="s">
        <v>942</v>
      </c>
      <c r="L284" s="128">
        <v>75013</v>
      </c>
      <c r="M284" s="128"/>
      <c r="N284" s="128"/>
      <c r="O284" s="168"/>
      <c r="P284" s="157">
        <v>94356.144499999995</v>
      </c>
      <c r="Q284" s="61">
        <v>4867.83</v>
      </c>
      <c r="R284" s="63">
        <f t="shared" si="52"/>
        <v>5.1589962962083513E-2</v>
      </c>
      <c r="S284" s="61">
        <v>9577.4819218988468</v>
      </c>
      <c r="T284" s="61">
        <v>0</v>
      </c>
      <c r="U284" s="63">
        <f t="shared" si="53"/>
        <v>0</v>
      </c>
      <c r="V284" s="61">
        <v>26292.744187522971</v>
      </c>
      <c r="W284" s="61">
        <v>1069.1300000000001</v>
      </c>
      <c r="X284" s="63">
        <f t="shared" si="54"/>
        <v>4.0662549042992172E-2</v>
      </c>
      <c r="Y284" s="61">
        <v>764.28725711923198</v>
      </c>
      <c r="Z284" s="102">
        <v>0</v>
      </c>
      <c r="AA284" s="63">
        <f t="shared" si="55"/>
        <v>0</v>
      </c>
      <c r="AB284" s="61">
        <v>15.933</v>
      </c>
      <c r="AC284" s="61">
        <v>1</v>
      </c>
      <c r="AD284" s="63">
        <f t="shared" si="56"/>
        <v>6.2762819305843223E-2</v>
      </c>
      <c r="AE284" s="61">
        <v>2.3731392780559735</v>
      </c>
      <c r="AF284" s="61">
        <v>1</v>
      </c>
      <c r="AG284" s="63">
        <f t="shared" si="57"/>
        <v>0.42138276891155724</v>
      </c>
      <c r="AH284" s="61">
        <v>82.465834587639677</v>
      </c>
      <c r="AI284" s="61">
        <v>8</v>
      </c>
      <c r="AJ284" s="63">
        <f t="shared" si="58"/>
        <v>9.7009871300072589E-2</v>
      </c>
      <c r="AK284" s="61">
        <v>2.9899428333932585</v>
      </c>
      <c r="AL284" s="61">
        <v>0</v>
      </c>
      <c r="AM284" s="63">
        <f t="shared" si="59"/>
        <v>0</v>
      </c>
      <c r="AN284" s="61">
        <v>3.5877978389483105</v>
      </c>
      <c r="AO284" s="61">
        <v>0</v>
      </c>
      <c r="AP284" s="63">
        <f t="shared" si="60"/>
        <v>0</v>
      </c>
      <c r="AQ284" s="61">
        <v>8.9610587027195496</v>
      </c>
      <c r="AR284" s="61">
        <v>1</v>
      </c>
      <c r="AS284" s="63">
        <f t="shared" si="61"/>
        <v>0.11159395705069031</v>
      </c>
      <c r="AT284" s="61">
        <v>3.25</v>
      </c>
      <c r="AU284" s="61">
        <v>0</v>
      </c>
      <c r="AV284" s="63">
        <f t="shared" si="62"/>
        <v>0</v>
      </c>
      <c r="AW284" s="61">
        <v>2.7614981315225116</v>
      </c>
      <c r="AX284" s="61">
        <v>0</v>
      </c>
      <c r="AY284" s="63">
        <f t="shared" si="63"/>
        <v>0</v>
      </c>
      <c r="AZ284" s="61">
        <v>7.9555754129393685</v>
      </c>
      <c r="BA284" s="61">
        <v>0</v>
      </c>
      <c r="BB284" s="63">
        <f t="shared" si="64"/>
        <v>0</v>
      </c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</row>
    <row r="285" spans="1:87" x14ac:dyDescent="0.25">
      <c r="A285" s="128">
        <v>10210</v>
      </c>
      <c r="B285" s="128">
        <v>21414</v>
      </c>
      <c r="C285" s="128">
        <v>1073706283</v>
      </c>
      <c r="D285" s="128" t="s">
        <v>954</v>
      </c>
      <c r="E285" s="128" t="s">
        <v>541</v>
      </c>
      <c r="F285" s="128" t="s">
        <v>541</v>
      </c>
      <c r="G285" s="128" t="s">
        <v>955</v>
      </c>
      <c r="H285" s="128" t="s">
        <v>955</v>
      </c>
      <c r="I285" s="128" t="s">
        <v>1218</v>
      </c>
      <c r="J285" s="128" t="s">
        <v>887</v>
      </c>
      <c r="K285" s="128" t="s">
        <v>956</v>
      </c>
      <c r="L285" s="128">
        <v>75014</v>
      </c>
      <c r="M285" s="128"/>
      <c r="N285" s="128"/>
      <c r="O285" s="168"/>
      <c r="P285" s="169">
        <v>350385.98000000004</v>
      </c>
      <c r="Q285" s="61">
        <v>4346.96</v>
      </c>
      <c r="R285" s="63">
        <f t="shared" si="52"/>
        <v>1.2406204152346506E-2</v>
      </c>
      <c r="S285" s="61">
        <v>48980.365798412531</v>
      </c>
      <c r="T285" s="61">
        <v>0</v>
      </c>
      <c r="U285" s="63">
        <f t="shared" si="53"/>
        <v>0</v>
      </c>
      <c r="V285" s="61">
        <v>134761.51222122394</v>
      </c>
      <c r="W285" s="61">
        <v>68.7</v>
      </c>
      <c r="X285" s="63">
        <f t="shared" si="54"/>
        <v>5.0978947080396642E-4</v>
      </c>
      <c r="Y285" s="61">
        <v>3305.6735630645298</v>
      </c>
      <c r="Z285" s="102">
        <v>0</v>
      </c>
      <c r="AA285" s="63">
        <f t="shared" si="55"/>
        <v>0</v>
      </c>
      <c r="AB285" s="61">
        <v>78.101483482997608</v>
      </c>
      <c r="AC285" s="61">
        <v>0</v>
      </c>
      <c r="AD285" s="63">
        <f t="shared" si="56"/>
        <v>0</v>
      </c>
      <c r="AE285" s="61">
        <v>12.087488489296227</v>
      </c>
      <c r="AF285" s="61">
        <v>0</v>
      </c>
      <c r="AG285" s="63">
        <f t="shared" si="57"/>
        <v>0</v>
      </c>
      <c r="AH285" s="61">
        <v>447.11645005395121</v>
      </c>
      <c r="AI285" s="61">
        <v>0</v>
      </c>
      <c r="AJ285" s="63">
        <f t="shared" si="58"/>
        <v>0</v>
      </c>
      <c r="AK285" s="61">
        <v>15.229152336941905</v>
      </c>
      <c r="AL285" s="61">
        <v>0</v>
      </c>
      <c r="AM285" s="63">
        <f t="shared" si="59"/>
        <v>0</v>
      </c>
      <c r="AN285" s="61">
        <v>18.274302516173982</v>
      </c>
      <c r="AO285" s="61">
        <v>0</v>
      </c>
      <c r="AP285" s="63">
        <f t="shared" si="60"/>
        <v>0</v>
      </c>
      <c r="AQ285" s="61">
        <v>47.221194939850939</v>
      </c>
      <c r="AR285" s="61">
        <v>0</v>
      </c>
      <c r="AS285" s="63">
        <f t="shared" si="61"/>
        <v>0</v>
      </c>
      <c r="AT285" s="61">
        <v>11.48912064159493</v>
      </c>
      <c r="AU285" s="61">
        <v>0</v>
      </c>
      <c r="AV285" s="63">
        <f t="shared" si="62"/>
        <v>0</v>
      </c>
      <c r="AW285" s="61">
        <v>10.254660512137439</v>
      </c>
      <c r="AX285" s="61">
        <v>0</v>
      </c>
      <c r="AY285" s="63">
        <f t="shared" si="63"/>
        <v>0</v>
      </c>
      <c r="AZ285" s="61">
        <v>40.521400121280436</v>
      </c>
      <c r="BA285" s="61">
        <v>0</v>
      </c>
      <c r="BB285" s="63">
        <f t="shared" si="64"/>
        <v>0</v>
      </c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</row>
    <row r="286" spans="1:87" x14ac:dyDescent="0.25">
      <c r="A286" s="128">
        <v>4762</v>
      </c>
      <c r="B286" s="128">
        <v>10210</v>
      </c>
      <c r="C286" s="128">
        <v>1067351799</v>
      </c>
      <c r="D286" s="128" t="s">
        <v>957</v>
      </c>
      <c r="E286" s="128" t="s">
        <v>546</v>
      </c>
      <c r="F286" s="128" t="s">
        <v>546</v>
      </c>
      <c r="G286" s="128" t="s">
        <v>958</v>
      </c>
      <c r="H286" s="128" t="s">
        <v>959</v>
      </c>
      <c r="I286" s="128" t="s">
        <v>1218</v>
      </c>
      <c r="J286" s="128" t="s">
        <v>887</v>
      </c>
      <c r="K286" s="128" t="s">
        <v>960</v>
      </c>
      <c r="L286" s="128">
        <v>75014</v>
      </c>
      <c r="M286" s="128" t="s">
        <v>1215</v>
      </c>
      <c r="N286" s="128"/>
      <c r="O286" s="168"/>
      <c r="P286" s="157">
        <v>76336.845499999996</v>
      </c>
      <c r="Q286" s="61">
        <v>12320.01</v>
      </c>
      <c r="R286" s="63">
        <f t="shared" si="52"/>
        <v>0.16139008521121037</v>
      </c>
      <c r="S286" s="61">
        <v>11020.58230464282</v>
      </c>
      <c r="T286" s="61">
        <v>720.87</v>
      </c>
      <c r="U286" s="63">
        <f t="shared" si="53"/>
        <v>6.5411244167770277E-2</v>
      </c>
      <c r="V286" s="61">
        <v>30321.340249775389</v>
      </c>
      <c r="W286" s="61">
        <v>3006.08</v>
      </c>
      <c r="X286" s="63">
        <f t="shared" si="54"/>
        <v>9.9140736367096041E-2</v>
      </c>
      <c r="Y286" s="61">
        <v>743.77655168951924</v>
      </c>
      <c r="Z286" s="102">
        <v>0</v>
      </c>
      <c r="AA286" s="63">
        <f t="shared" si="55"/>
        <v>0</v>
      </c>
      <c r="AB286" s="61">
        <v>17.572833783674461</v>
      </c>
      <c r="AC286" s="61">
        <v>3</v>
      </c>
      <c r="AD286" s="63">
        <f t="shared" si="56"/>
        <v>0.17071805475034221</v>
      </c>
      <c r="AE286" s="61">
        <v>2.7196849100916509</v>
      </c>
      <c r="AF286" s="61">
        <v>0</v>
      </c>
      <c r="AG286" s="63">
        <f t="shared" si="57"/>
        <v>0</v>
      </c>
      <c r="AH286" s="61">
        <v>100.60120126213903</v>
      </c>
      <c r="AI286" s="61">
        <v>28</v>
      </c>
      <c r="AJ286" s="63">
        <f t="shared" si="58"/>
        <v>0.27832669638844282</v>
      </c>
      <c r="AK286" s="61">
        <v>3.4265592758119285</v>
      </c>
      <c r="AL286" s="61">
        <v>0</v>
      </c>
      <c r="AM286" s="63">
        <f t="shared" si="59"/>
        <v>0</v>
      </c>
      <c r="AN286" s="61">
        <v>4.1117180661391455</v>
      </c>
      <c r="AO286" s="61">
        <v>2</v>
      </c>
      <c r="AP286" s="63">
        <f t="shared" si="60"/>
        <v>0.48641467333823701</v>
      </c>
      <c r="AQ286" s="61">
        <v>9.8571645729915041</v>
      </c>
      <c r="AR286" s="61">
        <v>2</v>
      </c>
      <c r="AS286" s="63">
        <f t="shared" si="61"/>
        <v>0.20289810372852785</v>
      </c>
      <c r="AT286" s="61">
        <v>2.5850521443588592</v>
      </c>
      <c r="AU286" s="61">
        <v>0</v>
      </c>
      <c r="AV286" s="63">
        <f t="shared" si="62"/>
        <v>0</v>
      </c>
      <c r="AW286" s="61">
        <v>2.2341317285868185</v>
      </c>
      <c r="AX286" s="61">
        <v>0</v>
      </c>
      <c r="AY286" s="63">
        <f t="shared" si="63"/>
        <v>0</v>
      </c>
      <c r="AZ286" s="61">
        <v>9.1173150272880985</v>
      </c>
      <c r="BA286" s="61">
        <v>0</v>
      </c>
      <c r="BB286" s="63">
        <f t="shared" si="64"/>
        <v>0</v>
      </c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</row>
    <row r="287" spans="1:87" x14ac:dyDescent="0.25">
      <c r="A287" s="128">
        <v>5973</v>
      </c>
      <c r="B287" s="128">
        <v>10210</v>
      </c>
      <c r="C287" s="128">
        <v>1061974265</v>
      </c>
      <c r="D287" s="128" t="s">
        <v>961</v>
      </c>
      <c r="E287" s="128" t="s">
        <v>546</v>
      </c>
      <c r="F287" s="128" t="s">
        <v>546</v>
      </c>
      <c r="G287" s="128" t="s">
        <v>962</v>
      </c>
      <c r="H287" s="128" t="s">
        <v>963</v>
      </c>
      <c r="I287" s="128" t="s">
        <v>1218</v>
      </c>
      <c r="J287" s="128" t="s">
        <v>887</v>
      </c>
      <c r="K287" s="128" t="s">
        <v>960</v>
      </c>
      <c r="L287" s="128">
        <v>75014</v>
      </c>
      <c r="M287" s="128" t="s">
        <v>1215</v>
      </c>
      <c r="N287" s="128"/>
      <c r="O287" s="168"/>
      <c r="P287" s="157">
        <v>76336.845499999996</v>
      </c>
      <c r="Q287" s="61">
        <v>4867.83</v>
      </c>
      <c r="R287" s="63">
        <f t="shared" si="52"/>
        <v>6.3767764676626579E-2</v>
      </c>
      <c r="S287" s="61">
        <v>11020.58230464282</v>
      </c>
      <c r="T287" s="61">
        <v>0</v>
      </c>
      <c r="U287" s="63">
        <f t="shared" si="53"/>
        <v>0</v>
      </c>
      <c r="V287" s="61">
        <v>30321.340249775389</v>
      </c>
      <c r="W287" s="61">
        <v>0</v>
      </c>
      <c r="X287" s="63">
        <f t="shared" si="54"/>
        <v>0</v>
      </c>
      <c r="Y287" s="61">
        <v>743.77655168951924</v>
      </c>
      <c r="Z287" s="102">
        <v>0</v>
      </c>
      <c r="AA287" s="63">
        <f t="shared" si="55"/>
        <v>0</v>
      </c>
      <c r="AB287" s="61">
        <v>17.572833783674461</v>
      </c>
      <c r="AC287" s="61">
        <v>2</v>
      </c>
      <c r="AD287" s="63">
        <f t="shared" si="56"/>
        <v>0.11381203650022814</v>
      </c>
      <c r="AE287" s="61">
        <v>2.7196849100916509</v>
      </c>
      <c r="AF287" s="61">
        <v>0</v>
      </c>
      <c r="AG287" s="63">
        <f t="shared" si="57"/>
        <v>0</v>
      </c>
      <c r="AH287" s="61">
        <v>100.60120126213903</v>
      </c>
      <c r="AI287" s="61">
        <v>7</v>
      </c>
      <c r="AJ287" s="63">
        <f t="shared" si="58"/>
        <v>6.9581674097110705E-2</v>
      </c>
      <c r="AK287" s="61">
        <v>3.4265592758119285</v>
      </c>
      <c r="AL287" s="61">
        <v>0</v>
      </c>
      <c r="AM287" s="63">
        <f t="shared" si="59"/>
        <v>0</v>
      </c>
      <c r="AN287" s="61">
        <v>4.1117180661391455</v>
      </c>
      <c r="AO287" s="61">
        <v>0</v>
      </c>
      <c r="AP287" s="63">
        <f t="shared" si="60"/>
        <v>0</v>
      </c>
      <c r="AQ287" s="61">
        <v>9.8571645729915041</v>
      </c>
      <c r="AR287" s="61">
        <v>0</v>
      </c>
      <c r="AS287" s="63">
        <f t="shared" si="61"/>
        <v>0</v>
      </c>
      <c r="AT287" s="61">
        <v>2.5850521443588592</v>
      </c>
      <c r="AU287" s="61">
        <v>0</v>
      </c>
      <c r="AV287" s="63">
        <f t="shared" si="62"/>
        <v>0</v>
      </c>
      <c r="AW287" s="61">
        <v>2.2341317285868185</v>
      </c>
      <c r="AX287" s="61">
        <v>0</v>
      </c>
      <c r="AY287" s="63">
        <f t="shared" si="63"/>
        <v>0</v>
      </c>
      <c r="AZ287" s="61">
        <v>9.1173150272880985</v>
      </c>
      <c r="BA287" s="61">
        <v>0</v>
      </c>
      <c r="BB287" s="63">
        <f t="shared" si="64"/>
        <v>0</v>
      </c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</row>
    <row r="288" spans="1:87" x14ac:dyDescent="0.25">
      <c r="A288" s="128">
        <v>8985</v>
      </c>
      <c r="B288" s="128">
        <v>10210</v>
      </c>
      <c r="C288" s="128">
        <v>1077812822</v>
      </c>
      <c r="D288" s="128" t="s">
        <v>964</v>
      </c>
      <c r="E288" s="128" t="s">
        <v>546</v>
      </c>
      <c r="F288" s="128" t="s">
        <v>546</v>
      </c>
      <c r="G288" s="128" t="s">
        <v>965</v>
      </c>
      <c r="H288" s="128" t="s">
        <v>965</v>
      </c>
      <c r="I288" s="128" t="s">
        <v>1218</v>
      </c>
      <c r="J288" s="128" t="s">
        <v>887</v>
      </c>
      <c r="K288" s="128" t="s">
        <v>960</v>
      </c>
      <c r="L288" s="128">
        <v>75014</v>
      </c>
      <c r="M288" s="128"/>
      <c r="N288" s="128"/>
      <c r="O288" s="168"/>
      <c r="P288" s="157">
        <v>88836.845499999996</v>
      </c>
      <c r="Q288" s="61">
        <v>128848.74000000002</v>
      </c>
      <c r="R288" s="63">
        <f t="shared" si="52"/>
        <v>1.4503975155218678</v>
      </c>
      <c r="S288" s="61">
        <v>11020.58230464282</v>
      </c>
      <c r="T288" s="61">
        <v>2891.27</v>
      </c>
      <c r="U288" s="63">
        <f t="shared" si="53"/>
        <v>0.262351835871862</v>
      </c>
      <c r="V288" s="61">
        <v>30321.340249775389</v>
      </c>
      <c r="W288" s="61">
        <v>6828.71</v>
      </c>
      <c r="X288" s="63">
        <f t="shared" si="54"/>
        <v>0.22521135094120998</v>
      </c>
      <c r="Y288" s="61">
        <v>743.77655168951924</v>
      </c>
      <c r="Z288" s="102">
        <v>0</v>
      </c>
      <c r="AA288" s="63">
        <f t="shared" si="55"/>
        <v>0</v>
      </c>
      <c r="AB288" s="61">
        <v>17.572833783674461</v>
      </c>
      <c r="AC288" s="61">
        <v>10</v>
      </c>
      <c r="AD288" s="63">
        <f t="shared" si="56"/>
        <v>0.56906018250114065</v>
      </c>
      <c r="AE288" s="61">
        <v>2.7196849100916509</v>
      </c>
      <c r="AF288" s="61">
        <v>0</v>
      </c>
      <c r="AG288" s="63">
        <f t="shared" si="57"/>
        <v>0</v>
      </c>
      <c r="AH288" s="61">
        <v>100.60120126213903</v>
      </c>
      <c r="AI288" s="61">
        <v>145</v>
      </c>
      <c r="AJ288" s="63">
        <f t="shared" si="58"/>
        <v>1.4413346777258647</v>
      </c>
      <c r="AK288" s="61">
        <v>3.4265592758119285</v>
      </c>
      <c r="AL288" s="61">
        <v>1</v>
      </c>
      <c r="AM288" s="63">
        <f t="shared" si="59"/>
        <v>0.29183793990052848</v>
      </c>
      <c r="AN288" s="61">
        <v>4.1117180661391455</v>
      </c>
      <c r="AO288" s="61">
        <v>1</v>
      </c>
      <c r="AP288" s="63">
        <f t="shared" si="60"/>
        <v>0.24320733666911851</v>
      </c>
      <c r="AQ288" s="61">
        <v>9.8571645729915041</v>
      </c>
      <c r="AR288" s="61">
        <v>2</v>
      </c>
      <c r="AS288" s="63">
        <f t="shared" si="61"/>
        <v>0.20289810372852785</v>
      </c>
      <c r="AT288" s="61">
        <v>2.5850521443588592</v>
      </c>
      <c r="AU288" s="61">
        <v>0</v>
      </c>
      <c r="AV288" s="63">
        <f t="shared" si="62"/>
        <v>0</v>
      </c>
      <c r="AW288" s="61">
        <v>2.5999661618073429</v>
      </c>
      <c r="AX288" s="61">
        <v>0</v>
      </c>
      <c r="AY288" s="63">
        <f t="shared" si="63"/>
        <v>0</v>
      </c>
      <c r="AZ288" s="61">
        <v>9.1173150272880985</v>
      </c>
      <c r="BA288" s="61">
        <v>0</v>
      </c>
      <c r="BB288" s="63">
        <f t="shared" si="64"/>
        <v>0</v>
      </c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</row>
    <row r="289" spans="1:87" x14ac:dyDescent="0.25">
      <c r="A289" s="128">
        <v>3693</v>
      </c>
      <c r="B289" s="128">
        <v>10210</v>
      </c>
      <c r="C289" s="128">
        <v>1039370539</v>
      </c>
      <c r="D289" s="128" t="s">
        <v>966</v>
      </c>
      <c r="E289" s="128" t="s">
        <v>546</v>
      </c>
      <c r="F289" s="128" t="s">
        <v>546</v>
      </c>
      <c r="G289" s="128" t="s">
        <v>967</v>
      </c>
      <c r="H289" s="128" t="s">
        <v>967</v>
      </c>
      <c r="I289" s="128" t="s">
        <v>1218</v>
      </c>
      <c r="J289" s="128" t="s">
        <v>887</v>
      </c>
      <c r="K289" s="128" t="s">
        <v>960</v>
      </c>
      <c r="L289" s="128">
        <v>75014</v>
      </c>
      <c r="M289" s="128" t="s">
        <v>1148</v>
      </c>
      <c r="N289" s="128"/>
      <c r="O289" s="168">
        <v>0.5</v>
      </c>
      <c r="P289" s="157">
        <v>32538.598000000002</v>
      </c>
      <c r="Q289" s="61">
        <v>32543.51</v>
      </c>
      <c r="R289" s="63">
        <f t="shared" si="52"/>
        <v>1.000150959177774</v>
      </c>
      <c r="S289" s="61">
        <v>4898.0365798412531</v>
      </c>
      <c r="T289" s="61">
        <v>5912.17</v>
      </c>
      <c r="U289" s="63">
        <f t="shared" si="53"/>
        <v>1.2070489682197545</v>
      </c>
      <c r="V289" s="61">
        <v>13476.151222122393</v>
      </c>
      <c r="W289" s="61">
        <v>5361.3</v>
      </c>
      <c r="X289" s="63">
        <f t="shared" si="54"/>
        <v>0.39783614116758448</v>
      </c>
      <c r="Y289" s="61">
        <v>330.56735630645301</v>
      </c>
      <c r="Z289" s="102">
        <v>0</v>
      </c>
      <c r="AA289" s="63">
        <f t="shared" si="55"/>
        <v>0</v>
      </c>
      <c r="AB289" s="61">
        <v>7.8101483482997605</v>
      </c>
      <c r="AC289" s="61">
        <v>3</v>
      </c>
      <c r="AD289" s="63">
        <f t="shared" si="56"/>
        <v>0.38411562318826997</v>
      </c>
      <c r="AE289" s="61">
        <v>1.2087488489296225</v>
      </c>
      <c r="AF289" s="61">
        <v>0</v>
      </c>
      <c r="AG289" s="63">
        <f t="shared" si="57"/>
        <v>0</v>
      </c>
      <c r="AH289" s="61">
        <v>44.711645005395127</v>
      </c>
      <c r="AI289" s="61">
        <v>15</v>
      </c>
      <c r="AJ289" s="63">
        <f t="shared" si="58"/>
        <v>0.33548307153964085</v>
      </c>
      <c r="AK289" s="61">
        <v>1.5229152336941905</v>
      </c>
      <c r="AL289" s="61">
        <v>0</v>
      </c>
      <c r="AM289" s="63">
        <f t="shared" si="59"/>
        <v>0</v>
      </c>
      <c r="AN289" s="61">
        <v>1.8274302516173979</v>
      </c>
      <c r="AO289" s="61">
        <v>0</v>
      </c>
      <c r="AP289" s="63">
        <f t="shared" si="60"/>
        <v>0</v>
      </c>
      <c r="AQ289" s="61">
        <v>5.3766352216317301</v>
      </c>
      <c r="AR289" s="61">
        <v>1</v>
      </c>
      <c r="AS289" s="63">
        <f t="shared" si="61"/>
        <v>0.18598992841781717</v>
      </c>
      <c r="AT289" s="61">
        <v>1.148912064159493</v>
      </c>
      <c r="AU289" s="61">
        <v>1</v>
      </c>
      <c r="AV289" s="63">
        <f t="shared" si="62"/>
        <v>0.87038863216356577</v>
      </c>
      <c r="AW289" s="61">
        <v>0.95229916456963903</v>
      </c>
      <c r="AX289" s="61">
        <v>0</v>
      </c>
      <c r="AY289" s="63">
        <f t="shared" si="63"/>
        <v>0</v>
      </c>
      <c r="AZ289" s="61">
        <v>4.052140012128044</v>
      </c>
      <c r="BA289" s="61">
        <v>5</v>
      </c>
      <c r="BB289" s="63">
        <f t="shared" si="64"/>
        <v>1.2339159024700563</v>
      </c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</row>
    <row r="290" spans="1:87" x14ac:dyDescent="0.25">
      <c r="A290" s="213">
        <v>27221</v>
      </c>
      <c r="B290" s="213">
        <v>10210</v>
      </c>
      <c r="C290" s="213">
        <v>1076802857</v>
      </c>
      <c r="D290" s="213" t="s">
        <v>968</v>
      </c>
      <c r="E290" s="213" t="s">
        <v>546</v>
      </c>
      <c r="F290" s="213" t="s">
        <v>546</v>
      </c>
      <c r="G290" s="213" t="s">
        <v>969</v>
      </c>
      <c r="H290" s="213" t="s">
        <v>969</v>
      </c>
      <c r="I290" s="213" t="s">
        <v>1218</v>
      </c>
      <c r="J290" s="213" t="s">
        <v>887</v>
      </c>
      <c r="K290" s="213" t="s">
        <v>960</v>
      </c>
      <c r="L290" s="213">
        <v>75014</v>
      </c>
      <c r="M290" s="213" t="s">
        <v>1222</v>
      </c>
      <c r="N290" s="213"/>
      <c r="O290" s="246"/>
      <c r="P290" s="232">
        <v>76336.845499999996</v>
      </c>
      <c r="Q290" s="61">
        <v>59247.860000000008</v>
      </c>
      <c r="R290" s="63">
        <f t="shared" si="52"/>
        <v>0.77613712764696319</v>
      </c>
      <c r="S290" s="61">
        <v>11020.58230464282</v>
      </c>
      <c r="T290" s="61">
        <v>0</v>
      </c>
      <c r="U290" s="63">
        <f t="shared" si="53"/>
        <v>0</v>
      </c>
      <c r="V290" s="61">
        <v>30321.340249775389</v>
      </c>
      <c r="W290" s="61">
        <v>16464.78</v>
      </c>
      <c r="X290" s="63">
        <f t="shared" si="54"/>
        <v>0.54300963824057757</v>
      </c>
      <c r="Y290" s="61">
        <v>743.77655168951924</v>
      </c>
      <c r="Z290" s="102">
        <v>0</v>
      </c>
      <c r="AA290" s="63">
        <f t="shared" si="55"/>
        <v>0</v>
      </c>
      <c r="AB290" s="61">
        <v>17.572833783674461</v>
      </c>
      <c r="AC290" s="61">
        <v>8</v>
      </c>
      <c r="AD290" s="63">
        <f t="shared" si="56"/>
        <v>0.45524814600091257</v>
      </c>
      <c r="AE290" s="61">
        <v>2.7196849100916509</v>
      </c>
      <c r="AF290" s="61">
        <v>1</v>
      </c>
      <c r="AG290" s="63">
        <f t="shared" si="57"/>
        <v>0.367689652683443</v>
      </c>
      <c r="AH290" s="61">
        <v>100.60120126213903</v>
      </c>
      <c r="AI290" s="61">
        <v>45</v>
      </c>
      <c r="AJ290" s="63">
        <f t="shared" si="58"/>
        <v>0.44731076205285453</v>
      </c>
      <c r="AK290" s="61">
        <v>3.4265592758119285</v>
      </c>
      <c r="AL290" s="61">
        <v>0</v>
      </c>
      <c r="AM290" s="63">
        <f t="shared" si="59"/>
        <v>0</v>
      </c>
      <c r="AN290" s="61">
        <v>4.1117180661391455</v>
      </c>
      <c r="AO290" s="61">
        <v>0</v>
      </c>
      <c r="AP290" s="63">
        <f t="shared" si="60"/>
        <v>0</v>
      </c>
      <c r="AQ290" s="61">
        <v>12.545482183807369</v>
      </c>
      <c r="AR290" s="61">
        <v>11</v>
      </c>
      <c r="AS290" s="63">
        <f t="shared" si="61"/>
        <v>0.87680966254113812</v>
      </c>
      <c r="AT290" s="61">
        <v>2.5850521443588592</v>
      </c>
      <c r="AU290" s="61">
        <v>0</v>
      </c>
      <c r="AV290" s="63">
        <f t="shared" si="62"/>
        <v>0</v>
      </c>
      <c r="AW290" s="61">
        <v>2.2341317285868185</v>
      </c>
      <c r="AX290" s="61">
        <v>0</v>
      </c>
      <c r="AY290" s="63">
        <f t="shared" si="63"/>
        <v>0</v>
      </c>
      <c r="AZ290" s="61">
        <v>9.1173150272880985</v>
      </c>
      <c r="BA290" s="61">
        <v>2</v>
      </c>
      <c r="BB290" s="63">
        <f t="shared" si="64"/>
        <v>0.21936282710578778</v>
      </c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</row>
    <row r="291" spans="1:87" x14ac:dyDescent="0.25">
      <c r="A291" s="123">
        <v>20560</v>
      </c>
      <c r="B291" s="123">
        <v>21414</v>
      </c>
      <c r="C291" s="123">
        <v>1125821742</v>
      </c>
      <c r="D291" s="123" t="s">
        <v>1130</v>
      </c>
      <c r="E291" s="123" t="s">
        <v>541</v>
      </c>
      <c r="F291" s="123" t="s">
        <v>541</v>
      </c>
      <c r="G291" s="123" t="s">
        <v>1131</v>
      </c>
      <c r="H291" s="123" t="s">
        <v>1131</v>
      </c>
      <c r="I291" s="123" t="s">
        <v>1218</v>
      </c>
      <c r="J291" s="123" t="s">
        <v>1086</v>
      </c>
      <c r="K291" s="123" t="s">
        <v>1087</v>
      </c>
      <c r="L291" s="123">
        <v>75003</v>
      </c>
      <c r="M291" s="123"/>
      <c r="N291" s="123"/>
      <c r="O291" s="166"/>
      <c r="P291" s="167">
        <v>360108.55160806503</v>
      </c>
      <c r="Q291" s="61">
        <v>0</v>
      </c>
      <c r="R291" s="63">
        <f t="shared" si="52"/>
        <v>0</v>
      </c>
      <c r="S291" s="61">
        <v>53142.120358948639</v>
      </c>
      <c r="T291" s="61">
        <v>0</v>
      </c>
      <c r="U291" s="63">
        <f t="shared" si="53"/>
        <v>0</v>
      </c>
      <c r="V291" s="61">
        <v>160641.96190820131</v>
      </c>
      <c r="W291" s="61">
        <v>0</v>
      </c>
      <c r="X291" s="63">
        <f t="shared" si="54"/>
        <v>0</v>
      </c>
      <c r="Y291" s="61">
        <v>4625.3261184368166</v>
      </c>
      <c r="Z291" s="102">
        <v>0</v>
      </c>
      <c r="AA291" s="63">
        <f t="shared" si="55"/>
        <v>0</v>
      </c>
      <c r="AB291" s="61">
        <v>60</v>
      </c>
      <c r="AC291" s="61">
        <v>0</v>
      </c>
      <c r="AD291" s="63">
        <f t="shared" si="56"/>
        <v>0</v>
      </c>
      <c r="AE291" s="61">
        <v>11.086516921542293</v>
      </c>
      <c r="AF291" s="61">
        <v>0</v>
      </c>
      <c r="AG291" s="63">
        <f t="shared" si="57"/>
        <v>0</v>
      </c>
      <c r="AH291" s="61">
        <v>381.05731012691655</v>
      </c>
      <c r="AI291" s="61">
        <v>0</v>
      </c>
      <c r="AJ291" s="63">
        <f t="shared" si="58"/>
        <v>0</v>
      </c>
      <c r="AK291" s="61">
        <v>13.859980364671637</v>
      </c>
      <c r="AL291" s="61">
        <v>0</v>
      </c>
      <c r="AM291" s="63">
        <f t="shared" si="59"/>
        <v>0</v>
      </c>
      <c r="AN291" s="61">
        <v>18.767785176376805</v>
      </c>
      <c r="AO291" s="61">
        <v>0</v>
      </c>
      <c r="AP291" s="63">
        <f t="shared" si="60"/>
        <v>0</v>
      </c>
      <c r="AQ291" s="61">
        <v>31.363705459518425</v>
      </c>
      <c r="AR291" s="61">
        <v>0</v>
      </c>
      <c r="AS291" s="63">
        <f t="shared" si="61"/>
        <v>0</v>
      </c>
      <c r="AT291" s="61">
        <v>10</v>
      </c>
      <c r="AU291" s="61">
        <v>0</v>
      </c>
      <c r="AV291" s="63">
        <f t="shared" si="62"/>
        <v>0</v>
      </c>
      <c r="AW291" s="61">
        <v>10.539208630032032</v>
      </c>
      <c r="AX291" s="61">
        <v>0</v>
      </c>
      <c r="AY291" s="63">
        <f t="shared" si="63"/>
        <v>0</v>
      </c>
      <c r="AZ291" s="61">
        <v>41.316737542790747</v>
      </c>
      <c r="BA291" s="61">
        <v>0</v>
      </c>
      <c r="BB291" s="63">
        <f t="shared" si="64"/>
        <v>0</v>
      </c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</row>
    <row r="292" spans="1:87" x14ac:dyDescent="0.25">
      <c r="A292" s="128">
        <v>4570</v>
      </c>
      <c r="B292" s="128">
        <v>20560</v>
      </c>
      <c r="C292" s="128">
        <v>1028752549</v>
      </c>
      <c r="D292" s="128" t="s">
        <v>1088</v>
      </c>
      <c r="E292" s="128" t="s">
        <v>546</v>
      </c>
      <c r="F292" s="128" t="s">
        <v>546</v>
      </c>
      <c r="G292" s="128" t="s">
        <v>1089</v>
      </c>
      <c r="H292" s="128" t="s">
        <v>1089</v>
      </c>
      <c r="I292" s="128" t="s">
        <v>1218</v>
      </c>
      <c r="J292" s="128" t="s">
        <v>1086</v>
      </c>
      <c r="K292" s="128" t="s">
        <v>1087</v>
      </c>
      <c r="L292" s="128">
        <v>75003</v>
      </c>
      <c r="M292" s="128" t="s">
        <v>1215</v>
      </c>
      <c r="N292" s="128"/>
      <c r="O292" s="168"/>
      <c r="P292" s="157">
        <v>115031.660885686</v>
      </c>
      <c r="Q292" s="61">
        <v>70477.41</v>
      </c>
      <c r="R292" s="63">
        <f t="shared" si="52"/>
        <v>0.61267836574173884</v>
      </c>
      <c r="S292" s="61">
        <v>15499.785104693354</v>
      </c>
      <c r="T292" s="61">
        <v>8387.83</v>
      </c>
      <c r="U292" s="63">
        <f t="shared" si="53"/>
        <v>0.54115782530818157</v>
      </c>
      <c r="V292" s="61">
        <v>46853.905556558711</v>
      </c>
      <c r="W292" s="61">
        <v>22423.929999999997</v>
      </c>
      <c r="X292" s="63">
        <f t="shared" si="54"/>
        <v>0.47859254705952781</v>
      </c>
      <c r="Y292" s="61">
        <v>1349.0534512107383</v>
      </c>
      <c r="Z292" s="102">
        <v>238</v>
      </c>
      <c r="AA292" s="63">
        <f t="shared" si="55"/>
        <v>0.1764199926892456</v>
      </c>
      <c r="AB292" s="61">
        <v>17.5</v>
      </c>
      <c r="AC292" s="61">
        <v>9</v>
      </c>
      <c r="AD292" s="63">
        <f t="shared" si="56"/>
        <v>0.51428571428571423</v>
      </c>
      <c r="AE292" s="61">
        <v>3.2335674354498356</v>
      </c>
      <c r="AF292" s="61">
        <v>1</v>
      </c>
      <c r="AG292" s="63">
        <f t="shared" si="57"/>
        <v>0.30925595954391644</v>
      </c>
      <c r="AH292" s="61">
        <v>111.141715453684</v>
      </c>
      <c r="AI292" s="61">
        <v>23</v>
      </c>
      <c r="AJ292" s="63">
        <f t="shared" si="58"/>
        <v>0.20694299980986683</v>
      </c>
      <c r="AK292" s="61">
        <v>4.0424942730292281</v>
      </c>
      <c r="AL292" s="61">
        <v>3</v>
      </c>
      <c r="AM292" s="63">
        <f t="shared" si="59"/>
        <v>0.74211607917800737</v>
      </c>
      <c r="AN292" s="61">
        <v>5.4739373431099017</v>
      </c>
      <c r="AO292" s="61">
        <v>3</v>
      </c>
      <c r="AP292" s="63">
        <f t="shared" si="60"/>
        <v>0.54805157822570427</v>
      </c>
      <c r="AQ292" s="61">
        <v>7.1688469621756399</v>
      </c>
      <c r="AR292" s="61">
        <v>7</v>
      </c>
      <c r="AS292" s="63">
        <f t="shared" si="61"/>
        <v>0.97644712419354018</v>
      </c>
      <c r="AT292" s="61">
        <v>4</v>
      </c>
      <c r="AU292" s="61">
        <v>0</v>
      </c>
      <c r="AV292" s="63">
        <f t="shared" si="62"/>
        <v>0</v>
      </c>
      <c r="AW292" s="61">
        <v>3.3666033970024394</v>
      </c>
      <c r="AX292" s="61">
        <v>0</v>
      </c>
      <c r="AY292" s="63">
        <f t="shared" si="63"/>
        <v>0</v>
      </c>
      <c r="AZ292" s="61">
        <v>12.0507151166473</v>
      </c>
      <c r="BA292" s="61">
        <v>7</v>
      </c>
      <c r="BB292" s="63">
        <f t="shared" si="64"/>
        <v>0.58087839038945854</v>
      </c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</row>
    <row r="293" spans="1:87" x14ac:dyDescent="0.25">
      <c r="A293" s="128">
        <v>3689</v>
      </c>
      <c r="B293" s="128">
        <v>20560</v>
      </c>
      <c r="C293" s="128">
        <v>1047830060</v>
      </c>
      <c r="D293" s="128" t="s">
        <v>1090</v>
      </c>
      <c r="E293" s="128" t="s">
        <v>546</v>
      </c>
      <c r="F293" s="128" t="s">
        <v>546</v>
      </c>
      <c r="G293" s="128" t="s">
        <v>1091</v>
      </c>
      <c r="H293" s="128" t="s">
        <v>1092</v>
      </c>
      <c r="I293" s="128" t="s">
        <v>1218</v>
      </c>
      <c r="J293" s="128" t="s">
        <v>1086</v>
      </c>
      <c r="K293" s="128" t="s">
        <v>1087</v>
      </c>
      <c r="L293" s="128">
        <v>75003</v>
      </c>
      <c r="M293" s="128" t="s">
        <v>1222</v>
      </c>
      <c r="N293" s="128"/>
      <c r="O293" s="168"/>
      <c r="P293" s="157">
        <v>101698.327552352</v>
      </c>
      <c r="Q293" s="61">
        <v>61458.490000000005</v>
      </c>
      <c r="R293" s="63">
        <f t="shared" si="52"/>
        <v>0.60432154076833333</v>
      </c>
      <c r="S293" s="61">
        <v>15499.785104693354</v>
      </c>
      <c r="T293" s="61">
        <v>0</v>
      </c>
      <c r="U293" s="63">
        <f t="shared" si="53"/>
        <v>0</v>
      </c>
      <c r="V293" s="61">
        <v>46853.905556558711</v>
      </c>
      <c r="W293" s="61">
        <v>20923.739999999998</v>
      </c>
      <c r="X293" s="63">
        <f t="shared" si="54"/>
        <v>0.4465740849445804</v>
      </c>
      <c r="Y293" s="61">
        <v>1349.0534512107383</v>
      </c>
      <c r="Z293" s="102">
        <v>240</v>
      </c>
      <c r="AA293" s="63">
        <f t="shared" si="55"/>
        <v>0.17790251363621404</v>
      </c>
      <c r="AB293" s="61">
        <v>17.5</v>
      </c>
      <c r="AC293" s="61">
        <v>4</v>
      </c>
      <c r="AD293" s="63">
        <f t="shared" si="56"/>
        <v>0.22857142857142856</v>
      </c>
      <c r="AE293" s="61">
        <v>3.2335674354498356</v>
      </c>
      <c r="AF293" s="61">
        <v>1</v>
      </c>
      <c r="AG293" s="63">
        <f t="shared" si="57"/>
        <v>0.30925595954391644</v>
      </c>
      <c r="AH293" s="61">
        <v>111.141715453684</v>
      </c>
      <c r="AI293" s="61">
        <v>30</v>
      </c>
      <c r="AJ293" s="63">
        <f t="shared" si="58"/>
        <v>0.26992565192591322</v>
      </c>
      <c r="AK293" s="61">
        <v>4.0424942730292281</v>
      </c>
      <c r="AL293" s="61">
        <v>1</v>
      </c>
      <c r="AM293" s="63">
        <f t="shared" si="59"/>
        <v>0.24737202639266911</v>
      </c>
      <c r="AN293" s="61">
        <v>5.4739373431099017</v>
      </c>
      <c r="AO293" s="61">
        <v>1</v>
      </c>
      <c r="AP293" s="63">
        <f t="shared" si="60"/>
        <v>0.1826838594085681</v>
      </c>
      <c r="AQ293" s="61">
        <v>11.649376313535415</v>
      </c>
      <c r="AR293" s="61">
        <v>3</v>
      </c>
      <c r="AS293" s="63">
        <f t="shared" si="61"/>
        <v>0.25752451627082379</v>
      </c>
      <c r="AT293" s="61">
        <v>1</v>
      </c>
      <c r="AU293" s="61">
        <v>0</v>
      </c>
      <c r="AV293" s="63">
        <f t="shared" si="62"/>
        <v>0</v>
      </c>
      <c r="AW293" s="61">
        <v>2.9763800015671942</v>
      </c>
      <c r="AX293" s="61">
        <v>0</v>
      </c>
      <c r="AY293" s="63">
        <f t="shared" si="63"/>
        <v>0</v>
      </c>
      <c r="AZ293" s="61">
        <v>12.0507151166473</v>
      </c>
      <c r="BA293" s="61">
        <v>5</v>
      </c>
      <c r="BB293" s="63">
        <f t="shared" si="64"/>
        <v>0.41491313599247037</v>
      </c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</row>
    <row r="294" spans="1:87" x14ac:dyDescent="0.25">
      <c r="A294" s="128">
        <v>3694</v>
      </c>
      <c r="B294" s="128">
        <v>20560</v>
      </c>
      <c r="C294" s="128">
        <v>1056007147</v>
      </c>
      <c r="D294" s="128" t="s">
        <v>1093</v>
      </c>
      <c r="E294" s="128" t="s">
        <v>546</v>
      </c>
      <c r="F294" s="128" t="s">
        <v>546</v>
      </c>
      <c r="G294" s="128" t="s">
        <v>1094</v>
      </c>
      <c r="H294" s="128" t="s">
        <v>1095</v>
      </c>
      <c r="I294" s="128" t="s">
        <v>1218</v>
      </c>
      <c r="J294" s="128" t="s">
        <v>1086</v>
      </c>
      <c r="K294" s="128" t="s">
        <v>1087</v>
      </c>
      <c r="L294" s="128">
        <v>75003</v>
      </c>
      <c r="M294" s="128" t="s">
        <v>1148</v>
      </c>
      <c r="N294" s="128"/>
      <c r="O294" s="168">
        <v>0.5</v>
      </c>
      <c r="P294" s="157">
        <v>41680.235560000001</v>
      </c>
      <c r="Q294" s="61">
        <v>34864.36</v>
      </c>
      <c r="R294" s="63">
        <f t="shared" si="52"/>
        <v>0.83647223993759978</v>
      </c>
      <c r="S294" s="61">
        <v>6642.7650448685799</v>
      </c>
      <c r="T294" s="61">
        <v>0</v>
      </c>
      <c r="U294" s="63">
        <f t="shared" si="53"/>
        <v>0</v>
      </c>
      <c r="V294" s="61">
        <v>20080.245238525164</v>
      </c>
      <c r="W294" s="61">
        <v>7090.87</v>
      </c>
      <c r="X294" s="63">
        <f t="shared" si="54"/>
        <v>0.35312666333356019</v>
      </c>
      <c r="Y294" s="61">
        <v>578.16576480460208</v>
      </c>
      <c r="Z294" s="102">
        <v>0</v>
      </c>
      <c r="AA294" s="63">
        <f t="shared" si="55"/>
        <v>0</v>
      </c>
      <c r="AB294" s="61">
        <v>7.5</v>
      </c>
      <c r="AC294" s="61">
        <v>3</v>
      </c>
      <c r="AD294" s="63">
        <f t="shared" si="56"/>
        <v>0.4</v>
      </c>
      <c r="AE294" s="61">
        <v>1.3858146151927866</v>
      </c>
      <c r="AF294" s="61">
        <v>0</v>
      </c>
      <c r="AG294" s="63">
        <f t="shared" si="57"/>
        <v>0</v>
      </c>
      <c r="AH294" s="61">
        <v>47.632163765864568</v>
      </c>
      <c r="AI294" s="61">
        <v>22</v>
      </c>
      <c r="AJ294" s="63">
        <f t="shared" si="58"/>
        <v>0.46187278218434047</v>
      </c>
      <c r="AK294" s="61">
        <v>1.7324975455839546</v>
      </c>
      <c r="AL294" s="61">
        <v>1</v>
      </c>
      <c r="AM294" s="63">
        <f t="shared" si="59"/>
        <v>0.57720139491622802</v>
      </c>
      <c r="AN294" s="61">
        <v>2.3459731470471006</v>
      </c>
      <c r="AO294" s="61">
        <v>2</v>
      </c>
      <c r="AP294" s="63">
        <f t="shared" si="60"/>
        <v>0.85252467723998449</v>
      </c>
      <c r="AQ294" s="61">
        <v>5.3766352216317301</v>
      </c>
      <c r="AR294" s="61">
        <v>7</v>
      </c>
      <c r="AS294" s="63">
        <f t="shared" si="61"/>
        <v>1.3019294989247201</v>
      </c>
      <c r="AT294" s="61">
        <v>1</v>
      </c>
      <c r="AU294" s="61">
        <v>0</v>
      </c>
      <c r="AV294" s="63">
        <f t="shared" si="62"/>
        <v>0</v>
      </c>
      <c r="AW294" s="61">
        <v>1.2198452282072436</v>
      </c>
      <c r="AX294" s="61">
        <v>0</v>
      </c>
      <c r="AY294" s="63">
        <f t="shared" si="63"/>
        <v>0</v>
      </c>
      <c r="AZ294" s="61">
        <v>5.1645921928488425</v>
      </c>
      <c r="BA294" s="61">
        <v>1</v>
      </c>
      <c r="BB294" s="63">
        <f t="shared" si="64"/>
        <v>0.19362613012981952</v>
      </c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</row>
    <row r="295" spans="1:87" x14ac:dyDescent="0.25">
      <c r="A295" s="128">
        <v>7212</v>
      </c>
      <c r="B295" s="128">
        <v>20560</v>
      </c>
      <c r="C295" s="128">
        <v>1027262219</v>
      </c>
      <c r="D295" s="128" t="s">
        <v>1096</v>
      </c>
      <c r="E295" s="128" t="s">
        <v>546</v>
      </c>
      <c r="F295" s="128" t="s">
        <v>546</v>
      </c>
      <c r="G295" s="128" t="s">
        <v>1097</v>
      </c>
      <c r="H295" s="128" t="s">
        <v>1097</v>
      </c>
      <c r="I295" s="128" t="s">
        <v>1218</v>
      </c>
      <c r="J295" s="128" t="s">
        <v>1086</v>
      </c>
      <c r="K295" s="128" t="s">
        <v>1087</v>
      </c>
      <c r="L295" s="128">
        <v>75003</v>
      </c>
      <c r="M295" s="128" t="s">
        <v>1215</v>
      </c>
      <c r="N295" s="128"/>
      <c r="O295" s="168"/>
      <c r="P295" s="157">
        <v>101698.327552352</v>
      </c>
      <c r="Q295" s="61">
        <v>34296.54</v>
      </c>
      <c r="R295" s="63">
        <f t="shared" si="52"/>
        <v>0.33723799422704287</v>
      </c>
      <c r="S295" s="61">
        <v>15499.785104693354</v>
      </c>
      <c r="T295" s="61">
        <v>1260.8</v>
      </c>
      <c r="U295" s="63">
        <f t="shared" si="53"/>
        <v>8.1343063241452823E-2</v>
      </c>
      <c r="V295" s="61">
        <v>46853.905556558711</v>
      </c>
      <c r="W295" s="61">
        <v>10223.48</v>
      </c>
      <c r="X295" s="63">
        <f t="shared" si="54"/>
        <v>0.21819909948934652</v>
      </c>
      <c r="Y295" s="61">
        <v>1349.0534512107383</v>
      </c>
      <c r="Z295" s="102">
        <v>0</v>
      </c>
      <c r="AA295" s="63">
        <f t="shared" si="55"/>
        <v>0</v>
      </c>
      <c r="AB295" s="61">
        <v>17.5</v>
      </c>
      <c r="AC295" s="61">
        <v>5</v>
      </c>
      <c r="AD295" s="63">
        <f t="shared" si="56"/>
        <v>0.2857142857142857</v>
      </c>
      <c r="AE295" s="61">
        <v>3.2335674354498356</v>
      </c>
      <c r="AF295" s="61">
        <v>0</v>
      </c>
      <c r="AG295" s="63">
        <f t="shared" si="57"/>
        <v>0</v>
      </c>
      <c r="AH295" s="61">
        <v>111.141715453684</v>
      </c>
      <c r="AI295" s="61">
        <v>24</v>
      </c>
      <c r="AJ295" s="63">
        <f t="shared" si="58"/>
        <v>0.2159405215407306</v>
      </c>
      <c r="AK295" s="61">
        <v>4.0424942730292281</v>
      </c>
      <c r="AL295" s="61">
        <v>0</v>
      </c>
      <c r="AM295" s="63">
        <f t="shared" si="59"/>
        <v>0</v>
      </c>
      <c r="AN295" s="61">
        <v>5.4739373431099017</v>
      </c>
      <c r="AO295" s="61">
        <v>2</v>
      </c>
      <c r="AP295" s="63">
        <f t="shared" si="60"/>
        <v>0.3653677188171362</v>
      </c>
      <c r="AQ295" s="61">
        <v>7.1688469621756399</v>
      </c>
      <c r="AR295" s="61">
        <v>8</v>
      </c>
      <c r="AS295" s="63">
        <f t="shared" si="61"/>
        <v>1.1159395705069031</v>
      </c>
      <c r="AT295" s="61">
        <v>4</v>
      </c>
      <c r="AU295" s="61">
        <v>0</v>
      </c>
      <c r="AV295" s="63">
        <f t="shared" si="62"/>
        <v>0</v>
      </c>
      <c r="AW295" s="61">
        <v>2.9763800015671942</v>
      </c>
      <c r="AX295" s="61">
        <v>0</v>
      </c>
      <c r="AY295" s="63">
        <f t="shared" si="63"/>
        <v>0</v>
      </c>
      <c r="AZ295" s="61">
        <v>12.0507151166473</v>
      </c>
      <c r="BA295" s="61">
        <v>2</v>
      </c>
      <c r="BB295" s="63">
        <f t="shared" si="64"/>
        <v>0.16596525439698817</v>
      </c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</row>
    <row r="296" spans="1:87" x14ac:dyDescent="0.25">
      <c r="A296" s="128">
        <v>21742</v>
      </c>
      <c r="B296" s="128">
        <v>21414</v>
      </c>
      <c r="C296" s="128">
        <v>1010065884</v>
      </c>
      <c r="D296" s="128" t="s">
        <v>1098</v>
      </c>
      <c r="E296" s="128" t="s">
        <v>541</v>
      </c>
      <c r="F296" s="128" t="s">
        <v>541</v>
      </c>
      <c r="G296" s="128" t="s">
        <v>1099</v>
      </c>
      <c r="H296" s="128" t="s">
        <v>1099</v>
      </c>
      <c r="I296" s="128" t="s">
        <v>1218</v>
      </c>
      <c r="J296" s="128" t="s">
        <v>1086</v>
      </c>
      <c r="K296" s="128" t="s">
        <v>1100</v>
      </c>
      <c r="L296" s="128">
        <v>75004</v>
      </c>
      <c r="M296" s="128"/>
      <c r="N296" s="128"/>
      <c r="O296" s="168"/>
      <c r="P296" s="169">
        <v>1180355.8080486574</v>
      </c>
      <c r="Q296" s="61">
        <v>0</v>
      </c>
      <c r="R296" s="63">
        <f t="shared" si="52"/>
        <v>0</v>
      </c>
      <c r="S296" s="61">
        <v>125392.97915767781</v>
      </c>
      <c r="T296" s="61">
        <v>0</v>
      </c>
      <c r="U296" s="63">
        <f t="shared" si="53"/>
        <v>0</v>
      </c>
      <c r="V296" s="61">
        <v>358035.18497458054</v>
      </c>
      <c r="W296" s="61">
        <v>0</v>
      </c>
      <c r="X296" s="63">
        <f t="shared" si="54"/>
        <v>0</v>
      </c>
      <c r="Y296" s="61">
        <v>10658.360185963102</v>
      </c>
      <c r="Z296" s="102">
        <v>0</v>
      </c>
      <c r="AA296" s="63">
        <f t="shared" si="55"/>
        <v>0</v>
      </c>
      <c r="AB296" s="61">
        <v>185</v>
      </c>
      <c r="AC296" s="61">
        <v>0</v>
      </c>
      <c r="AD296" s="63">
        <f t="shared" si="56"/>
        <v>0</v>
      </c>
      <c r="AE296" s="61">
        <v>25.547191167032238</v>
      </c>
      <c r="AF296" s="61">
        <v>0</v>
      </c>
      <c r="AG296" s="63">
        <f t="shared" si="57"/>
        <v>0</v>
      </c>
      <c r="AH296" s="61">
        <v>860.17988855332953</v>
      </c>
      <c r="AI296" s="61">
        <v>1</v>
      </c>
      <c r="AJ296" s="63">
        <f t="shared" si="58"/>
        <v>1.1625475244275046E-3</v>
      </c>
      <c r="AK296" s="61">
        <v>31.938215622938987</v>
      </c>
      <c r="AL296" s="61">
        <v>0</v>
      </c>
      <c r="AM296" s="63">
        <f t="shared" si="59"/>
        <v>0</v>
      </c>
      <c r="AN296" s="61">
        <v>43.247504971650898</v>
      </c>
      <c r="AO296" s="61">
        <v>0</v>
      </c>
      <c r="AP296" s="63">
        <f t="shared" si="60"/>
        <v>0</v>
      </c>
      <c r="AQ296" s="61">
        <v>108.74923251857443</v>
      </c>
      <c r="AR296" s="61">
        <v>0</v>
      </c>
      <c r="AS296" s="63">
        <f t="shared" si="61"/>
        <v>0</v>
      </c>
      <c r="AT296" s="61">
        <v>35.819023176737133</v>
      </c>
      <c r="AU296" s="61">
        <v>0</v>
      </c>
      <c r="AV296" s="63">
        <f t="shared" si="62"/>
        <v>0</v>
      </c>
      <c r="AW296" s="61">
        <v>34.545183842882764</v>
      </c>
      <c r="AX296" s="61">
        <v>0</v>
      </c>
      <c r="AY296" s="63">
        <f t="shared" si="63"/>
        <v>0</v>
      </c>
      <c r="AZ296" s="61">
        <v>95.208134337735189</v>
      </c>
      <c r="BA296" s="61">
        <v>0</v>
      </c>
      <c r="BB296" s="63">
        <f t="shared" si="64"/>
        <v>0</v>
      </c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</row>
    <row r="297" spans="1:87" x14ac:dyDescent="0.25">
      <c r="A297" s="123">
        <v>9084</v>
      </c>
      <c r="B297" s="123">
        <v>21742</v>
      </c>
      <c r="C297" s="123">
        <v>1076469178</v>
      </c>
      <c r="D297" s="123" t="s">
        <v>1104</v>
      </c>
      <c r="E297" s="123" t="s">
        <v>544</v>
      </c>
      <c r="F297" s="123" t="s">
        <v>544</v>
      </c>
      <c r="G297" s="123" t="s">
        <v>1105</v>
      </c>
      <c r="H297" s="123" t="s">
        <v>1105</v>
      </c>
      <c r="I297" s="123" t="s">
        <v>1218</v>
      </c>
      <c r="J297" s="123" t="s">
        <v>1086</v>
      </c>
      <c r="K297" s="123" t="s">
        <v>1100</v>
      </c>
      <c r="L297" s="123">
        <v>75004</v>
      </c>
      <c r="M297" s="123"/>
      <c r="N297" s="123"/>
      <c r="O297" s="166"/>
      <c r="P297" s="167">
        <v>563640</v>
      </c>
      <c r="Q297" s="61">
        <v>0</v>
      </c>
      <c r="R297" s="63">
        <f t="shared" si="52"/>
        <v>0</v>
      </c>
      <c r="S297" s="61">
        <v>61963.76652013178</v>
      </c>
      <c r="T297" s="61">
        <v>0</v>
      </c>
      <c r="U297" s="63">
        <f t="shared" si="53"/>
        <v>0</v>
      </c>
      <c r="V297" s="61">
        <v>168072.17068244074</v>
      </c>
      <c r="W297" s="61">
        <v>0</v>
      </c>
      <c r="X297" s="63">
        <f t="shared" si="54"/>
        <v>0</v>
      </c>
      <c r="Y297" s="61">
        <v>5329.1800929815508</v>
      </c>
      <c r="Z297" s="102">
        <v>0</v>
      </c>
      <c r="AA297" s="63">
        <f t="shared" si="55"/>
        <v>0</v>
      </c>
      <c r="AB297" s="61">
        <v>86</v>
      </c>
      <c r="AC297" s="61">
        <v>0</v>
      </c>
      <c r="AD297" s="63">
        <f t="shared" si="56"/>
        <v>0</v>
      </c>
      <c r="AE297" s="61">
        <v>12.06395138443189</v>
      </c>
      <c r="AF297" s="61">
        <v>0</v>
      </c>
      <c r="AG297" s="63">
        <f t="shared" si="57"/>
        <v>0</v>
      </c>
      <c r="AH297" s="61">
        <v>426.79105848351674</v>
      </c>
      <c r="AI297" s="61">
        <v>0</v>
      </c>
      <c r="AJ297" s="63">
        <f t="shared" si="58"/>
        <v>0</v>
      </c>
      <c r="AK297" s="61">
        <v>15.081935155276744</v>
      </c>
      <c r="AL297" s="61">
        <v>0</v>
      </c>
      <c r="AM297" s="63">
        <f t="shared" si="59"/>
        <v>0</v>
      </c>
      <c r="AN297" s="61">
        <v>20.422432903279592</v>
      </c>
      <c r="AO297" s="61">
        <v>0</v>
      </c>
      <c r="AP297" s="63">
        <f t="shared" si="60"/>
        <v>0</v>
      </c>
      <c r="AQ297" s="61">
        <v>51.353804244882369</v>
      </c>
      <c r="AR297" s="61">
        <v>0</v>
      </c>
      <c r="AS297" s="63">
        <f t="shared" si="61"/>
        <v>0</v>
      </c>
      <c r="AT297" s="61">
        <v>19</v>
      </c>
      <c r="AU297" s="61">
        <v>0</v>
      </c>
      <c r="AV297" s="63">
        <f t="shared" si="62"/>
        <v>0</v>
      </c>
      <c r="AW297" s="61">
        <v>16.495913595233308</v>
      </c>
      <c r="AX297" s="61">
        <v>0</v>
      </c>
      <c r="AY297" s="63">
        <f t="shared" si="63"/>
        <v>0</v>
      </c>
      <c r="AZ297" s="61">
        <v>44.959396770597174</v>
      </c>
      <c r="BA297" s="61">
        <v>0</v>
      </c>
      <c r="BB297" s="63">
        <f t="shared" si="64"/>
        <v>0</v>
      </c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</row>
    <row r="298" spans="1:87" x14ac:dyDescent="0.25">
      <c r="A298" s="128">
        <v>7421</v>
      </c>
      <c r="B298" s="128">
        <v>9084</v>
      </c>
      <c r="C298" s="128">
        <v>1081884353</v>
      </c>
      <c r="D298" s="128" t="s">
        <v>1106</v>
      </c>
      <c r="E298" s="128" t="s">
        <v>546</v>
      </c>
      <c r="F298" s="128" t="s">
        <v>546</v>
      </c>
      <c r="G298" s="128" t="s">
        <v>1107</v>
      </c>
      <c r="H298" s="128" t="s">
        <v>1107</v>
      </c>
      <c r="I298" s="128" t="s">
        <v>1218</v>
      </c>
      <c r="J298" s="128" t="s">
        <v>1086</v>
      </c>
      <c r="K298" s="128" t="s">
        <v>1100</v>
      </c>
      <c r="L298" s="128">
        <v>75004</v>
      </c>
      <c r="M298" s="128"/>
      <c r="N298" s="128"/>
      <c r="O298" s="168"/>
      <c r="P298" s="157">
        <v>149347.560672411</v>
      </c>
      <c r="Q298" s="61">
        <v>149990.5</v>
      </c>
      <c r="R298" s="63">
        <f t="shared" si="52"/>
        <v>1.0043049871366783</v>
      </c>
      <c r="S298" s="61">
        <v>19803.337817225842</v>
      </c>
      <c r="T298" s="61">
        <v>6281.7</v>
      </c>
      <c r="U298" s="63">
        <f t="shared" si="53"/>
        <v>0.31720410255971559</v>
      </c>
      <c r="V298" s="61">
        <v>42018.042586246258</v>
      </c>
      <c r="W298" s="61">
        <v>20713.050000000003</v>
      </c>
      <c r="X298" s="63">
        <f t="shared" si="54"/>
        <v>0.49295609041007526</v>
      </c>
      <c r="Y298" s="61">
        <v>1303.7235000000001</v>
      </c>
      <c r="Z298" s="102">
        <v>0</v>
      </c>
      <c r="AA298" s="63">
        <f t="shared" si="55"/>
        <v>0</v>
      </c>
      <c r="AB298" s="61">
        <v>21.5</v>
      </c>
      <c r="AC298" s="61">
        <v>4</v>
      </c>
      <c r="AD298" s="63">
        <f t="shared" si="56"/>
        <v>0.18604651162790697</v>
      </c>
      <c r="AE298" s="61">
        <v>3.0159878461079725</v>
      </c>
      <c r="AF298" s="61">
        <v>0</v>
      </c>
      <c r="AG298" s="63">
        <f t="shared" si="57"/>
        <v>0</v>
      </c>
      <c r="AH298" s="61">
        <v>106.69776462087918</v>
      </c>
      <c r="AI298" s="61">
        <v>72</v>
      </c>
      <c r="AJ298" s="63">
        <f t="shared" si="58"/>
        <v>0.67480326561509485</v>
      </c>
      <c r="AK298" s="61">
        <v>3.770483788819186</v>
      </c>
      <c r="AL298" s="61">
        <v>0</v>
      </c>
      <c r="AM298" s="63">
        <f t="shared" si="59"/>
        <v>0</v>
      </c>
      <c r="AN298" s="61">
        <v>5.105608225819898</v>
      </c>
      <c r="AO298" s="61">
        <v>0</v>
      </c>
      <c r="AP298" s="63">
        <f t="shared" si="60"/>
        <v>0</v>
      </c>
      <c r="AQ298" s="61">
        <v>12.838451061220592</v>
      </c>
      <c r="AR298" s="61">
        <v>6</v>
      </c>
      <c r="AS298" s="63">
        <f t="shared" si="61"/>
        <v>0.46734609739047139</v>
      </c>
      <c r="AT298" s="61">
        <v>4</v>
      </c>
      <c r="AU298" s="61">
        <v>2</v>
      </c>
      <c r="AV298" s="63">
        <f t="shared" si="62"/>
        <v>0.5</v>
      </c>
      <c r="AW298" s="61">
        <v>4.3709184169167479</v>
      </c>
      <c r="AX298" s="61">
        <v>0</v>
      </c>
      <c r="AY298" s="63">
        <f t="shared" si="63"/>
        <v>0</v>
      </c>
      <c r="AZ298" s="61">
        <v>11.239849192649293</v>
      </c>
      <c r="BA298" s="61">
        <v>2</v>
      </c>
      <c r="BB298" s="63">
        <f t="shared" si="64"/>
        <v>0.17793833046336355</v>
      </c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</row>
    <row r="299" spans="1:87" x14ac:dyDescent="0.25">
      <c r="A299" s="128">
        <v>23897</v>
      </c>
      <c r="B299" s="128">
        <v>9084</v>
      </c>
      <c r="C299" s="128">
        <v>1035853462</v>
      </c>
      <c r="D299" s="128" t="s">
        <v>1123</v>
      </c>
      <c r="E299" s="128" t="s">
        <v>546</v>
      </c>
      <c r="F299" s="128" t="s">
        <v>546</v>
      </c>
      <c r="G299" s="128" t="s">
        <v>1124</v>
      </c>
      <c r="H299" s="128" t="s">
        <v>1124</v>
      </c>
      <c r="I299" s="128" t="s">
        <v>1218</v>
      </c>
      <c r="J299" s="128" t="s">
        <v>1086</v>
      </c>
      <c r="K299" s="128" t="s">
        <v>1100</v>
      </c>
      <c r="L299" s="128">
        <v>75004</v>
      </c>
      <c r="M299" s="128" t="s">
        <v>1222</v>
      </c>
      <c r="N299" s="128"/>
      <c r="O299" s="168"/>
      <c r="P299" s="157">
        <v>138097.560672411</v>
      </c>
      <c r="Q299" s="61">
        <v>93021.78</v>
      </c>
      <c r="R299" s="63">
        <f t="shared" si="52"/>
        <v>0.67359466414227409</v>
      </c>
      <c r="S299" s="61">
        <v>14053.337730032945</v>
      </c>
      <c r="T299" s="61">
        <v>4589.57</v>
      </c>
      <c r="U299" s="63">
        <f t="shared" si="53"/>
        <v>0.32658220332894827</v>
      </c>
      <c r="V299" s="61">
        <v>42018.042586246258</v>
      </c>
      <c r="W299" s="61">
        <v>13069.990000000003</v>
      </c>
      <c r="X299" s="63">
        <f t="shared" si="54"/>
        <v>0.31105661271994128</v>
      </c>
      <c r="Y299" s="61">
        <v>1303.7235000000001</v>
      </c>
      <c r="Z299" s="102">
        <v>0</v>
      </c>
      <c r="AA299" s="63">
        <f t="shared" si="55"/>
        <v>0</v>
      </c>
      <c r="AB299" s="61">
        <v>21.5</v>
      </c>
      <c r="AC299" s="61">
        <v>9</v>
      </c>
      <c r="AD299" s="63">
        <f t="shared" si="56"/>
        <v>0.41860465116279072</v>
      </c>
      <c r="AE299" s="61">
        <v>3.0159878461079725</v>
      </c>
      <c r="AF299" s="61">
        <v>4</v>
      </c>
      <c r="AG299" s="63">
        <f t="shared" si="57"/>
        <v>1.32626529154017</v>
      </c>
      <c r="AH299" s="61">
        <v>106.69776462087918</v>
      </c>
      <c r="AI299" s="61">
        <v>48</v>
      </c>
      <c r="AJ299" s="63">
        <f t="shared" si="58"/>
        <v>0.44986884374339653</v>
      </c>
      <c r="AK299" s="61">
        <v>3.770483788819186</v>
      </c>
      <c r="AL299" s="61">
        <v>0</v>
      </c>
      <c r="AM299" s="63">
        <f t="shared" si="59"/>
        <v>0</v>
      </c>
      <c r="AN299" s="61">
        <v>5.105608225819898</v>
      </c>
      <c r="AO299" s="61">
        <v>1</v>
      </c>
      <c r="AP299" s="63">
        <f t="shared" si="60"/>
        <v>0.19586305015391428</v>
      </c>
      <c r="AQ299" s="61">
        <v>12.838451061220592</v>
      </c>
      <c r="AR299" s="61">
        <v>5</v>
      </c>
      <c r="AS299" s="63">
        <f t="shared" si="61"/>
        <v>0.38945508115872618</v>
      </c>
      <c r="AT299" s="61">
        <v>7</v>
      </c>
      <c r="AU299" s="61">
        <v>3</v>
      </c>
      <c r="AV299" s="63">
        <f t="shared" si="62"/>
        <v>0.42857142857142855</v>
      </c>
      <c r="AW299" s="61">
        <v>4.0416674270182762</v>
      </c>
      <c r="AX299" s="61">
        <v>0</v>
      </c>
      <c r="AY299" s="63">
        <f t="shared" si="63"/>
        <v>0</v>
      </c>
      <c r="AZ299" s="61">
        <v>11.239849192649293</v>
      </c>
      <c r="BA299" s="61">
        <v>5</v>
      </c>
      <c r="BB299" s="63">
        <f t="shared" si="64"/>
        <v>0.4448458261584089</v>
      </c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</row>
    <row r="300" spans="1:87" x14ac:dyDescent="0.25">
      <c r="A300" s="128">
        <v>27277</v>
      </c>
      <c r="B300" s="128">
        <v>9084</v>
      </c>
      <c r="C300" s="128">
        <v>1098812546</v>
      </c>
      <c r="D300" s="128" t="s">
        <v>938</v>
      </c>
      <c r="E300" s="128" t="s">
        <v>546</v>
      </c>
      <c r="F300" s="128" t="s">
        <v>546</v>
      </c>
      <c r="G300" s="128" t="s">
        <v>939</v>
      </c>
      <c r="H300" s="128" t="s">
        <v>939</v>
      </c>
      <c r="I300" s="128" t="s">
        <v>1218</v>
      </c>
      <c r="J300" s="128" t="s">
        <v>1086</v>
      </c>
      <c r="K300" s="128" t="s">
        <v>1100</v>
      </c>
      <c r="L300" s="128">
        <v>75004</v>
      </c>
      <c r="M300" s="128"/>
      <c r="N300" s="128"/>
      <c r="O300" s="168"/>
      <c r="P300" s="157">
        <v>138097.560672411</v>
      </c>
      <c r="Q300" s="61">
        <v>42130.46</v>
      </c>
      <c r="R300" s="63">
        <f t="shared" si="52"/>
        <v>0.30507751038369196</v>
      </c>
      <c r="S300" s="61">
        <v>14053.337730032945</v>
      </c>
      <c r="T300" s="61">
        <v>4013.04</v>
      </c>
      <c r="U300" s="63">
        <f t="shared" si="53"/>
        <v>0.28555778542373311</v>
      </c>
      <c r="V300" s="61">
        <v>42018.042586246258</v>
      </c>
      <c r="W300" s="61">
        <v>9289.56</v>
      </c>
      <c r="X300" s="63">
        <f t="shared" si="54"/>
        <v>0.22108502510397154</v>
      </c>
      <c r="Y300" s="61">
        <v>1303.7235000000001</v>
      </c>
      <c r="Z300" s="102">
        <v>0</v>
      </c>
      <c r="AA300" s="63">
        <f t="shared" si="55"/>
        <v>0</v>
      </c>
      <c r="AB300" s="61">
        <v>21.5</v>
      </c>
      <c r="AC300" s="61">
        <v>3</v>
      </c>
      <c r="AD300" s="63">
        <f t="shared" si="56"/>
        <v>0.13953488372093023</v>
      </c>
      <c r="AE300" s="61">
        <v>3.0159878461079725</v>
      </c>
      <c r="AF300" s="61">
        <v>0</v>
      </c>
      <c r="AG300" s="63">
        <f t="shared" si="57"/>
        <v>0</v>
      </c>
      <c r="AH300" s="61">
        <v>106.69776462087918</v>
      </c>
      <c r="AI300" s="61">
        <v>64</v>
      </c>
      <c r="AJ300" s="63">
        <f t="shared" si="58"/>
        <v>0.59982512499119534</v>
      </c>
      <c r="AK300" s="61">
        <v>3.770483788819186</v>
      </c>
      <c r="AL300" s="61">
        <v>0</v>
      </c>
      <c r="AM300" s="63">
        <f t="shared" si="59"/>
        <v>0</v>
      </c>
      <c r="AN300" s="61">
        <v>5.105608225819898</v>
      </c>
      <c r="AO300" s="61">
        <v>4</v>
      </c>
      <c r="AP300" s="63">
        <f t="shared" si="60"/>
        <v>0.78345220061565712</v>
      </c>
      <c r="AQ300" s="61">
        <v>12.838451061220592</v>
      </c>
      <c r="AR300" s="61">
        <v>1</v>
      </c>
      <c r="AS300" s="63">
        <f t="shared" si="61"/>
        <v>7.7891016231745241E-2</v>
      </c>
      <c r="AT300" s="61">
        <v>4</v>
      </c>
      <c r="AU300" s="61">
        <v>3</v>
      </c>
      <c r="AV300" s="63">
        <f t="shared" si="62"/>
        <v>0.75</v>
      </c>
      <c r="AW300" s="61">
        <v>4.0416674270182762</v>
      </c>
      <c r="AX300" s="61">
        <v>0</v>
      </c>
      <c r="AY300" s="63">
        <f t="shared" si="63"/>
        <v>0</v>
      </c>
      <c r="AZ300" s="61">
        <v>11.239849192649293</v>
      </c>
      <c r="BA300" s="61">
        <v>2</v>
      </c>
      <c r="BB300" s="63">
        <f t="shared" si="64"/>
        <v>0.17793833046336355</v>
      </c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</row>
    <row r="301" spans="1:87" x14ac:dyDescent="0.25">
      <c r="A301" s="128">
        <v>7298</v>
      </c>
      <c r="B301" s="128">
        <v>9084</v>
      </c>
      <c r="C301" s="128">
        <v>1055111130</v>
      </c>
      <c r="D301" s="128" t="s">
        <v>1108</v>
      </c>
      <c r="E301" s="128" t="s">
        <v>546</v>
      </c>
      <c r="F301" s="128" t="s">
        <v>546</v>
      </c>
      <c r="G301" s="128" t="s">
        <v>1109</v>
      </c>
      <c r="H301" s="128" t="s">
        <v>1110</v>
      </c>
      <c r="I301" s="128" t="s">
        <v>1218</v>
      </c>
      <c r="J301" s="128" t="s">
        <v>1086</v>
      </c>
      <c r="K301" s="128" t="s">
        <v>1100</v>
      </c>
      <c r="L301" s="128">
        <v>75004</v>
      </c>
      <c r="M301" s="128"/>
      <c r="N301" s="128"/>
      <c r="O301" s="168"/>
      <c r="P301" s="157">
        <v>138097.560672411</v>
      </c>
      <c r="Q301" s="61">
        <v>402688.15999999986</v>
      </c>
      <c r="R301" s="63">
        <f t="shared" si="52"/>
        <v>2.9159686676525673</v>
      </c>
      <c r="S301" s="61">
        <v>14053.337730032945</v>
      </c>
      <c r="T301" s="61">
        <v>3388.71</v>
      </c>
      <c r="U301" s="63">
        <f t="shared" si="53"/>
        <v>0.24113204030940599</v>
      </c>
      <c r="V301" s="61">
        <v>42018.042586246258</v>
      </c>
      <c r="W301" s="61">
        <v>19411.969999999998</v>
      </c>
      <c r="X301" s="63">
        <f t="shared" si="54"/>
        <v>0.46199129719465098</v>
      </c>
      <c r="Y301" s="61">
        <v>1303.7235000000001</v>
      </c>
      <c r="Z301" s="102">
        <v>0</v>
      </c>
      <c r="AA301" s="63">
        <f t="shared" si="55"/>
        <v>0</v>
      </c>
      <c r="AB301" s="61">
        <v>21.5</v>
      </c>
      <c r="AC301" s="61">
        <v>8</v>
      </c>
      <c r="AD301" s="63">
        <f t="shared" si="56"/>
        <v>0.37209302325581395</v>
      </c>
      <c r="AE301" s="61">
        <v>3.0159878461079725</v>
      </c>
      <c r="AF301" s="61">
        <v>0</v>
      </c>
      <c r="AG301" s="63">
        <f t="shared" si="57"/>
        <v>0</v>
      </c>
      <c r="AH301" s="61">
        <v>106.69776462087918</v>
      </c>
      <c r="AI301" s="61">
        <v>67</v>
      </c>
      <c r="AJ301" s="63">
        <f t="shared" si="58"/>
        <v>0.62794192772515767</v>
      </c>
      <c r="AK301" s="61">
        <v>3.770483788819186</v>
      </c>
      <c r="AL301" s="61">
        <v>2</v>
      </c>
      <c r="AM301" s="63">
        <f t="shared" si="59"/>
        <v>0.53043591008949709</v>
      </c>
      <c r="AN301" s="61">
        <v>5.105608225819898</v>
      </c>
      <c r="AO301" s="61">
        <v>1</v>
      </c>
      <c r="AP301" s="63">
        <f t="shared" si="60"/>
        <v>0.19586305015391428</v>
      </c>
      <c r="AQ301" s="61">
        <v>12.838451061220592</v>
      </c>
      <c r="AR301" s="61">
        <v>10</v>
      </c>
      <c r="AS301" s="63">
        <f t="shared" si="61"/>
        <v>0.77891016231745236</v>
      </c>
      <c r="AT301" s="61">
        <v>4</v>
      </c>
      <c r="AU301" s="61">
        <v>2</v>
      </c>
      <c r="AV301" s="63">
        <f t="shared" si="62"/>
        <v>0.5</v>
      </c>
      <c r="AW301" s="61">
        <v>4.0416674270182762</v>
      </c>
      <c r="AX301" s="61">
        <v>0</v>
      </c>
      <c r="AY301" s="63">
        <f t="shared" si="63"/>
        <v>0</v>
      </c>
      <c r="AZ301" s="61">
        <v>11.239849192649293</v>
      </c>
      <c r="BA301" s="61">
        <v>6</v>
      </c>
      <c r="BB301" s="63">
        <f t="shared" si="64"/>
        <v>0.5338149913900907</v>
      </c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</row>
    <row r="302" spans="1:87" x14ac:dyDescent="0.25">
      <c r="A302" s="116">
        <v>10224</v>
      </c>
      <c r="B302" s="116">
        <v>21742</v>
      </c>
      <c r="C302" s="116">
        <v>1020104392</v>
      </c>
      <c r="D302" s="116" t="s">
        <v>1111</v>
      </c>
      <c r="E302" s="116" t="s">
        <v>544</v>
      </c>
      <c r="F302" s="116" t="s">
        <v>544</v>
      </c>
      <c r="G302" s="116" t="s">
        <v>1112</v>
      </c>
      <c r="H302" s="116" t="s">
        <v>1112</v>
      </c>
      <c r="I302" s="116" t="s">
        <v>1218</v>
      </c>
      <c r="J302" s="116" t="s">
        <v>1086</v>
      </c>
      <c r="K302" s="116" t="s">
        <v>1100</v>
      </c>
      <c r="L302" s="116">
        <v>75004</v>
      </c>
      <c r="M302" s="116"/>
      <c r="N302" s="116"/>
      <c r="O302" s="170"/>
      <c r="P302" s="153">
        <v>616716</v>
      </c>
      <c r="Q302" s="61">
        <v>0</v>
      </c>
      <c r="R302" s="63">
        <f t="shared" si="52"/>
        <v>0</v>
      </c>
      <c r="S302" s="61">
        <v>63428.7978754414</v>
      </c>
      <c r="T302" s="61">
        <v>0</v>
      </c>
      <c r="U302" s="63">
        <f t="shared" si="53"/>
        <v>0</v>
      </c>
      <c r="V302" s="61">
        <v>189963.01429213973</v>
      </c>
      <c r="W302" s="61">
        <v>0</v>
      </c>
      <c r="X302" s="63">
        <f t="shared" si="54"/>
        <v>0</v>
      </c>
      <c r="Y302" s="61">
        <v>5329.1800929815508</v>
      </c>
      <c r="Z302" s="102">
        <v>0</v>
      </c>
      <c r="AA302" s="63">
        <f t="shared" si="55"/>
        <v>0</v>
      </c>
      <c r="AB302" s="61">
        <v>99</v>
      </c>
      <c r="AC302" s="61">
        <v>0</v>
      </c>
      <c r="AD302" s="63">
        <f t="shared" si="56"/>
        <v>0</v>
      </c>
      <c r="AE302" s="61">
        <v>13.483239782600348</v>
      </c>
      <c r="AF302" s="61">
        <v>0</v>
      </c>
      <c r="AG302" s="63">
        <f t="shared" si="57"/>
        <v>0</v>
      </c>
      <c r="AH302" s="61">
        <v>433.3888300698128</v>
      </c>
      <c r="AI302" s="61">
        <v>0</v>
      </c>
      <c r="AJ302" s="63">
        <f t="shared" si="58"/>
        <v>0</v>
      </c>
      <c r="AK302" s="61">
        <v>16.856280467662245</v>
      </c>
      <c r="AL302" s="61">
        <v>0</v>
      </c>
      <c r="AM302" s="63">
        <f t="shared" si="59"/>
        <v>0</v>
      </c>
      <c r="AN302" s="61">
        <v>22.825072068371306</v>
      </c>
      <c r="AO302" s="61">
        <v>0</v>
      </c>
      <c r="AP302" s="63">
        <f t="shared" si="60"/>
        <v>0</v>
      </c>
      <c r="AQ302" s="61">
        <v>57.395428273692062</v>
      </c>
      <c r="AR302" s="61">
        <v>0</v>
      </c>
      <c r="AS302" s="63">
        <f t="shared" si="61"/>
        <v>0</v>
      </c>
      <c r="AT302" s="61">
        <v>17</v>
      </c>
      <c r="AU302" s="61">
        <v>0</v>
      </c>
      <c r="AV302" s="63">
        <f t="shared" si="62"/>
        <v>0</v>
      </c>
      <c r="AW302" s="61">
        <v>18.049275865442311</v>
      </c>
      <c r="AX302" s="61">
        <v>0</v>
      </c>
      <c r="AY302" s="63">
        <f t="shared" si="63"/>
        <v>0</v>
      </c>
      <c r="AZ302" s="61">
        <v>50.248737567138015</v>
      </c>
      <c r="BA302" s="61">
        <v>0</v>
      </c>
      <c r="BB302" s="63">
        <f t="shared" si="64"/>
        <v>0</v>
      </c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</row>
    <row r="303" spans="1:87" x14ac:dyDescent="0.25">
      <c r="A303" s="128">
        <v>10194</v>
      </c>
      <c r="B303" s="128">
        <v>10224</v>
      </c>
      <c r="C303" s="128">
        <v>1091772317</v>
      </c>
      <c r="D303" s="128" t="s">
        <v>1113</v>
      </c>
      <c r="E303" s="128" t="s">
        <v>546</v>
      </c>
      <c r="F303" s="128" t="s">
        <v>546</v>
      </c>
      <c r="G303" s="128" t="s">
        <v>1114</v>
      </c>
      <c r="H303" s="128" t="s">
        <v>1114</v>
      </c>
      <c r="I303" s="128" t="s">
        <v>1218</v>
      </c>
      <c r="J303" s="128" t="s">
        <v>1086</v>
      </c>
      <c r="K303" s="128" t="s">
        <v>1100</v>
      </c>
      <c r="L303" s="128">
        <v>75004</v>
      </c>
      <c r="M303" s="128" t="s">
        <v>1145</v>
      </c>
      <c r="N303" s="128"/>
      <c r="O303" s="168"/>
      <c r="P303" s="157">
        <v>138097.560672411</v>
      </c>
      <c r="Q303" s="61">
        <v>86761.76</v>
      </c>
      <c r="R303" s="63">
        <f t="shared" si="52"/>
        <v>0.62826424722890262</v>
      </c>
      <c r="S303" s="61">
        <v>14053.337730032945</v>
      </c>
      <c r="T303" s="61">
        <v>10432.17</v>
      </c>
      <c r="U303" s="63">
        <f t="shared" si="53"/>
        <v>0.74232685504353446</v>
      </c>
      <c r="V303" s="61">
        <v>42018.042586246258</v>
      </c>
      <c r="W303" s="61">
        <v>15360.009999999998</v>
      </c>
      <c r="X303" s="63">
        <f t="shared" si="54"/>
        <v>0.36555748565564505</v>
      </c>
      <c r="Y303" s="61">
        <v>1532.29502324539</v>
      </c>
      <c r="Z303" s="102">
        <v>0</v>
      </c>
      <c r="AA303" s="63">
        <f t="shared" si="55"/>
        <v>0</v>
      </c>
      <c r="AB303" s="61">
        <v>21.5</v>
      </c>
      <c r="AC303" s="61">
        <v>12</v>
      </c>
      <c r="AD303" s="63">
        <f t="shared" si="56"/>
        <v>0.55813953488372092</v>
      </c>
      <c r="AE303" s="61">
        <v>3.0159878461079725</v>
      </c>
      <c r="AF303" s="61">
        <v>0</v>
      </c>
      <c r="AG303" s="63">
        <f t="shared" si="57"/>
        <v>0</v>
      </c>
      <c r="AH303" s="61">
        <v>106.69776462087918</v>
      </c>
      <c r="AI303" s="61">
        <v>28</v>
      </c>
      <c r="AJ303" s="63">
        <f t="shared" si="58"/>
        <v>0.26242349218364797</v>
      </c>
      <c r="AK303" s="61">
        <v>3.770483788819186</v>
      </c>
      <c r="AL303" s="61">
        <v>1</v>
      </c>
      <c r="AM303" s="63">
        <f t="shared" si="59"/>
        <v>0.26521795504474854</v>
      </c>
      <c r="AN303" s="61">
        <v>5.105608225819898</v>
      </c>
      <c r="AO303" s="61">
        <v>5</v>
      </c>
      <c r="AP303" s="63">
        <f t="shared" si="60"/>
        <v>0.97931525076957138</v>
      </c>
      <c r="AQ303" s="61">
        <v>12.838451061220592</v>
      </c>
      <c r="AR303" s="61">
        <v>4</v>
      </c>
      <c r="AS303" s="63">
        <f t="shared" si="61"/>
        <v>0.31156406492698097</v>
      </c>
      <c r="AT303" s="61">
        <v>4</v>
      </c>
      <c r="AU303" s="61">
        <v>0</v>
      </c>
      <c r="AV303" s="63">
        <f t="shared" si="62"/>
        <v>0</v>
      </c>
      <c r="AW303" s="61">
        <v>4.0416674270182762</v>
      </c>
      <c r="AX303" s="61">
        <v>0</v>
      </c>
      <c r="AY303" s="63">
        <f t="shared" si="63"/>
        <v>0</v>
      </c>
      <c r="AZ303" s="61">
        <v>11.239849192649293</v>
      </c>
      <c r="BA303" s="61">
        <v>4</v>
      </c>
      <c r="BB303" s="63">
        <f t="shared" si="64"/>
        <v>0.3558766609267271</v>
      </c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</row>
    <row r="304" spans="1:87" x14ac:dyDescent="0.25">
      <c r="A304" s="128">
        <v>10213</v>
      </c>
      <c r="B304" s="128">
        <v>10224</v>
      </c>
      <c r="C304" s="128">
        <v>1075849107</v>
      </c>
      <c r="D304" s="128" t="s">
        <v>1101</v>
      </c>
      <c r="E304" s="128" t="s">
        <v>546</v>
      </c>
      <c r="F304" s="128" t="s">
        <v>546</v>
      </c>
      <c r="G304" s="128" t="s">
        <v>1102</v>
      </c>
      <c r="H304" s="128" t="s">
        <v>1103</v>
      </c>
      <c r="I304" s="128" t="s">
        <v>1218</v>
      </c>
      <c r="J304" s="128" t="s">
        <v>1086</v>
      </c>
      <c r="K304" s="128" t="s">
        <v>1100</v>
      </c>
      <c r="L304" s="128">
        <v>75004</v>
      </c>
      <c r="M304" s="128" t="s">
        <v>1215</v>
      </c>
      <c r="N304" s="128"/>
      <c r="O304" s="168"/>
      <c r="P304" s="157">
        <v>138097.560672411</v>
      </c>
      <c r="Q304" s="61">
        <v>128981.81000000001</v>
      </c>
      <c r="R304" s="63">
        <f t="shared" si="52"/>
        <v>0.93399050187399779</v>
      </c>
      <c r="S304" s="61">
        <v>14053.337730032945</v>
      </c>
      <c r="T304" s="61">
        <v>6954.78</v>
      </c>
      <c r="U304" s="63">
        <f t="shared" si="53"/>
        <v>0.49488457002902297</v>
      </c>
      <c r="V304" s="61">
        <v>44468.042670610157</v>
      </c>
      <c r="W304" s="61">
        <v>16206.51</v>
      </c>
      <c r="X304" s="63">
        <f t="shared" si="54"/>
        <v>0.36445296502135488</v>
      </c>
      <c r="Y304" s="61">
        <v>1303.7235000000001</v>
      </c>
      <c r="Z304" s="102">
        <v>0</v>
      </c>
      <c r="AA304" s="63">
        <f t="shared" si="55"/>
        <v>0</v>
      </c>
      <c r="AB304" s="61">
        <v>21.5</v>
      </c>
      <c r="AC304" s="61">
        <v>6</v>
      </c>
      <c r="AD304" s="63">
        <f t="shared" si="56"/>
        <v>0.27906976744186046</v>
      </c>
      <c r="AE304" s="61">
        <v>3.0159878461079725</v>
      </c>
      <c r="AF304" s="61">
        <v>0</v>
      </c>
      <c r="AG304" s="63">
        <f t="shared" si="57"/>
        <v>0</v>
      </c>
      <c r="AH304" s="61">
        <v>106.69776462087918</v>
      </c>
      <c r="AI304" s="61">
        <v>33</v>
      </c>
      <c r="AJ304" s="63">
        <f t="shared" si="58"/>
        <v>0.30928483007358509</v>
      </c>
      <c r="AK304" s="61">
        <v>3.770483788819186</v>
      </c>
      <c r="AL304" s="61">
        <v>3</v>
      </c>
      <c r="AM304" s="63">
        <f t="shared" si="59"/>
        <v>0.79565386513424563</v>
      </c>
      <c r="AN304" s="61">
        <v>5.105608225819898</v>
      </c>
      <c r="AO304" s="61">
        <v>0</v>
      </c>
      <c r="AP304" s="63">
        <f t="shared" si="60"/>
        <v>0</v>
      </c>
      <c r="AQ304" s="61">
        <v>12.838451061220592</v>
      </c>
      <c r="AR304" s="61">
        <v>3</v>
      </c>
      <c r="AS304" s="63">
        <f t="shared" si="61"/>
        <v>0.2336730486952357</v>
      </c>
      <c r="AT304" s="61">
        <v>4</v>
      </c>
      <c r="AU304" s="61">
        <v>2</v>
      </c>
      <c r="AV304" s="63">
        <f t="shared" si="62"/>
        <v>0.5</v>
      </c>
      <c r="AW304" s="61">
        <v>4.0416674270182762</v>
      </c>
      <c r="AX304" s="61">
        <v>0</v>
      </c>
      <c r="AY304" s="63">
        <f t="shared" si="63"/>
        <v>0</v>
      </c>
      <c r="AZ304" s="61">
        <v>15</v>
      </c>
      <c r="BA304" s="61">
        <v>7</v>
      </c>
      <c r="BB304" s="63">
        <f t="shared" si="64"/>
        <v>0.46666666666666667</v>
      </c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</row>
    <row r="305" spans="1:87" x14ac:dyDescent="0.25">
      <c r="A305" s="128">
        <v>7297</v>
      </c>
      <c r="B305" s="128">
        <v>10224</v>
      </c>
      <c r="C305" s="128">
        <v>1074722198</v>
      </c>
      <c r="D305" s="128" t="s">
        <v>1115</v>
      </c>
      <c r="E305" s="128" t="s">
        <v>546</v>
      </c>
      <c r="F305" s="128" t="s">
        <v>546</v>
      </c>
      <c r="G305" s="128" t="s">
        <v>1116</v>
      </c>
      <c r="H305" s="128" t="s">
        <v>1116</v>
      </c>
      <c r="I305" s="128" t="s">
        <v>1218</v>
      </c>
      <c r="J305" s="128" t="s">
        <v>1086</v>
      </c>
      <c r="K305" s="128" t="s">
        <v>1100</v>
      </c>
      <c r="L305" s="128">
        <v>75004</v>
      </c>
      <c r="M305" s="128"/>
      <c r="N305" s="128"/>
      <c r="O305" s="168"/>
      <c r="P305" s="157">
        <v>138097.560672411</v>
      </c>
      <c r="Q305" s="61">
        <v>172685.27999999997</v>
      </c>
      <c r="R305" s="63">
        <f t="shared" si="52"/>
        <v>1.2504585827524966</v>
      </c>
      <c r="S305" s="61">
        <v>14053.337730032945</v>
      </c>
      <c r="T305" s="61">
        <v>10171.299999999999</v>
      </c>
      <c r="U305" s="63">
        <f t="shared" si="53"/>
        <v>0.72376400506359673</v>
      </c>
      <c r="V305" s="61">
        <v>41818.042586246258</v>
      </c>
      <c r="W305" s="61">
        <v>26022.61</v>
      </c>
      <c r="X305" s="63">
        <f t="shared" si="54"/>
        <v>0.62228187621002384</v>
      </c>
      <c r="Y305" s="61">
        <v>1303.7235000000001</v>
      </c>
      <c r="Z305" s="102">
        <v>0</v>
      </c>
      <c r="AA305" s="63">
        <f t="shared" si="55"/>
        <v>0</v>
      </c>
      <c r="AB305" s="61">
        <v>21.5</v>
      </c>
      <c r="AC305" s="61">
        <v>5</v>
      </c>
      <c r="AD305" s="63">
        <f t="shared" si="56"/>
        <v>0.23255813953488372</v>
      </c>
      <c r="AE305" s="61">
        <v>3.0159878461079725</v>
      </c>
      <c r="AF305" s="61">
        <v>1</v>
      </c>
      <c r="AG305" s="63">
        <f t="shared" si="57"/>
        <v>0.33156632288504251</v>
      </c>
      <c r="AH305" s="61">
        <v>106.69776462087918</v>
      </c>
      <c r="AI305" s="61">
        <v>82</v>
      </c>
      <c r="AJ305" s="63">
        <f t="shared" si="58"/>
        <v>0.7685259413949691</v>
      </c>
      <c r="AK305" s="61">
        <v>3.770483788819186</v>
      </c>
      <c r="AL305" s="61">
        <v>1</v>
      </c>
      <c r="AM305" s="63">
        <f t="shared" si="59"/>
        <v>0.26521795504474854</v>
      </c>
      <c r="AN305" s="61">
        <v>5.105608225819898</v>
      </c>
      <c r="AO305" s="61">
        <v>3</v>
      </c>
      <c r="AP305" s="63">
        <f t="shared" si="60"/>
        <v>0.58758915046174287</v>
      </c>
      <c r="AQ305" s="61">
        <v>12.838451061220592</v>
      </c>
      <c r="AR305" s="61">
        <v>2</v>
      </c>
      <c r="AS305" s="63">
        <f t="shared" si="61"/>
        <v>0.15578203246349048</v>
      </c>
      <c r="AT305" s="61">
        <v>4</v>
      </c>
      <c r="AU305" s="61">
        <v>3</v>
      </c>
      <c r="AV305" s="63">
        <f t="shared" si="62"/>
        <v>0.75</v>
      </c>
      <c r="AW305" s="61">
        <v>4.0416674270182762</v>
      </c>
      <c r="AX305" s="61">
        <v>0</v>
      </c>
      <c r="AY305" s="63">
        <f t="shared" si="63"/>
        <v>0</v>
      </c>
      <c r="AZ305" s="61">
        <v>7</v>
      </c>
      <c r="BA305" s="61">
        <v>1</v>
      </c>
      <c r="BB305" s="63">
        <f t="shared" si="64"/>
        <v>0.14285714285714285</v>
      </c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</row>
    <row r="306" spans="1:87" x14ac:dyDescent="0.25">
      <c r="A306" s="128">
        <v>11834</v>
      </c>
      <c r="B306" s="128">
        <v>10224</v>
      </c>
      <c r="C306" s="128">
        <v>1074718832</v>
      </c>
      <c r="D306" s="128" t="s">
        <v>1170</v>
      </c>
      <c r="E306" s="128" t="s">
        <v>546</v>
      </c>
      <c r="F306" s="128" t="s">
        <v>546</v>
      </c>
      <c r="G306" s="128" t="s">
        <v>1171</v>
      </c>
      <c r="H306" s="128" t="s">
        <v>1171</v>
      </c>
      <c r="I306" s="128" t="s">
        <v>1218</v>
      </c>
      <c r="J306" s="128" t="s">
        <v>1086</v>
      </c>
      <c r="K306" s="128" t="s">
        <v>1100</v>
      </c>
      <c r="L306" s="128">
        <v>75004</v>
      </c>
      <c r="M306" s="128"/>
      <c r="N306" s="128"/>
      <c r="O306" s="168"/>
      <c r="P306" s="157">
        <v>138097.560672411</v>
      </c>
      <c r="Q306" s="61">
        <v>266442.71000000002</v>
      </c>
      <c r="R306" s="63">
        <f t="shared" si="52"/>
        <v>1.9293802779908893</v>
      </c>
      <c r="S306" s="61">
        <v>14053.337730032945</v>
      </c>
      <c r="T306" s="61">
        <v>10464.630000000003</v>
      </c>
      <c r="U306" s="63">
        <f t="shared" si="53"/>
        <v>0.7446366266169191</v>
      </c>
      <c r="V306" s="61">
        <v>42018.042586246258</v>
      </c>
      <c r="W306" s="61">
        <v>21467.559999999998</v>
      </c>
      <c r="X306" s="63">
        <f t="shared" si="54"/>
        <v>0.51091290023650371</v>
      </c>
      <c r="Y306" s="61">
        <v>1303.7235000000001</v>
      </c>
      <c r="Z306" s="102">
        <v>0</v>
      </c>
      <c r="AA306" s="63">
        <f t="shared" si="55"/>
        <v>0</v>
      </c>
      <c r="AB306" s="61">
        <v>21.5</v>
      </c>
      <c r="AC306" s="61">
        <v>6</v>
      </c>
      <c r="AD306" s="63">
        <f t="shared" si="56"/>
        <v>0.27906976744186046</v>
      </c>
      <c r="AE306" s="61">
        <v>3.0159878461079725</v>
      </c>
      <c r="AF306" s="61">
        <v>4</v>
      </c>
      <c r="AG306" s="63">
        <f t="shared" si="57"/>
        <v>1.32626529154017</v>
      </c>
      <c r="AH306" s="61">
        <v>106.69776462087918</v>
      </c>
      <c r="AI306" s="61">
        <v>144</v>
      </c>
      <c r="AJ306" s="63">
        <f t="shared" si="58"/>
        <v>1.3496065312301897</v>
      </c>
      <c r="AK306" s="61">
        <v>3.770483788819186</v>
      </c>
      <c r="AL306" s="61">
        <v>5</v>
      </c>
      <c r="AM306" s="63">
        <f t="shared" si="59"/>
        <v>1.3260897752237426</v>
      </c>
      <c r="AN306" s="61">
        <v>5.105608225819898</v>
      </c>
      <c r="AO306" s="61">
        <v>5</v>
      </c>
      <c r="AP306" s="63">
        <f t="shared" si="60"/>
        <v>0.97931525076957138</v>
      </c>
      <c r="AQ306" s="61">
        <v>12.838451061220592</v>
      </c>
      <c r="AR306" s="61">
        <v>8</v>
      </c>
      <c r="AS306" s="63">
        <f t="shared" si="61"/>
        <v>0.62312812985396193</v>
      </c>
      <c r="AT306" s="61">
        <v>4</v>
      </c>
      <c r="AU306" s="61">
        <v>3</v>
      </c>
      <c r="AV306" s="63">
        <f t="shared" si="62"/>
        <v>0.75</v>
      </c>
      <c r="AW306" s="61">
        <v>4.0416674270182762</v>
      </c>
      <c r="AX306" s="61">
        <v>0</v>
      </c>
      <c r="AY306" s="63">
        <f t="shared" si="63"/>
        <v>0</v>
      </c>
      <c r="AZ306" s="61">
        <v>11.239849192649293</v>
      </c>
      <c r="BA306" s="61">
        <v>9</v>
      </c>
      <c r="BB306" s="63">
        <f t="shared" si="64"/>
        <v>0.80072248708513594</v>
      </c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</row>
    <row r="307" spans="1:87" x14ac:dyDescent="0.25">
      <c r="A307" s="128">
        <v>8346</v>
      </c>
      <c r="B307" s="128">
        <v>10224</v>
      </c>
      <c r="C307" s="128">
        <v>1072442716</v>
      </c>
      <c r="D307" s="128" t="s">
        <v>1234</v>
      </c>
      <c r="E307" s="128" t="s">
        <v>546</v>
      </c>
      <c r="F307" s="128" t="s">
        <v>546</v>
      </c>
      <c r="G307" s="128" t="s">
        <v>1235</v>
      </c>
      <c r="H307" s="128" t="s">
        <v>1235</v>
      </c>
      <c r="I307" s="128" t="s">
        <v>1218</v>
      </c>
      <c r="J307" s="128" t="s">
        <v>1086</v>
      </c>
      <c r="K307" s="128" t="s">
        <v>1100</v>
      </c>
      <c r="L307" s="128">
        <v>75004</v>
      </c>
      <c r="M307" s="128"/>
      <c r="N307" s="128"/>
      <c r="O307" s="168"/>
      <c r="P307" s="157">
        <v>64325.322669369903</v>
      </c>
      <c r="Q307" s="61">
        <v>112355.69</v>
      </c>
      <c r="R307" s="63">
        <f t="shared" si="52"/>
        <v>1.7466789957277735</v>
      </c>
      <c r="S307" s="61">
        <v>7215.2763553096211</v>
      </c>
      <c r="T307" s="61">
        <v>7715.36</v>
      </c>
      <c r="U307" s="63">
        <f t="shared" si="53"/>
        <v>1.0693090077308507</v>
      </c>
      <c r="V307" s="61">
        <v>19640.843275880594</v>
      </c>
      <c r="W307" s="61">
        <v>20199.650000000001</v>
      </c>
      <c r="X307" s="63">
        <f t="shared" si="54"/>
        <v>1.028451259259608</v>
      </c>
      <c r="Y307" s="61">
        <v>0</v>
      </c>
      <c r="Z307" s="102">
        <v>0</v>
      </c>
      <c r="AA307" s="63" t="e">
        <f t="shared" si="55"/>
        <v>#DIV/0!</v>
      </c>
      <c r="AB307" s="61">
        <v>13</v>
      </c>
      <c r="AC307" s="61">
        <v>3</v>
      </c>
      <c r="AD307" s="63">
        <f t="shared" si="56"/>
        <v>0.23076923076923078</v>
      </c>
      <c r="AE307" s="61">
        <v>1.4192883981684576</v>
      </c>
      <c r="AF307" s="61">
        <v>1</v>
      </c>
      <c r="AG307" s="63">
        <f t="shared" si="57"/>
        <v>0.70457843613071536</v>
      </c>
      <c r="AH307" s="61">
        <v>6.5977715862960808</v>
      </c>
      <c r="AI307" s="61">
        <v>46</v>
      </c>
      <c r="AJ307" s="63">
        <f t="shared" si="58"/>
        <v>6.9720510021208408</v>
      </c>
      <c r="AK307" s="61">
        <v>1.7743453123854995</v>
      </c>
      <c r="AL307" s="61">
        <v>1</v>
      </c>
      <c r="AM307" s="63">
        <f t="shared" si="59"/>
        <v>0.56358815447009059</v>
      </c>
      <c r="AN307" s="61">
        <v>2.4026391650917165</v>
      </c>
      <c r="AO307" s="61">
        <v>0</v>
      </c>
      <c r="AP307" s="63">
        <f t="shared" si="60"/>
        <v>0</v>
      </c>
      <c r="AQ307" s="61">
        <v>6.0416240288096903</v>
      </c>
      <c r="AR307" s="61">
        <v>2</v>
      </c>
      <c r="AS307" s="63">
        <f t="shared" si="61"/>
        <v>0.33103681898491727</v>
      </c>
      <c r="AT307" s="61">
        <v>1</v>
      </c>
      <c r="AU307" s="61">
        <v>0</v>
      </c>
      <c r="AV307" s="63">
        <f t="shared" si="62"/>
        <v>0</v>
      </c>
      <c r="AW307" s="61">
        <v>1.8825934368381028</v>
      </c>
      <c r="AX307" s="61">
        <v>0</v>
      </c>
      <c r="AY307" s="63">
        <f t="shared" si="63"/>
        <v>0</v>
      </c>
      <c r="AZ307" s="61">
        <v>5.2893407965408441</v>
      </c>
      <c r="BA307" s="61">
        <v>9</v>
      </c>
      <c r="BB307" s="63">
        <f t="shared" si="64"/>
        <v>1.701535285055914</v>
      </c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</row>
    <row r="308" spans="1:87" x14ac:dyDescent="0.25">
      <c r="A308" s="128">
        <v>21755</v>
      </c>
      <c r="B308" s="128">
        <v>21414</v>
      </c>
      <c r="C308" s="128">
        <v>1048209785</v>
      </c>
      <c r="D308" s="128" t="s">
        <v>1117</v>
      </c>
      <c r="E308" s="128" t="s">
        <v>541</v>
      </c>
      <c r="F308" s="128" t="s">
        <v>541</v>
      </c>
      <c r="G308" s="128" t="s">
        <v>1118</v>
      </c>
      <c r="H308" s="128" t="s">
        <v>1118</v>
      </c>
      <c r="I308" s="128" t="s">
        <v>1218</v>
      </c>
      <c r="J308" s="128" t="s">
        <v>1086</v>
      </c>
      <c r="K308" s="128" t="s">
        <v>1119</v>
      </c>
      <c r="L308" s="128">
        <v>75005</v>
      </c>
      <c r="M308" s="128"/>
      <c r="N308" s="128"/>
      <c r="O308" s="168"/>
      <c r="P308" s="169">
        <v>460138.70483252755</v>
      </c>
      <c r="Q308" s="61">
        <v>0</v>
      </c>
      <c r="R308" s="63">
        <f t="shared" si="52"/>
        <v>0</v>
      </c>
      <c r="S308" s="61">
        <v>56379.505110513608</v>
      </c>
      <c r="T308" s="61">
        <v>0</v>
      </c>
      <c r="U308" s="63">
        <f t="shared" si="53"/>
        <v>0</v>
      </c>
      <c r="V308" s="61">
        <v>156059.79617503792</v>
      </c>
      <c r="W308" s="61">
        <v>0</v>
      </c>
      <c r="X308" s="63">
        <f t="shared" si="54"/>
        <v>0</v>
      </c>
      <c r="Y308" s="61">
        <v>4826.4272540210259</v>
      </c>
      <c r="Z308" s="102">
        <v>0</v>
      </c>
      <c r="AA308" s="63">
        <f t="shared" si="55"/>
        <v>0</v>
      </c>
      <c r="AB308" s="61">
        <v>67</v>
      </c>
      <c r="AC308" s="61">
        <v>0</v>
      </c>
      <c r="AD308" s="63">
        <f t="shared" si="56"/>
        <v>0</v>
      </c>
      <c r="AE308" s="61">
        <v>11.568539396391955</v>
      </c>
      <c r="AF308" s="61">
        <v>0</v>
      </c>
      <c r="AG308" s="63">
        <f t="shared" si="57"/>
        <v>0</v>
      </c>
      <c r="AH308" s="61">
        <v>355.83806274113033</v>
      </c>
      <c r="AI308" s="61">
        <v>0</v>
      </c>
      <c r="AJ308" s="63">
        <f t="shared" si="58"/>
        <v>0</v>
      </c>
      <c r="AK308" s="61">
        <v>14.462588206613882</v>
      </c>
      <c r="AL308" s="61">
        <v>0</v>
      </c>
      <c r="AM308" s="63">
        <f t="shared" si="59"/>
        <v>0</v>
      </c>
      <c r="AN308" s="61">
        <v>19.583775836219274</v>
      </c>
      <c r="AO308" s="61">
        <v>0</v>
      </c>
      <c r="AP308" s="63">
        <f t="shared" si="60"/>
        <v>0</v>
      </c>
      <c r="AQ308" s="61">
        <v>26.883176108158651</v>
      </c>
      <c r="AR308" s="61">
        <v>0</v>
      </c>
      <c r="AS308" s="63">
        <f t="shared" si="61"/>
        <v>0</v>
      </c>
      <c r="AT308" s="61">
        <v>16.219935023428135</v>
      </c>
      <c r="AU308" s="61">
        <v>0</v>
      </c>
      <c r="AV308" s="63">
        <f t="shared" si="62"/>
        <v>0</v>
      </c>
      <c r="AW308" s="61">
        <v>13.466766582818709</v>
      </c>
      <c r="AX308" s="61">
        <v>0</v>
      </c>
      <c r="AY308" s="63">
        <f t="shared" si="63"/>
        <v>0</v>
      </c>
      <c r="AZ308" s="61">
        <v>43.113117435955552</v>
      </c>
      <c r="BA308" s="61">
        <v>0</v>
      </c>
      <c r="BB308" s="63">
        <f t="shared" si="64"/>
        <v>0</v>
      </c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</row>
    <row r="309" spans="1:87" x14ac:dyDescent="0.25">
      <c r="A309" s="113">
        <v>10212</v>
      </c>
      <c r="B309" s="113">
        <v>21755</v>
      </c>
      <c r="C309" s="113">
        <v>1074869833</v>
      </c>
      <c r="D309" s="113" t="s">
        <v>1120</v>
      </c>
      <c r="E309" s="113" t="s">
        <v>544</v>
      </c>
      <c r="F309" s="113" t="s">
        <v>544</v>
      </c>
      <c r="G309" s="113" t="s">
        <v>1121</v>
      </c>
      <c r="H309" s="113" t="s">
        <v>1122</v>
      </c>
      <c r="I309" s="113" t="s">
        <v>1218</v>
      </c>
      <c r="J309" s="113" t="s">
        <v>1086</v>
      </c>
      <c r="K309" s="113" t="s">
        <v>1119</v>
      </c>
      <c r="L309" s="113">
        <v>75005</v>
      </c>
      <c r="M309" s="113"/>
      <c r="N309" s="113"/>
      <c r="O309" s="114"/>
      <c r="P309" s="115">
        <v>460138.70483252755</v>
      </c>
      <c r="Q309" s="61">
        <v>0</v>
      </c>
      <c r="R309" s="63">
        <f t="shared" si="52"/>
        <v>0</v>
      </c>
      <c r="S309" s="61">
        <v>56379.505110513608</v>
      </c>
      <c r="T309" s="61">
        <v>0</v>
      </c>
      <c r="U309" s="63">
        <f t="shared" si="53"/>
        <v>0</v>
      </c>
      <c r="V309" s="61">
        <v>156059.79617503792</v>
      </c>
      <c r="W309" s="61">
        <v>0</v>
      </c>
      <c r="X309" s="63">
        <f t="shared" si="54"/>
        <v>0</v>
      </c>
      <c r="Y309" s="61">
        <v>4826.4272540210259</v>
      </c>
      <c r="Z309" s="102">
        <v>0</v>
      </c>
      <c r="AA309" s="63">
        <f t="shared" si="55"/>
        <v>0</v>
      </c>
      <c r="AB309" s="61">
        <v>67</v>
      </c>
      <c r="AC309" s="61">
        <v>0</v>
      </c>
      <c r="AD309" s="63">
        <f t="shared" si="56"/>
        <v>0</v>
      </c>
      <c r="AE309" s="61">
        <v>11.568539396391955</v>
      </c>
      <c r="AF309" s="61">
        <v>0</v>
      </c>
      <c r="AG309" s="63">
        <f t="shared" si="57"/>
        <v>0</v>
      </c>
      <c r="AH309" s="61">
        <v>355.83806274113033</v>
      </c>
      <c r="AI309" s="61">
        <v>0</v>
      </c>
      <c r="AJ309" s="63">
        <f t="shared" si="58"/>
        <v>0</v>
      </c>
      <c r="AK309" s="61">
        <v>14.462588206613882</v>
      </c>
      <c r="AL309" s="61">
        <v>0</v>
      </c>
      <c r="AM309" s="63">
        <f t="shared" si="59"/>
        <v>0</v>
      </c>
      <c r="AN309" s="61">
        <v>19.583775836219274</v>
      </c>
      <c r="AO309" s="61">
        <v>0</v>
      </c>
      <c r="AP309" s="63">
        <f t="shared" si="60"/>
        <v>0</v>
      </c>
      <c r="AQ309" s="61">
        <v>26.883176108158651</v>
      </c>
      <c r="AR309" s="61">
        <v>0</v>
      </c>
      <c r="AS309" s="63">
        <f t="shared" si="61"/>
        <v>0</v>
      </c>
      <c r="AT309" s="61">
        <v>16.219935023428135</v>
      </c>
      <c r="AU309" s="61">
        <v>0</v>
      </c>
      <c r="AV309" s="63">
        <f t="shared" si="62"/>
        <v>0</v>
      </c>
      <c r="AW309" s="61">
        <v>13.466766582818709</v>
      </c>
      <c r="AX309" s="61">
        <v>0</v>
      </c>
      <c r="AY309" s="63">
        <f t="shared" si="63"/>
        <v>0</v>
      </c>
      <c r="AZ309" s="61">
        <v>43.113117435955552</v>
      </c>
      <c r="BA309" s="61">
        <v>0</v>
      </c>
      <c r="BB309" s="63">
        <f t="shared" si="64"/>
        <v>0</v>
      </c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</row>
    <row r="310" spans="1:87" x14ac:dyDescent="0.25">
      <c r="A310" s="213">
        <v>20543</v>
      </c>
      <c r="B310" s="213">
        <v>10212</v>
      </c>
      <c r="C310" s="213">
        <v>1098999665</v>
      </c>
      <c r="D310" s="213" t="s">
        <v>1132</v>
      </c>
      <c r="E310" s="213" t="s">
        <v>546</v>
      </c>
      <c r="F310" s="213" t="s">
        <v>546</v>
      </c>
      <c r="G310" s="213" t="s">
        <v>1133</v>
      </c>
      <c r="H310" s="213" t="s">
        <v>1133</v>
      </c>
      <c r="I310" s="213" t="s">
        <v>1218</v>
      </c>
      <c r="J310" s="213" t="s">
        <v>1086</v>
      </c>
      <c r="K310" s="213" t="s">
        <v>1119</v>
      </c>
      <c r="L310" s="213">
        <v>75005</v>
      </c>
      <c r="M310" s="213"/>
      <c r="N310" s="213"/>
      <c r="O310" s="231"/>
      <c r="P310" s="232">
        <v>151759.56827750901</v>
      </c>
      <c r="Q310" s="61">
        <v>121727.88</v>
      </c>
      <c r="R310" s="63">
        <f t="shared" si="52"/>
        <v>0.80211008361204106</v>
      </c>
      <c r="S310" s="61">
        <v>16533.168370171181</v>
      </c>
      <c r="T310" s="61">
        <v>0</v>
      </c>
      <c r="U310" s="63">
        <f t="shared" si="53"/>
        <v>0</v>
      </c>
      <c r="V310" s="61">
        <v>51678.321039782364</v>
      </c>
      <c r="W310" s="61">
        <v>22106.960000000003</v>
      </c>
      <c r="X310" s="63">
        <f t="shared" si="54"/>
        <v>0.42778015142910503</v>
      </c>
      <c r="Y310" s="61">
        <v>1508.80908467368</v>
      </c>
      <c r="Z310" s="102">
        <v>0</v>
      </c>
      <c r="AA310" s="63">
        <f t="shared" si="55"/>
        <v>0</v>
      </c>
      <c r="AB310" s="61">
        <v>22.332999999999998</v>
      </c>
      <c r="AC310" s="61">
        <v>4</v>
      </c>
      <c r="AD310" s="63">
        <f t="shared" si="56"/>
        <v>0.17910715085299783</v>
      </c>
      <c r="AE310" s="61">
        <v>3.8561797987973185</v>
      </c>
      <c r="AF310" s="61">
        <v>2</v>
      </c>
      <c r="AG310" s="63">
        <f t="shared" si="57"/>
        <v>0.51864801548510997</v>
      </c>
      <c r="AH310" s="61">
        <v>118.61268758037677</v>
      </c>
      <c r="AI310" s="61">
        <v>69</v>
      </c>
      <c r="AJ310" s="63">
        <f t="shared" si="58"/>
        <v>0.5817252893223821</v>
      </c>
      <c r="AK310" s="61">
        <v>4.8208627355379612</v>
      </c>
      <c r="AL310" s="61">
        <v>4</v>
      </c>
      <c r="AM310" s="63">
        <f t="shared" si="59"/>
        <v>0.82972700519207776</v>
      </c>
      <c r="AN310" s="61">
        <v>7.9704342941268491</v>
      </c>
      <c r="AO310" s="61">
        <v>2</v>
      </c>
      <c r="AP310" s="63">
        <f t="shared" si="60"/>
        <v>0.2509273555487101</v>
      </c>
      <c r="AQ310" s="61">
        <v>8.9610587027195496</v>
      </c>
      <c r="AR310" s="61">
        <v>12</v>
      </c>
      <c r="AS310" s="63">
        <f t="shared" si="61"/>
        <v>1.3391274846082837</v>
      </c>
      <c r="AT310" s="61">
        <v>5.4066450078093782</v>
      </c>
      <c r="AU310" s="61">
        <v>1</v>
      </c>
      <c r="AV310" s="63">
        <f t="shared" si="62"/>
        <v>0.18495758433475773</v>
      </c>
      <c r="AW310" s="61">
        <v>4.4415100517275174</v>
      </c>
      <c r="AX310" s="61">
        <v>0</v>
      </c>
      <c r="AY310" s="63">
        <f t="shared" si="63"/>
        <v>0</v>
      </c>
      <c r="AZ310" s="61">
        <v>14.371039145318518</v>
      </c>
      <c r="BA310" s="61">
        <v>5</v>
      </c>
      <c r="BB310" s="63">
        <f t="shared" si="64"/>
        <v>0.34792195257701947</v>
      </c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</row>
    <row r="311" spans="1:87" x14ac:dyDescent="0.25">
      <c r="A311" s="207">
        <v>23857</v>
      </c>
      <c r="B311" s="207">
        <v>10212</v>
      </c>
      <c r="C311" s="207">
        <v>1106631946</v>
      </c>
      <c r="D311" s="207" t="s">
        <v>1125</v>
      </c>
      <c r="E311" s="207" t="s">
        <v>546</v>
      </c>
      <c r="F311" s="207" t="s">
        <v>546</v>
      </c>
      <c r="G311" s="207" t="s">
        <v>1126</v>
      </c>
      <c r="H311" s="207" t="s">
        <v>1126</v>
      </c>
      <c r="I311" s="207" t="s">
        <v>1218</v>
      </c>
      <c r="J311" s="207" t="s">
        <v>1086</v>
      </c>
      <c r="K311" s="207" t="s">
        <v>1119</v>
      </c>
      <c r="L311" s="207">
        <v>75005</v>
      </c>
      <c r="M311" s="207" t="s">
        <v>1145</v>
      </c>
      <c r="N311" s="207"/>
      <c r="O311" s="229"/>
      <c r="P311" s="230">
        <v>158379.56827750901</v>
      </c>
      <c r="Q311" s="61">
        <v>78153.070000000007</v>
      </c>
      <c r="R311" s="63">
        <f t="shared" si="52"/>
        <v>0.49345424318282022</v>
      </c>
      <c r="S311" s="61">
        <v>15993.168370171181</v>
      </c>
      <c r="T311" s="61">
        <v>0</v>
      </c>
      <c r="U311" s="63">
        <f t="shared" si="53"/>
        <v>0</v>
      </c>
      <c r="V311" s="61">
        <v>52008.914725498398</v>
      </c>
      <c r="W311" s="61">
        <v>11254.78</v>
      </c>
      <c r="X311" s="63">
        <f t="shared" si="54"/>
        <v>0.21640097778241318</v>
      </c>
      <c r="Y311" s="61">
        <v>1808.80908467368</v>
      </c>
      <c r="Z311" s="102">
        <v>80</v>
      </c>
      <c r="AA311" s="63">
        <f t="shared" si="55"/>
        <v>4.4227995468318029E-2</v>
      </c>
      <c r="AB311" s="61">
        <v>22.332999999999998</v>
      </c>
      <c r="AC311" s="61">
        <v>4</v>
      </c>
      <c r="AD311" s="63">
        <f t="shared" si="56"/>
        <v>0.17910715085299783</v>
      </c>
      <c r="AE311" s="61">
        <v>3.8561797987973185</v>
      </c>
      <c r="AF311" s="61">
        <v>1</v>
      </c>
      <c r="AG311" s="63">
        <f t="shared" si="57"/>
        <v>0.25932400774255498</v>
      </c>
      <c r="AH311" s="61">
        <v>118.61268758037677</v>
      </c>
      <c r="AI311" s="61">
        <v>51</v>
      </c>
      <c r="AJ311" s="63">
        <f t="shared" si="58"/>
        <v>0.42997086602089113</v>
      </c>
      <c r="AK311" s="61">
        <v>4.8208627355379612</v>
      </c>
      <c r="AL311" s="61">
        <v>1</v>
      </c>
      <c r="AM311" s="63">
        <f t="shared" si="59"/>
        <v>0.20743175129801944</v>
      </c>
      <c r="AN311" s="61">
        <v>5.0854162633526157</v>
      </c>
      <c r="AO311" s="61">
        <v>1</v>
      </c>
      <c r="AP311" s="63">
        <f t="shared" si="60"/>
        <v>0.19664073661115386</v>
      </c>
      <c r="AQ311" s="61">
        <v>8.9610587027195496</v>
      </c>
      <c r="AR311" s="61">
        <v>4</v>
      </c>
      <c r="AS311" s="63">
        <f t="shared" si="61"/>
        <v>0.44637582820276123</v>
      </c>
      <c r="AT311" s="61">
        <v>5.4066450078093782</v>
      </c>
      <c r="AU311" s="61">
        <v>1</v>
      </c>
      <c r="AV311" s="63">
        <f t="shared" si="62"/>
        <v>0.18495758433475773</v>
      </c>
      <c r="AW311" s="61">
        <v>4.6352559675611076</v>
      </c>
      <c r="AX311" s="61">
        <v>0</v>
      </c>
      <c r="AY311" s="63">
        <f t="shared" si="63"/>
        <v>0</v>
      </c>
      <c r="AZ311" s="61">
        <v>14.371039145318518</v>
      </c>
      <c r="BA311" s="61">
        <v>2</v>
      </c>
      <c r="BB311" s="63">
        <f t="shared" si="64"/>
        <v>0.13916878103080779</v>
      </c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</row>
    <row r="312" spans="1:87" x14ac:dyDescent="0.25">
      <c r="A312" s="128">
        <v>9492</v>
      </c>
      <c r="B312" s="128">
        <v>10212</v>
      </c>
      <c r="C312" s="128">
        <v>1086446828</v>
      </c>
      <c r="D312" s="128" t="s">
        <v>1127</v>
      </c>
      <c r="E312" s="128" t="s">
        <v>546</v>
      </c>
      <c r="F312" s="128" t="s">
        <v>546</v>
      </c>
      <c r="G312" s="128" t="s">
        <v>1128</v>
      </c>
      <c r="H312" s="128" t="s">
        <v>1128</v>
      </c>
      <c r="I312" s="128" t="s">
        <v>1218</v>
      </c>
      <c r="J312" s="128" t="s">
        <v>1086</v>
      </c>
      <c r="K312" s="128" t="s">
        <v>1119</v>
      </c>
      <c r="L312" s="128">
        <v>75005</v>
      </c>
      <c r="M312" s="128"/>
      <c r="N312" s="128"/>
      <c r="O312" s="156"/>
      <c r="P312" s="157">
        <v>150000</v>
      </c>
      <c r="Q312" s="61">
        <v>169457.46999999997</v>
      </c>
      <c r="R312" s="63">
        <f t="shared" si="52"/>
        <v>1.1297164666666666</v>
      </c>
      <c r="S312" s="61">
        <v>23853.168370171181</v>
      </c>
      <c r="T312" s="61">
        <v>3702.61</v>
      </c>
      <c r="U312" s="63">
        <f t="shared" si="53"/>
        <v>0.15522508132002208</v>
      </c>
      <c r="V312" s="61">
        <v>52372.991870849357</v>
      </c>
      <c r="W312" s="61">
        <v>20409.550000000007</v>
      </c>
      <c r="X312" s="63">
        <f t="shared" si="54"/>
        <v>0.38969608706582026</v>
      </c>
      <c r="Y312" s="61">
        <v>1508.80908467368</v>
      </c>
      <c r="Z312" s="102">
        <v>0</v>
      </c>
      <c r="AA312" s="63">
        <f t="shared" si="55"/>
        <v>0</v>
      </c>
      <c r="AB312" s="61">
        <v>22.332999999999998</v>
      </c>
      <c r="AC312" s="61">
        <v>7</v>
      </c>
      <c r="AD312" s="63">
        <f t="shared" si="56"/>
        <v>0.31343751399274616</v>
      </c>
      <c r="AE312" s="61">
        <v>3.8561797987973185</v>
      </c>
      <c r="AF312" s="61">
        <v>0</v>
      </c>
      <c r="AG312" s="63">
        <f t="shared" si="57"/>
        <v>0</v>
      </c>
      <c r="AH312" s="61">
        <v>118.61268758037677</v>
      </c>
      <c r="AI312" s="61">
        <v>94</v>
      </c>
      <c r="AJ312" s="63">
        <f t="shared" si="58"/>
        <v>0.79249532168556402</v>
      </c>
      <c r="AK312" s="61">
        <v>4.8208627355379612</v>
      </c>
      <c r="AL312" s="61">
        <v>0</v>
      </c>
      <c r="AM312" s="63">
        <f t="shared" si="59"/>
        <v>0</v>
      </c>
      <c r="AN312" s="61">
        <v>5.0854162633526157</v>
      </c>
      <c r="AO312" s="61">
        <v>4</v>
      </c>
      <c r="AP312" s="63">
        <f t="shared" si="60"/>
        <v>0.78656294644461544</v>
      </c>
      <c r="AQ312" s="61">
        <v>8.9610587027195496</v>
      </c>
      <c r="AR312" s="61">
        <v>7</v>
      </c>
      <c r="AS312" s="63">
        <f t="shared" si="61"/>
        <v>0.78115769935483215</v>
      </c>
      <c r="AT312" s="61">
        <v>5.4066450078093782</v>
      </c>
      <c r="AU312" s="61">
        <v>3</v>
      </c>
      <c r="AV312" s="63">
        <f t="shared" si="62"/>
        <v>0.55487275300427319</v>
      </c>
      <c r="AW312" s="61">
        <v>4.390013198646292</v>
      </c>
      <c r="AX312" s="61">
        <v>0</v>
      </c>
      <c r="AY312" s="63">
        <f t="shared" si="63"/>
        <v>0</v>
      </c>
      <c r="AZ312" s="61">
        <v>14.371039145318518</v>
      </c>
      <c r="BA312" s="61">
        <v>4</v>
      </c>
      <c r="BB312" s="63">
        <f t="shared" si="64"/>
        <v>0.27833756206161558</v>
      </c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</row>
    <row r="313" spans="1:87" x14ac:dyDescent="0.25">
      <c r="A313" s="128">
        <v>21751</v>
      </c>
      <c r="B313" s="128">
        <v>21414</v>
      </c>
      <c r="C313" s="128">
        <v>1014365561</v>
      </c>
      <c r="D313" s="128" t="s">
        <v>1014</v>
      </c>
      <c r="E313" s="128" t="s">
        <v>1201</v>
      </c>
      <c r="F313" s="128" t="s">
        <v>1201</v>
      </c>
      <c r="G313" s="128" t="s">
        <v>1015</v>
      </c>
      <c r="H313" s="128" t="s">
        <v>1015</v>
      </c>
      <c r="I313" s="128" t="s">
        <v>1218</v>
      </c>
      <c r="J313" s="128" t="s">
        <v>970</v>
      </c>
      <c r="K313" s="128" t="s">
        <v>538</v>
      </c>
      <c r="L313" s="128" t="s">
        <v>539</v>
      </c>
      <c r="M313" s="128"/>
      <c r="N313" s="128"/>
      <c r="O313" s="156"/>
      <c r="P313" s="157">
        <v>4106056.5889904443</v>
      </c>
      <c r="Q313" s="61">
        <v>0</v>
      </c>
      <c r="R313" s="63">
        <f t="shared" si="52"/>
        <v>0</v>
      </c>
      <c r="S313" s="61">
        <v>479773.23283000547</v>
      </c>
      <c r="T313" s="61">
        <v>0</v>
      </c>
      <c r="U313" s="63">
        <f t="shared" si="53"/>
        <v>0</v>
      </c>
      <c r="V313" s="61">
        <v>1201298.3019503015</v>
      </c>
      <c r="W313" s="61">
        <v>0</v>
      </c>
      <c r="X313" s="63">
        <f t="shared" si="54"/>
        <v>0</v>
      </c>
      <c r="Y313" s="61">
        <v>40469.392691575049</v>
      </c>
      <c r="Z313" s="102">
        <v>0</v>
      </c>
      <c r="AA313" s="63">
        <f t="shared" si="55"/>
        <v>0</v>
      </c>
      <c r="AB313" s="61">
        <v>709.79327039309499</v>
      </c>
      <c r="AC313" s="61">
        <v>0</v>
      </c>
      <c r="AD313" s="63">
        <f t="shared" si="56"/>
        <v>0</v>
      </c>
      <c r="AE313" s="61">
        <v>120.73636118487586</v>
      </c>
      <c r="AF313" s="61">
        <v>0</v>
      </c>
      <c r="AG313" s="63">
        <f t="shared" si="57"/>
        <v>0</v>
      </c>
      <c r="AH313" s="61">
        <v>3795.0611764322393</v>
      </c>
      <c r="AI313" s="61">
        <v>0</v>
      </c>
      <c r="AJ313" s="63">
        <f t="shared" si="58"/>
        <v>0</v>
      </c>
      <c r="AK313" s="61">
        <v>147.52174165429003</v>
      </c>
      <c r="AL313" s="61">
        <v>0</v>
      </c>
      <c r="AM313" s="63">
        <f t="shared" si="59"/>
        <v>0</v>
      </c>
      <c r="AN313" s="61">
        <v>192.01228365691568</v>
      </c>
      <c r="AO313" s="61">
        <v>0</v>
      </c>
      <c r="AP313" s="63">
        <f t="shared" si="60"/>
        <v>0</v>
      </c>
      <c r="AQ313" s="61">
        <v>425.04140947217576</v>
      </c>
      <c r="AR313" s="61">
        <v>0</v>
      </c>
      <c r="AS313" s="63">
        <f t="shared" si="61"/>
        <v>0</v>
      </c>
      <c r="AT313" s="61">
        <v>177.6208002008149</v>
      </c>
      <c r="AU313" s="61">
        <v>0</v>
      </c>
      <c r="AV313" s="63">
        <f t="shared" si="62"/>
        <v>0</v>
      </c>
      <c r="AW313" s="61">
        <v>120.1709508003775</v>
      </c>
      <c r="AX313" s="61">
        <v>0</v>
      </c>
      <c r="AY313" s="63">
        <f t="shared" si="63"/>
        <v>0</v>
      </c>
      <c r="AZ313" s="61">
        <v>362.62781518727678</v>
      </c>
      <c r="BA313" s="61">
        <v>0</v>
      </c>
      <c r="BB313" s="63">
        <f t="shared" si="64"/>
        <v>0</v>
      </c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</row>
    <row r="314" spans="1:87" x14ac:dyDescent="0.25">
      <c r="A314" s="128" t="s">
        <v>972</v>
      </c>
      <c r="B314" s="128">
        <v>21751</v>
      </c>
      <c r="C314" s="128" t="s">
        <v>972</v>
      </c>
      <c r="D314" s="128" t="s">
        <v>973</v>
      </c>
      <c r="E314" s="128" t="s">
        <v>541</v>
      </c>
      <c r="F314" s="128" t="s">
        <v>541</v>
      </c>
      <c r="G314" s="128"/>
      <c r="H314" s="128"/>
      <c r="I314" s="128" t="s">
        <v>1218</v>
      </c>
      <c r="J314" s="128" t="s">
        <v>970</v>
      </c>
      <c r="K314" s="128" t="s">
        <v>1212</v>
      </c>
      <c r="L314" s="128">
        <v>75011</v>
      </c>
      <c r="M314" s="128"/>
      <c r="N314" s="128"/>
      <c r="O314" s="156"/>
      <c r="P314" s="157">
        <v>287423.96122933109</v>
      </c>
      <c r="Q314" s="61">
        <v>0</v>
      </c>
      <c r="R314" s="63">
        <f t="shared" si="52"/>
        <v>0</v>
      </c>
      <c r="S314" s="61">
        <v>33584.126298100389</v>
      </c>
      <c r="T314" s="61">
        <v>0</v>
      </c>
      <c r="U314" s="63">
        <f t="shared" si="53"/>
        <v>0</v>
      </c>
      <c r="V314" s="61">
        <v>84090.8811365211</v>
      </c>
      <c r="W314" s="61">
        <v>0</v>
      </c>
      <c r="X314" s="63">
        <f t="shared" si="54"/>
        <v>0</v>
      </c>
      <c r="Y314" s="61">
        <v>2832.8574884102536</v>
      </c>
      <c r="Z314" s="102">
        <v>0</v>
      </c>
      <c r="AA314" s="63">
        <f t="shared" si="55"/>
        <v>0</v>
      </c>
      <c r="AB314" s="61">
        <v>49.685528927516643</v>
      </c>
      <c r="AC314" s="61">
        <v>0</v>
      </c>
      <c r="AD314" s="63">
        <f t="shared" si="56"/>
        <v>0</v>
      </c>
      <c r="AE314" s="61">
        <v>8.4515452829413107</v>
      </c>
      <c r="AF314" s="61">
        <v>0</v>
      </c>
      <c r="AG314" s="63">
        <f t="shared" si="57"/>
        <v>0</v>
      </c>
      <c r="AH314" s="61">
        <v>265.65428235025678</v>
      </c>
      <c r="AI314" s="61">
        <v>0</v>
      </c>
      <c r="AJ314" s="63">
        <f t="shared" si="58"/>
        <v>0</v>
      </c>
      <c r="AK314" s="61">
        <v>10.326521915800305</v>
      </c>
      <c r="AL314" s="61">
        <v>0</v>
      </c>
      <c r="AM314" s="63">
        <f t="shared" si="59"/>
        <v>0</v>
      </c>
      <c r="AN314" s="61">
        <v>13.440859855984097</v>
      </c>
      <c r="AO314" s="61">
        <v>0</v>
      </c>
      <c r="AP314" s="63">
        <f t="shared" si="60"/>
        <v>0</v>
      </c>
      <c r="AQ314" s="61">
        <v>29.752898663052306</v>
      </c>
      <c r="AR314" s="61">
        <v>0</v>
      </c>
      <c r="AS314" s="63">
        <f t="shared" si="61"/>
        <v>0</v>
      </c>
      <c r="AT314" s="61">
        <v>0</v>
      </c>
      <c r="AU314" s="61">
        <v>0</v>
      </c>
      <c r="AV314" s="63" t="e">
        <f t="shared" si="62"/>
        <v>#DIV/0!</v>
      </c>
      <c r="AW314" s="61">
        <v>8.4119665560264245</v>
      </c>
      <c r="AX314" s="61">
        <v>0</v>
      </c>
      <c r="AY314" s="63">
        <f t="shared" si="63"/>
        <v>0</v>
      </c>
      <c r="AZ314" s="61">
        <v>25.383947063109378</v>
      </c>
      <c r="BA314" s="61">
        <v>0</v>
      </c>
      <c r="BB314" s="63">
        <f t="shared" si="64"/>
        <v>0</v>
      </c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</row>
    <row r="315" spans="1:87" x14ac:dyDescent="0.25">
      <c r="A315" s="128">
        <v>10839</v>
      </c>
      <c r="B315" s="128">
        <v>21751</v>
      </c>
      <c r="C315" s="128">
        <v>1071511065</v>
      </c>
      <c r="D315" s="128" t="s">
        <v>974</v>
      </c>
      <c r="E315" s="128" t="s">
        <v>544</v>
      </c>
      <c r="F315" s="128" t="s">
        <v>544</v>
      </c>
      <c r="G315" s="128" t="s">
        <v>975</v>
      </c>
      <c r="H315" s="128" t="s">
        <v>975</v>
      </c>
      <c r="I315" s="128" t="s">
        <v>1218</v>
      </c>
      <c r="J315" s="128" t="s">
        <v>970</v>
      </c>
      <c r="K315" s="128" t="s">
        <v>971</v>
      </c>
      <c r="L315" s="128">
        <v>75011</v>
      </c>
      <c r="M315" s="128"/>
      <c r="N315" s="128"/>
      <c r="O315" s="156"/>
      <c r="P315" s="157">
        <v>287423.96122933109</v>
      </c>
      <c r="Q315" s="61">
        <v>0</v>
      </c>
      <c r="R315" s="63">
        <f t="shared" si="52"/>
        <v>0</v>
      </c>
      <c r="S315" s="61">
        <v>33584.126298100389</v>
      </c>
      <c r="T315" s="61">
        <v>0</v>
      </c>
      <c r="U315" s="63">
        <f t="shared" si="53"/>
        <v>0</v>
      </c>
      <c r="V315" s="61">
        <v>84090.8811365211</v>
      </c>
      <c r="W315" s="61">
        <v>0</v>
      </c>
      <c r="X315" s="63">
        <f t="shared" si="54"/>
        <v>0</v>
      </c>
      <c r="Y315" s="61">
        <v>2832.8574884102536</v>
      </c>
      <c r="Z315" s="102">
        <v>0</v>
      </c>
      <c r="AA315" s="63">
        <f t="shared" si="55"/>
        <v>0</v>
      </c>
      <c r="AB315" s="61">
        <v>49.685528927516643</v>
      </c>
      <c r="AC315" s="61">
        <v>0</v>
      </c>
      <c r="AD315" s="63">
        <f t="shared" si="56"/>
        <v>0</v>
      </c>
      <c r="AE315" s="61">
        <v>8.4515452829413107</v>
      </c>
      <c r="AF315" s="61">
        <v>0</v>
      </c>
      <c r="AG315" s="63">
        <f t="shared" si="57"/>
        <v>0</v>
      </c>
      <c r="AH315" s="61">
        <v>265.65428235025678</v>
      </c>
      <c r="AI315" s="61">
        <v>1</v>
      </c>
      <c r="AJ315" s="63">
        <f t="shared" si="58"/>
        <v>3.7642909090452063E-3</v>
      </c>
      <c r="AK315" s="61">
        <v>10.326521915800305</v>
      </c>
      <c r="AL315" s="61">
        <v>0</v>
      </c>
      <c r="AM315" s="63">
        <f t="shared" si="59"/>
        <v>0</v>
      </c>
      <c r="AN315" s="61">
        <v>13.440859855984097</v>
      </c>
      <c r="AO315" s="61">
        <v>0</v>
      </c>
      <c r="AP315" s="63">
        <f t="shared" si="60"/>
        <v>0</v>
      </c>
      <c r="AQ315" s="61">
        <v>29.752898663052306</v>
      </c>
      <c r="AR315" s="61">
        <v>0</v>
      </c>
      <c r="AS315" s="63">
        <f t="shared" si="61"/>
        <v>0</v>
      </c>
      <c r="AT315" s="61">
        <v>0</v>
      </c>
      <c r="AU315" s="61">
        <v>0</v>
      </c>
      <c r="AV315" s="63" t="e">
        <f t="shared" si="62"/>
        <v>#DIV/0!</v>
      </c>
      <c r="AW315" s="61">
        <v>8.4119665560264245</v>
      </c>
      <c r="AX315" s="61">
        <v>0</v>
      </c>
      <c r="AY315" s="63">
        <f t="shared" si="63"/>
        <v>0</v>
      </c>
      <c r="AZ315" s="61">
        <v>25.383947063109378</v>
      </c>
      <c r="BA315" s="61">
        <v>0</v>
      </c>
      <c r="BB315" s="63">
        <f t="shared" si="64"/>
        <v>0</v>
      </c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</row>
    <row r="316" spans="1:87" x14ac:dyDescent="0.25">
      <c r="A316" s="128">
        <v>19848</v>
      </c>
      <c r="B316" s="128">
        <v>10839</v>
      </c>
      <c r="C316" s="128">
        <v>1048121204</v>
      </c>
      <c r="D316" s="128" t="s">
        <v>976</v>
      </c>
      <c r="E316" s="128" t="s">
        <v>546</v>
      </c>
      <c r="F316" s="128" t="s">
        <v>546</v>
      </c>
      <c r="G316" s="128" t="s">
        <v>977</v>
      </c>
      <c r="H316" s="128" t="s">
        <v>977</v>
      </c>
      <c r="I316" s="128" t="s">
        <v>1218</v>
      </c>
      <c r="J316" s="128" t="s">
        <v>970</v>
      </c>
      <c r="K316" s="128" t="s">
        <v>971</v>
      </c>
      <c r="L316" s="128">
        <v>75011</v>
      </c>
      <c r="M316" s="128" t="s">
        <v>1203</v>
      </c>
      <c r="N316" s="128">
        <v>5</v>
      </c>
      <c r="O316" s="156">
        <v>0.1</v>
      </c>
      <c r="P316" s="157">
        <v>86227.188368799325</v>
      </c>
      <c r="Q316" s="61">
        <v>20467.830000000002</v>
      </c>
      <c r="R316" s="63">
        <f t="shared" si="52"/>
        <v>0.23737095441936196</v>
      </c>
      <c r="S316" s="61">
        <v>10075.237889430116</v>
      </c>
      <c r="T316" s="61">
        <v>0</v>
      </c>
      <c r="U316" s="63">
        <f t="shared" si="53"/>
        <v>0</v>
      </c>
      <c r="V316" s="61">
        <v>25227.264340956328</v>
      </c>
      <c r="W316" s="61">
        <v>5066.47</v>
      </c>
      <c r="X316" s="63">
        <f t="shared" si="54"/>
        <v>0.20083311180810887</v>
      </c>
      <c r="Y316" s="61">
        <v>849.85724652307601</v>
      </c>
      <c r="Z316" s="102">
        <v>0</v>
      </c>
      <c r="AA316" s="63">
        <f t="shared" si="55"/>
        <v>0</v>
      </c>
      <c r="AB316" s="61">
        <v>14.905658678254991</v>
      </c>
      <c r="AC316" s="61">
        <v>2</v>
      </c>
      <c r="AD316" s="63">
        <f t="shared" si="56"/>
        <v>0.1341772304848014</v>
      </c>
      <c r="AE316" s="61">
        <v>2.5354635848823932</v>
      </c>
      <c r="AF316" s="61">
        <v>0</v>
      </c>
      <c r="AG316" s="63">
        <f t="shared" si="57"/>
        <v>0</v>
      </c>
      <c r="AH316" s="61">
        <v>79.696284705077019</v>
      </c>
      <c r="AI316" s="61">
        <v>28</v>
      </c>
      <c r="AJ316" s="63">
        <f t="shared" si="58"/>
        <v>0.35133381817755266</v>
      </c>
      <c r="AK316" s="61">
        <v>3.0979565747400915</v>
      </c>
      <c r="AL316" s="61">
        <v>0</v>
      </c>
      <c r="AM316" s="63">
        <f t="shared" si="59"/>
        <v>0</v>
      </c>
      <c r="AN316" s="61">
        <v>4.0322579567952292</v>
      </c>
      <c r="AO316" s="61">
        <v>1</v>
      </c>
      <c r="AP316" s="63">
        <f t="shared" si="60"/>
        <v>0.24800000662526639</v>
      </c>
      <c r="AQ316" s="61">
        <v>8.9258695989156909</v>
      </c>
      <c r="AR316" s="61">
        <v>3</v>
      </c>
      <c r="AS316" s="63">
        <f t="shared" si="61"/>
        <v>0.33610170603035006</v>
      </c>
      <c r="AT316" s="61">
        <v>0</v>
      </c>
      <c r="AU316" s="61">
        <v>0</v>
      </c>
      <c r="AV316" s="63" t="e">
        <f t="shared" si="62"/>
        <v>#DIV/0!</v>
      </c>
      <c r="AW316" s="61">
        <v>2.5235899668079274</v>
      </c>
      <c r="AX316" s="61">
        <v>0</v>
      </c>
      <c r="AY316" s="63">
        <f t="shared" si="63"/>
        <v>0</v>
      </c>
      <c r="AZ316" s="61">
        <v>7.6151841189328131</v>
      </c>
      <c r="BA316" s="61">
        <v>2</v>
      </c>
      <c r="BB316" s="63">
        <f t="shared" si="64"/>
        <v>0.26263317718446427</v>
      </c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</row>
    <row r="317" spans="1:87" x14ac:dyDescent="0.25">
      <c r="A317" s="207">
        <v>23957</v>
      </c>
      <c r="B317" s="207">
        <v>10839</v>
      </c>
      <c r="C317" s="207">
        <v>1093997532</v>
      </c>
      <c r="D317" s="207" t="s">
        <v>978</v>
      </c>
      <c r="E317" s="207" t="s">
        <v>546</v>
      </c>
      <c r="F317" s="207" t="s">
        <v>546</v>
      </c>
      <c r="G317" s="207" t="s">
        <v>979</v>
      </c>
      <c r="H317" s="207" t="s">
        <v>979</v>
      </c>
      <c r="I317" s="207" t="s">
        <v>1218</v>
      </c>
      <c r="J317" s="207" t="s">
        <v>970</v>
      </c>
      <c r="K317" s="207" t="s">
        <v>971</v>
      </c>
      <c r="L317" s="207">
        <v>75011</v>
      </c>
      <c r="M317" s="207" t="s">
        <v>1215</v>
      </c>
      <c r="N317" s="207"/>
      <c r="O317" s="229"/>
      <c r="P317" s="230">
        <v>100598.38643026588</v>
      </c>
      <c r="Q317" s="61">
        <v>94958.280000000013</v>
      </c>
      <c r="R317" s="63">
        <f t="shared" si="52"/>
        <v>0.9439344244932244</v>
      </c>
      <c r="S317" s="61">
        <v>11754.444204335136</v>
      </c>
      <c r="T317" s="61">
        <v>4189.57</v>
      </c>
      <c r="U317" s="63">
        <f t="shared" si="53"/>
        <v>0.35642433850295124</v>
      </c>
      <c r="V317" s="61">
        <v>29431.808397782384</v>
      </c>
      <c r="W317" s="61">
        <v>16500</v>
      </c>
      <c r="X317" s="63">
        <f t="shared" si="54"/>
        <v>0.56061794698429868</v>
      </c>
      <c r="Y317" s="61">
        <v>991.50012094358874</v>
      </c>
      <c r="Z317" s="102">
        <v>0</v>
      </c>
      <c r="AA317" s="63">
        <f t="shared" si="55"/>
        <v>0</v>
      </c>
      <c r="AB317" s="61">
        <v>17.389935124630824</v>
      </c>
      <c r="AC317" s="61">
        <v>6</v>
      </c>
      <c r="AD317" s="63">
        <f t="shared" si="56"/>
        <v>0.34502716410377499</v>
      </c>
      <c r="AE317" s="61">
        <v>2.9580408490294592</v>
      </c>
      <c r="AF317" s="61">
        <v>3</v>
      </c>
      <c r="AG317" s="63">
        <f t="shared" si="57"/>
        <v>1.0141847773955885</v>
      </c>
      <c r="AH317" s="61">
        <v>92.978998822589872</v>
      </c>
      <c r="AI317" s="61">
        <v>79</v>
      </c>
      <c r="AJ317" s="63">
        <f t="shared" si="58"/>
        <v>0.84965423375591798</v>
      </c>
      <c r="AK317" s="61">
        <v>3.6142826705301072</v>
      </c>
      <c r="AL317" s="61">
        <v>2</v>
      </c>
      <c r="AM317" s="63">
        <f t="shared" si="59"/>
        <v>0.55336014980440362</v>
      </c>
      <c r="AN317" s="61">
        <v>4.7043009495944341</v>
      </c>
      <c r="AO317" s="61">
        <v>2</v>
      </c>
      <c r="AP317" s="63">
        <f t="shared" si="60"/>
        <v>0.42514286850045668</v>
      </c>
      <c r="AQ317" s="61">
        <v>10.413514532068307</v>
      </c>
      <c r="AR317" s="61">
        <v>6</v>
      </c>
      <c r="AS317" s="63">
        <f t="shared" si="61"/>
        <v>0.57617435319488575</v>
      </c>
      <c r="AT317" s="61">
        <v>0</v>
      </c>
      <c r="AU317" s="61">
        <v>0</v>
      </c>
      <c r="AV317" s="63" t="e">
        <f t="shared" si="62"/>
        <v>#DIV/0!</v>
      </c>
      <c r="AW317" s="61">
        <v>2.9441882946092481</v>
      </c>
      <c r="AX317" s="61">
        <v>0</v>
      </c>
      <c r="AY317" s="63">
        <f t="shared" si="63"/>
        <v>0</v>
      </c>
      <c r="AZ317" s="61">
        <v>8.8843814720882825</v>
      </c>
      <c r="BA317" s="61">
        <v>5</v>
      </c>
      <c r="BB317" s="63">
        <f t="shared" si="64"/>
        <v>0.56278537968099485</v>
      </c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</row>
    <row r="318" spans="1:87" x14ac:dyDescent="0.25">
      <c r="A318" s="128">
        <v>23958</v>
      </c>
      <c r="B318" s="128">
        <v>10839</v>
      </c>
      <c r="C318" s="128">
        <v>1072390352</v>
      </c>
      <c r="D318" s="128" t="s">
        <v>980</v>
      </c>
      <c r="E318" s="128" t="s">
        <v>546</v>
      </c>
      <c r="F318" s="128" t="s">
        <v>546</v>
      </c>
      <c r="G318" s="128" t="s">
        <v>981</v>
      </c>
      <c r="H318" s="128" t="s">
        <v>981</v>
      </c>
      <c r="I318" s="128" t="s">
        <v>1218</v>
      </c>
      <c r="J318" s="128" t="s">
        <v>970</v>
      </c>
      <c r="K318" s="128" t="s">
        <v>971</v>
      </c>
      <c r="L318" s="128">
        <v>75011</v>
      </c>
      <c r="M318" s="128" t="s">
        <v>1215</v>
      </c>
      <c r="N318" s="128"/>
      <c r="O318" s="156"/>
      <c r="P318" s="157">
        <v>100598.38643026588</v>
      </c>
      <c r="Q318" s="61">
        <v>59123.49</v>
      </c>
      <c r="R318" s="63">
        <f t="shared" si="52"/>
        <v>0.58771807479222349</v>
      </c>
      <c r="S318" s="61">
        <v>11754.444204335136</v>
      </c>
      <c r="T318" s="61">
        <v>3133.44</v>
      </c>
      <c r="U318" s="63">
        <f t="shared" si="53"/>
        <v>0.26657491800797878</v>
      </c>
      <c r="V318" s="61">
        <v>29431.808397782384</v>
      </c>
      <c r="W318" s="61">
        <v>10963.95</v>
      </c>
      <c r="X318" s="63">
        <f t="shared" si="54"/>
        <v>0.37252043271748492</v>
      </c>
      <c r="Y318" s="61">
        <v>991.50012094358874</v>
      </c>
      <c r="Z318" s="102">
        <v>0</v>
      </c>
      <c r="AA318" s="63">
        <f t="shared" si="55"/>
        <v>0</v>
      </c>
      <c r="AB318" s="61">
        <v>17.389935124630824</v>
      </c>
      <c r="AC318" s="61">
        <v>5</v>
      </c>
      <c r="AD318" s="63">
        <f t="shared" si="56"/>
        <v>0.28752263675314582</v>
      </c>
      <c r="AE318" s="61">
        <v>2.9580408490294592</v>
      </c>
      <c r="AF318" s="61">
        <v>1</v>
      </c>
      <c r="AG318" s="63">
        <f t="shared" si="57"/>
        <v>0.33806159246519618</v>
      </c>
      <c r="AH318" s="61">
        <v>92.978998822589872</v>
      </c>
      <c r="AI318" s="61">
        <v>50</v>
      </c>
      <c r="AJ318" s="63">
        <f t="shared" si="58"/>
        <v>0.53775584414931521</v>
      </c>
      <c r="AK318" s="61">
        <v>3.6142826705301072</v>
      </c>
      <c r="AL318" s="61">
        <v>1</v>
      </c>
      <c r="AM318" s="63">
        <f t="shared" si="59"/>
        <v>0.27668007490220181</v>
      </c>
      <c r="AN318" s="61">
        <v>4.7043009495944341</v>
      </c>
      <c r="AO318" s="61">
        <v>9</v>
      </c>
      <c r="AP318" s="63">
        <f t="shared" si="60"/>
        <v>1.913142908252055</v>
      </c>
      <c r="AQ318" s="61">
        <v>10.413514532068307</v>
      </c>
      <c r="AR318" s="61">
        <v>8</v>
      </c>
      <c r="AS318" s="63">
        <f t="shared" si="61"/>
        <v>0.76823247092651437</v>
      </c>
      <c r="AT318" s="61">
        <v>0</v>
      </c>
      <c r="AU318" s="61">
        <v>0</v>
      </c>
      <c r="AV318" s="63" t="e">
        <f t="shared" si="62"/>
        <v>#DIV/0!</v>
      </c>
      <c r="AW318" s="61">
        <v>2.9441882946092481</v>
      </c>
      <c r="AX318" s="61">
        <v>0</v>
      </c>
      <c r="AY318" s="63">
        <f t="shared" si="63"/>
        <v>0</v>
      </c>
      <c r="AZ318" s="61">
        <v>8.8843814720882825</v>
      </c>
      <c r="BA318" s="61">
        <v>2</v>
      </c>
      <c r="BB318" s="63">
        <f t="shared" si="64"/>
        <v>0.22511415187239794</v>
      </c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</row>
    <row r="319" spans="1:87" s="62" customFormat="1" x14ac:dyDescent="0.25">
      <c r="A319" s="128">
        <v>21458</v>
      </c>
      <c r="B319" s="128">
        <v>21751</v>
      </c>
      <c r="C319" s="128">
        <v>1001971082</v>
      </c>
      <c r="D319" s="128" t="s">
        <v>982</v>
      </c>
      <c r="E319" s="128" t="s">
        <v>541</v>
      </c>
      <c r="F319" s="128" t="s">
        <v>541</v>
      </c>
      <c r="G319" s="128" t="s">
        <v>983</v>
      </c>
      <c r="H319" s="128" t="s">
        <v>983</v>
      </c>
      <c r="I319" s="128" t="s">
        <v>1218</v>
      </c>
      <c r="J319" s="128" t="s">
        <v>970</v>
      </c>
      <c r="K319" s="128" t="s">
        <v>984</v>
      </c>
      <c r="L319" s="128">
        <v>75012</v>
      </c>
      <c r="M319" s="128"/>
      <c r="N319" s="128"/>
      <c r="O319" s="156"/>
      <c r="P319" s="157">
        <v>328484.52711923554</v>
      </c>
      <c r="Q319" s="61">
        <v>0</v>
      </c>
      <c r="R319" s="63">
        <f t="shared" si="52"/>
        <v>0</v>
      </c>
      <c r="S319" s="61">
        <v>38381.858626400433</v>
      </c>
      <c r="T319" s="61">
        <v>0</v>
      </c>
      <c r="U319" s="63">
        <f t="shared" si="53"/>
        <v>0</v>
      </c>
      <c r="V319" s="61">
        <v>96103.864156024123</v>
      </c>
      <c r="W319" s="61">
        <v>0</v>
      </c>
      <c r="X319" s="63">
        <f t="shared" si="54"/>
        <v>0</v>
      </c>
      <c r="Y319" s="61">
        <v>3237.5514153260037</v>
      </c>
      <c r="Z319" s="102">
        <v>0</v>
      </c>
      <c r="AA319" s="63">
        <f t="shared" si="55"/>
        <v>0</v>
      </c>
      <c r="AB319" s="61">
        <v>56.78346163144758</v>
      </c>
      <c r="AC319" s="61">
        <v>0</v>
      </c>
      <c r="AD319" s="63">
        <f t="shared" si="56"/>
        <v>0</v>
      </c>
      <c r="AE319" s="61">
        <v>9.6589088947900681</v>
      </c>
      <c r="AF319" s="61">
        <v>1</v>
      </c>
      <c r="AG319" s="63">
        <f t="shared" si="57"/>
        <v>0.10353136269246636</v>
      </c>
      <c r="AH319" s="61">
        <v>303.60489411457911</v>
      </c>
      <c r="AI319" s="61">
        <v>3</v>
      </c>
      <c r="AJ319" s="63">
        <f t="shared" si="58"/>
        <v>9.8812636362436684E-3</v>
      </c>
      <c r="AK319" s="61">
        <v>11.801739332343203</v>
      </c>
      <c r="AL319" s="61">
        <v>0</v>
      </c>
      <c r="AM319" s="63">
        <f t="shared" si="59"/>
        <v>0</v>
      </c>
      <c r="AN319" s="61">
        <v>15.360982692553254</v>
      </c>
      <c r="AO319" s="61">
        <v>0</v>
      </c>
      <c r="AP319" s="63">
        <f t="shared" si="60"/>
        <v>0</v>
      </c>
      <c r="AQ319" s="61">
        <v>34.003312757774061</v>
      </c>
      <c r="AR319" s="61">
        <v>0</v>
      </c>
      <c r="AS319" s="63">
        <f t="shared" si="61"/>
        <v>0</v>
      </c>
      <c r="AT319" s="61">
        <v>12.433456014057043</v>
      </c>
      <c r="AU319" s="61">
        <v>0</v>
      </c>
      <c r="AV319" s="63">
        <f t="shared" si="62"/>
        <v>0</v>
      </c>
      <c r="AW319" s="61">
        <v>9.6136760640301997</v>
      </c>
      <c r="AX319" s="61">
        <v>0</v>
      </c>
      <c r="AY319" s="63">
        <f t="shared" si="63"/>
        <v>0</v>
      </c>
      <c r="AZ319" s="61">
        <v>29.010225214982142</v>
      </c>
      <c r="BA319" s="61">
        <v>0</v>
      </c>
      <c r="BB319" s="63">
        <f t="shared" si="64"/>
        <v>0</v>
      </c>
    </row>
    <row r="320" spans="1:87" x14ac:dyDescent="0.25">
      <c r="A320" s="128">
        <v>4783</v>
      </c>
      <c r="B320" s="128">
        <v>21458</v>
      </c>
      <c r="C320" s="128">
        <v>1063988735</v>
      </c>
      <c r="D320" s="128" t="s">
        <v>985</v>
      </c>
      <c r="E320" s="128" t="s">
        <v>544</v>
      </c>
      <c r="F320" s="128" t="s">
        <v>544</v>
      </c>
      <c r="G320" s="128" t="s">
        <v>986</v>
      </c>
      <c r="H320" s="128" t="s">
        <v>987</v>
      </c>
      <c r="I320" s="128" t="s">
        <v>1218</v>
      </c>
      <c r="J320" s="128" t="s">
        <v>970</v>
      </c>
      <c r="K320" s="128" t="s">
        <v>984</v>
      </c>
      <c r="L320" s="128">
        <v>75012</v>
      </c>
      <c r="M320" s="128"/>
      <c r="N320" s="128"/>
      <c r="O320" s="156"/>
      <c r="P320" s="157">
        <v>328484.52711923554</v>
      </c>
      <c r="Q320" s="61">
        <v>0</v>
      </c>
      <c r="R320" s="63">
        <f t="shared" si="52"/>
        <v>0</v>
      </c>
      <c r="S320" s="61">
        <v>38381.858626400433</v>
      </c>
      <c r="T320" s="61">
        <v>0</v>
      </c>
      <c r="U320" s="63">
        <f t="shared" si="53"/>
        <v>0</v>
      </c>
      <c r="V320" s="61">
        <v>96103.864156024123</v>
      </c>
      <c r="W320" s="61">
        <v>77.39</v>
      </c>
      <c r="X320" s="63">
        <f t="shared" si="54"/>
        <v>8.0527459202220776E-4</v>
      </c>
      <c r="Y320" s="61">
        <v>3237.5514153260037</v>
      </c>
      <c r="Z320" s="102">
        <v>0</v>
      </c>
      <c r="AA320" s="63">
        <f t="shared" si="55"/>
        <v>0</v>
      </c>
      <c r="AB320" s="61">
        <v>56.78346163144758</v>
      </c>
      <c r="AC320" s="61">
        <v>0</v>
      </c>
      <c r="AD320" s="63">
        <f t="shared" si="56"/>
        <v>0</v>
      </c>
      <c r="AE320" s="61">
        <v>9.6589088947900681</v>
      </c>
      <c r="AF320" s="61">
        <v>0</v>
      </c>
      <c r="AG320" s="63">
        <f t="shared" si="57"/>
        <v>0</v>
      </c>
      <c r="AH320" s="61">
        <v>303.60489411457911</v>
      </c>
      <c r="AI320" s="61">
        <v>0</v>
      </c>
      <c r="AJ320" s="63">
        <f t="shared" si="58"/>
        <v>0</v>
      </c>
      <c r="AK320" s="61">
        <v>11.801739332343203</v>
      </c>
      <c r="AL320" s="61">
        <v>0</v>
      </c>
      <c r="AM320" s="63">
        <f t="shared" si="59"/>
        <v>0</v>
      </c>
      <c r="AN320" s="61">
        <v>15.360982692553254</v>
      </c>
      <c r="AO320" s="61">
        <v>0</v>
      </c>
      <c r="AP320" s="63">
        <f t="shared" si="60"/>
        <v>0</v>
      </c>
      <c r="AQ320" s="61">
        <v>34.003312757774061</v>
      </c>
      <c r="AR320" s="61">
        <v>0</v>
      </c>
      <c r="AS320" s="63">
        <f t="shared" si="61"/>
        <v>0</v>
      </c>
      <c r="AT320" s="61">
        <v>12.433456014057043</v>
      </c>
      <c r="AU320" s="61">
        <v>0</v>
      </c>
      <c r="AV320" s="63">
        <f t="shared" si="62"/>
        <v>0</v>
      </c>
      <c r="AW320" s="61">
        <v>9.6136760640301997</v>
      </c>
      <c r="AX320" s="61">
        <v>0</v>
      </c>
      <c r="AY320" s="63">
        <f t="shared" si="63"/>
        <v>0</v>
      </c>
      <c r="AZ320" s="61">
        <v>29.010225214982142</v>
      </c>
      <c r="BA320" s="61">
        <v>0</v>
      </c>
      <c r="BB320" s="63">
        <f t="shared" si="64"/>
        <v>0</v>
      </c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</row>
    <row r="321" spans="1:87" x14ac:dyDescent="0.25">
      <c r="A321" s="128">
        <v>295</v>
      </c>
      <c r="B321" s="128">
        <v>4783</v>
      </c>
      <c r="C321" s="128">
        <v>1034121226</v>
      </c>
      <c r="D321" s="128" t="s">
        <v>988</v>
      </c>
      <c r="E321" s="128" t="s">
        <v>546</v>
      </c>
      <c r="F321" s="128" t="s">
        <v>546</v>
      </c>
      <c r="G321" s="128" t="s">
        <v>989</v>
      </c>
      <c r="H321" s="128" t="s">
        <v>990</v>
      </c>
      <c r="I321" s="128" t="s">
        <v>1218</v>
      </c>
      <c r="J321" s="128" t="s">
        <v>970</v>
      </c>
      <c r="K321" s="128" t="s">
        <v>984</v>
      </c>
      <c r="L321" s="128">
        <v>75012</v>
      </c>
      <c r="M321" s="128" t="s">
        <v>1215</v>
      </c>
      <c r="N321" s="128"/>
      <c r="O321" s="156"/>
      <c r="P321" s="157">
        <v>213514.9426275031</v>
      </c>
      <c r="Q321" s="61">
        <v>259569.61</v>
      </c>
      <c r="R321" s="63">
        <f t="shared" si="52"/>
        <v>1.215697631302759</v>
      </c>
      <c r="S321" s="61">
        <v>24948.208107160281</v>
      </c>
      <c r="T321" s="61">
        <v>6214.2</v>
      </c>
      <c r="U321" s="63">
        <f t="shared" si="53"/>
        <v>0.24908402131760671</v>
      </c>
      <c r="V321" s="61">
        <v>62467.511701415679</v>
      </c>
      <c r="W321" s="61">
        <v>60926.29</v>
      </c>
      <c r="X321" s="63">
        <f t="shared" si="54"/>
        <v>0.97532762776301285</v>
      </c>
      <c r="Y321" s="61">
        <v>2104.4084199619024</v>
      </c>
      <c r="Z321" s="102">
        <v>50</v>
      </c>
      <c r="AA321" s="63">
        <f t="shared" si="55"/>
        <v>2.3759646428759863E-2</v>
      </c>
      <c r="AB321" s="61">
        <v>36.909250060440925</v>
      </c>
      <c r="AC321" s="61">
        <v>13</v>
      </c>
      <c r="AD321" s="63">
        <f t="shared" si="56"/>
        <v>0.35221523002260369</v>
      </c>
      <c r="AE321" s="61">
        <v>6.2782907816135447</v>
      </c>
      <c r="AF321" s="61">
        <v>5</v>
      </c>
      <c r="AG321" s="63">
        <f t="shared" si="57"/>
        <v>0.79639509763435656</v>
      </c>
      <c r="AH321" s="61">
        <v>197.34318117447643</v>
      </c>
      <c r="AI321" s="61">
        <v>145</v>
      </c>
      <c r="AJ321" s="63">
        <f t="shared" si="58"/>
        <v>0.73476062936170872</v>
      </c>
      <c r="AK321" s="61">
        <v>7.6711305660230824</v>
      </c>
      <c r="AL321" s="61">
        <v>5</v>
      </c>
      <c r="AM321" s="63">
        <f t="shared" si="59"/>
        <v>0.65179440722153326</v>
      </c>
      <c r="AN321" s="61">
        <v>9.9846387501596148</v>
      </c>
      <c r="AO321" s="61">
        <v>21</v>
      </c>
      <c r="AP321" s="63">
        <f t="shared" si="60"/>
        <v>2.1032308254181249</v>
      </c>
      <c r="AQ321" s="61">
        <v>22.10215329255314</v>
      </c>
      <c r="AR321" s="61">
        <v>16</v>
      </c>
      <c r="AS321" s="63">
        <f t="shared" si="61"/>
        <v>0.72391136683460011</v>
      </c>
      <c r="AT321" s="61">
        <v>8.0817464091370788</v>
      </c>
      <c r="AU321" s="61">
        <v>0</v>
      </c>
      <c r="AV321" s="63">
        <f t="shared" si="62"/>
        <v>0</v>
      </c>
      <c r="AW321" s="61">
        <v>6.248889441619629</v>
      </c>
      <c r="AX321" s="61">
        <v>0</v>
      </c>
      <c r="AY321" s="63">
        <f t="shared" si="63"/>
        <v>0</v>
      </c>
      <c r="AZ321" s="61">
        <v>18.856646389738394</v>
      </c>
      <c r="BA321" s="61">
        <v>22</v>
      </c>
      <c r="BB321" s="63">
        <f t="shared" si="64"/>
        <v>1.1666973832617549</v>
      </c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</row>
    <row r="322" spans="1:87" x14ac:dyDescent="0.25">
      <c r="A322" s="128">
        <v>5519</v>
      </c>
      <c r="B322" s="128">
        <v>4783</v>
      </c>
      <c r="C322" s="128">
        <v>1055092090</v>
      </c>
      <c r="D322" s="128" t="s">
        <v>991</v>
      </c>
      <c r="E322" s="128" t="s">
        <v>546</v>
      </c>
      <c r="F322" s="128" t="s">
        <v>546</v>
      </c>
      <c r="G322" s="128" t="s">
        <v>992</v>
      </c>
      <c r="H322" s="128" t="s">
        <v>993</v>
      </c>
      <c r="I322" s="128" t="s">
        <v>1218</v>
      </c>
      <c r="J322" s="128" t="s">
        <v>970</v>
      </c>
      <c r="K322" s="128" t="s">
        <v>984</v>
      </c>
      <c r="L322" s="128">
        <v>75012</v>
      </c>
      <c r="M322" s="128" t="s">
        <v>1175</v>
      </c>
      <c r="N322" s="128">
        <v>10</v>
      </c>
      <c r="O322" s="156">
        <v>0.3</v>
      </c>
      <c r="P322" s="157">
        <v>114969.58449173243</v>
      </c>
      <c r="Q322" s="61">
        <v>112177.41</v>
      </c>
      <c r="R322" s="63">
        <f t="shared" si="52"/>
        <v>0.97571379853135665</v>
      </c>
      <c r="S322" s="61">
        <v>13433.650519240153</v>
      </c>
      <c r="T322" s="61">
        <v>1216.52</v>
      </c>
      <c r="U322" s="63">
        <f t="shared" si="53"/>
        <v>9.0557663254500834E-2</v>
      </c>
      <c r="V322" s="61">
        <v>33636.35245460843</v>
      </c>
      <c r="W322" s="61">
        <v>36744.409999999996</v>
      </c>
      <c r="X322" s="63">
        <f t="shared" si="54"/>
        <v>1.0924017415261011</v>
      </c>
      <c r="Y322" s="61">
        <v>1133.1429953641011</v>
      </c>
      <c r="Z322" s="102">
        <v>0</v>
      </c>
      <c r="AA322" s="63">
        <f t="shared" si="55"/>
        <v>0</v>
      </c>
      <c r="AB322" s="61">
        <v>19.874211571006651</v>
      </c>
      <c r="AC322" s="61">
        <v>3</v>
      </c>
      <c r="AD322" s="63">
        <f t="shared" si="56"/>
        <v>0.15094938429540158</v>
      </c>
      <c r="AE322" s="61">
        <v>3.3806181131765238</v>
      </c>
      <c r="AF322" s="61">
        <v>2</v>
      </c>
      <c r="AG322" s="63">
        <f t="shared" si="57"/>
        <v>0.59160778681409354</v>
      </c>
      <c r="AH322" s="61">
        <v>106.26171294010268</v>
      </c>
      <c r="AI322" s="61">
        <v>27</v>
      </c>
      <c r="AJ322" s="63">
        <f t="shared" si="58"/>
        <v>0.25408963636055149</v>
      </c>
      <c r="AK322" s="61">
        <v>4.1306087663201208</v>
      </c>
      <c r="AL322" s="61">
        <v>0</v>
      </c>
      <c r="AM322" s="63">
        <f t="shared" si="59"/>
        <v>0</v>
      </c>
      <c r="AN322" s="61">
        <v>5.3763439423936381</v>
      </c>
      <c r="AO322" s="61">
        <v>2</v>
      </c>
      <c r="AP322" s="63">
        <f t="shared" si="60"/>
        <v>0.37200000993789967</v>
      </c>
      <c r="AQ322" s="61">
        <v>11.901159465220919</v>
      </c>
      <c r="AR322" s="61">
        <v>2</v>
      </c>
      <c r="AS322" s="63">
        <f t="shared" si="61"/>
        <v>0.16805085301517506</v>
      </c>
      <c r="AT322" s="61">
        <v>4.3517096049199653</v>
      </c>
      <c r="AU322" s="61">
        <v>0</v>
      </c>
      <c r="AV322" s="63">
        <f t="shared" si="62"/>
        <v>0</v>
      </c>
      <c r="AW322" s="61">
        <v>3.3647866224105694</v>
      </c>
      <c r="AX322" s="61">
        <v>0</v>
      </c>
      <c r="AY322" s="63">
        <f t="shared" si="63"/>
        <v>0</v>
      </c>
      <c r="AZ322" s="61">
        <v>10.153578825243748</v>
      </c>
      <c r="BA322" s="61">
        <v>10</v>
      </c>
      <c r="BB322" s="63">
        <f t="shared" si="64"/>
        <v>0.98487441444174129</v>
      </c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</row>
    <row r="323" spans="1:87" x14ac:dyDescent="0.25">
      <c r="A323" s="128">
        <v>21537</v>
      </c>
      <c r="B323" s="128">
        <v>21751</v>
      </c>
      <c r="C323" s="128">
        <v>1039348170</v>
      </c>
      <c r="D323" s="128" t="s">
        <v>994</v>
      </c>
      <c r="E323" s="128" t="s">
        <v>541</v>
      </c>
      <c r="F323" s="128" t="s">
        <v>541</v>
      </c>
      <c r="G323" s="128" t="s">
        <v>995</v>
      </c>
      <c r="H323" s="128" t="s">
        <v>995</v>
      </c>
      <c r="I323" s="128" t="s">
        <v>1218</v>
      </c>
      <c r="J323" s="128" t="s">
        <v>970</v>
      </c>
      <c r="K323" s="128" t="s">
        <v>996</v>
      </c>
      <c r="L323" s="128">
        <v>75015</v>
      </c>
      <c r="M323" s="128"/>
      <c r="N323" s="128"/>
      <c r="O323" s="156"/>
      <c r="P323" s="157">
        <v>328484.52711923554</v>
      </c>
      <c r="Q323" s="61">
        <v>0</v>
      </c>
      <c r="R323" s="63">
        <f t="shared" si="52"/>
        <v>0</v>
      </c>
      <c r="S323" s="61">
        <v>38381.858626400433</v>
      </c>
      <c r="T323" s="61">
        <v>0</v>
      </c>
      <c r="U323" s="63">
        <f t="shared" si="53"/>
        <v>0</v>
      </c>
      <c r="V323" s="61">
        <v>96103.864156024123</v>
      </c>
      <c r="W323" s="61">
        <v>0</v>
      </c>
      <c r="X323" s="63">
        <f t="shared" si="54"/>
        <v>0</v>
      </c>
      <c r="Y323" s="61">
        <v>3237.5514153260033</v>
      </c>
      <c r="Z323" s="102">
        <v>0</v>
      </c>
      <c r="AA323" s="63">
        <f t="shared" si="55"/>
        <v>0</v>
      </c>
      <c r="AB323" s="61">
        <v>56.78346163144758</v>
      </c>
      <c r="AC323" s="61">
        <v>0</v>
      </c>
      <c r="AD323" s="63">
        <f t="shared" si="56"/>
        <v>0</v>
      </c>
      <c r="AE323" s="61">
        <v>9.6589088947900681</v>
      </c>
      <c r="AF323" s="61">
        <v>0</v>
      </c>
      <c r="AG323" s="63">
        <f t="shared" si="57"/>
        <v>0</v>
      </c>
      <c r="AH323" s="61">
        <v>303.60489411457911</v>
      </c>
      <c r="AI323" s="61">
        <v>0</v>
      </c>
      <c r="AJ323" s="63">
        <f t="shared" si="58"/>
        <v>0</v>
      </c>
      <c r="AK323" s="61">
        <v>11.801739332343203</v>
      </c>
      <c r="AL323" s="61">
        <v>0</v>
      </c>
      <c r="AM323" s="63">
        <f t="shared" si="59"/>
        <v>0</v>
      </c>
      <c r="AN323" s="61">
        <v>15.360982692553254</v>
      </c>
      <c r="AO323" s="61">
        <v>0</v>
      </c>
      <c r="AP323" s="63">
        <f t="shared" si="60"/>
        <v>0</v>
      </c>
      <c r="AQ323" s="61">
        <v>34.003312757774061</v>
      </c>
      <c r="AR323" s="61">
        <v>0</v>
      </c>
      <c r="AS323" s="63">
        <f t="shared" si="61"/>
        <v>0</v>
      </c>
      <c r="AT323" s="61">
        <v>12.433456014057045</v>
      </c>
      <c r="AU323" s="61">
        <v>0</v>
      </c>
      <c r="AV323" s="63">
        <f t="shared" si="62"/>
        <v>0</v>
      </c>
      <c r="AW323" s="61">
        <v>9.6136760640301997</v>
      </c>
      <c r="AX323" s="61">
        <v>0</v>
      </c>
      <c r="AY323" s="63">
        <f t="shared" si="63"/>
        <v>0</v>
      </c>
      <c r="AZ323" s="61">
        <v>29.010225214982142</v>
      </c>
      <c r="BA323" s="61">
        <v>0</v>
      </c>
      <c r="BB323" s="63">
        <f t="shared" si="64"/>
        <v>0</v>
      </c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</row>
    <row r="324" spans="1:87" x14ac:dyDescent="0.25">
      <c r="A324" s="213">
        <v>4843</v>
      </c>
      <c r="B324" s="213">
        <v>21537</v>
      </c>
      <c r="C324" s="213">
        <v>1053320246</v>
      </c>
      <c r="D324" s="213" t="s">
        <v>997</v>
      </c>
      <c r="E324" s="213" t="s">
        <v>546</v>
      </c>
      <c r="F324" s="213" t="s">
        <v>546</v>
      </c>
      <c r="G324" s="213" t="s">
        <v>998</v>
      </c>
      <c r="H324" s="213" t="s">
        <v>999</v>
      </c>
      <c r="I324" s="213" t="s">
        <v>1218</v>
      </c>
      <c r="J324" s="213" t="s">
        <v>970</v>
      </c>
      <c r="K324" s="213" t="s">
        <v>996</v>
      </c>
      <c r="L324" s="213">
        <v>75015</v>
      </c>
      <c r="M324" s="213"/>
      <c r="N324" s="213"/>
      <c r="O324" s="231"/>
      <c r="P324" s="232">
        <v>164242.26355961777</v>
      </c>
      <c r="Q324" s="61">
        <v>75857.440000000002</v>
      </c>
      <c r="R324" s="63">
        <f t="shared" ref="R324:R387" si="65">Q324/P324</f>
        <v>0.46186309391957908</v>
      </c>
      <c r="S324" s="61">
        <v>19190.929313200217</v>
      </c>
      <c r="T324" s="61">
        <v>9649.56</v>
      </c>
      <c r="U324" s="63">
        <f t="shared" ref="U324:U387" si="66">T324/S324</f>
        <v>0.50281879749109815</v>
      </c>
      <c r="V324" s="61">
        <v>48051.932078012062</v>
      </c>
      <c r="W324" s="61">
        <v>14726.95</v>
      </c>
      <c r="X324" s="63">
        <f t="shared" ref="X324:X387" si="67">W324/V324</f>
        <v>0.30647987215354577</v>
      </c>
      <c r="Y324" s="61">
        <v>1618.7757076630016</v>
      </c>
      <c r="Z324" s="102">
        <v>0</v>
      </c>
      <c r="AA324" s="63">
        <f t="shared" ref="AA324:AA387" si="68">Z324/Y324</f>
        <v>0</v>
      </c>
      <c r="AB324" s="61">
        <v>28.39173081572379</v>
      </c>
      <c r="AC324" s="61">
        <v>4</v>
      </c>
      <c r="AD324" s="63">
        <f t="shared" ref="AD324:AD387" si="69">AC324/AB324</f>
        <v>0.14088609200904148</v>
      </c>
      <c r="AE324" s="61">
        <v>4.829454447395034</v>
      </c>
      <c r="AF324" s="61">
        <v>2</v>
      </c>
      <c r="AG324" s="63">
        <f t="shared" ref="AG324:AG387" si="70">AF324/AE324</f>
        <v>0.41412545076986546</v>
      </c>
      <c r="AH324" s="61">
        <v>151.80244705728956</v>
      </c>
      <c r="AI324" s="61">
        <v>114</v>
      </c>
      <c r="AJ324" s="63">
        <f t="shared" ref="AJ324:AJ387" si="71">AI324/AH324</f>
        <v>0.75097603635451882</v>
      </c>
      <c r="AK324" s="61">
        <v>5.9008696661716016</v>
      </c>
      <c r="AL324" s="61">
        <v>0</v>
      </c>
      <c r="AM324" s="63">
        <f t="shared" ref="AM324:AM387" si="72">AL324/AK324</f>
        <v>0</v>
      </c>
      <c r="AN324" s="61">
        <v>7.6804913462766269</v>
      </c>
      <c r="AO324" s="61">
        <v>1</v>
      </c>
      <c r="AP324" s="63">
        <f t="shared" ref="AP324:AP387" si="73">AO324/AN324</f>
        <v>0.13020000347826485</v>
      </c>
      <c r="AQ324" s="61">
        <v>17.001656378887031</v>
      </c>
      <c r="AR324" s="61">
        <v>4</v>
      </c>
      <c r="AS324" s="63">
        <f t="shared" ref="AS324:AS387" si="74">AR324/AQ324</f>
        <v>0.23527119422124501</v>
      </c>
      <c r="AT324" s="61">
        <v>6.2167280070285225</v>
      </c>
      <c r="AU324" s="61">
        <v>0</v>
      </c>
      <c r="AV324" s="63">
        <f t="shared" ref="AV324:AV387" si="75">AU324/AT324</f>
        <v>0</v>
      </c>
      <c r="AW324" s="61">
        <v>4.8068380320150998</v>
      </c>
      <c r="AX324" s="61">
        <v>0</v>
      </c>
      <c r="AY324" s="63">
        <f t="shared" ref="AY324:AY387" si="76">AX324/AW324</f>
        <v>0</v>
      </c>
      <c r="AZ324" s="61">
        <v>14.505112607491071</v>
      </c>
      <c r="BA324" s="61">
        <v>4</v>
      </c>
      <c r="BB324" s="63">
        <f t="shared" ref="BB324:BB387" si="77">BA324/AZ324</f>
        <v>0.27576483604368751</v>
      </c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</row>
    <row r="325" spans="1:87" x14ac:dyDescent="0.25">
      <c r="A325" s="207">
        <v>3697</v>
      </c>
      <c r="B325" s="207">
        <v>21537</v>
      </c>
      <c r="C325" s="207">
        <v>1025783489</v>
      </c>
      <c r="D325" s="207" t="s">
        <v>1000</v>
      </c>
      <c r="E325" s="207" t="s">
        <v>546</v>
      </c>
      <c r="F325" s="207" t="s">
        <v>546</v>
      </c>
      <c r="G325" s="207" t="s">
        <v>1001</v>
      </c>
      <c r="H325" s="207" t="s">
        <v>1002</v>
      </c>
      <c r="I325" s="207" t="s">
        <v>1218</v>
      </c>
      <c r="J325" s="207" t="s">
        <v>970</v>
      </c>
      <c r="K325" s="207" t="s">
        <v>996</v>
      </c>
      <c r="L325" s="207">
        <v>75015</v>
      </c>
      <c r="M325" s="207"/>
      <c r="N325" s="207"/>
      <c r="O325" s="229"/>
      <c r="P325" s="243">
        <v>164242.26355961777</v>
      </c>
      <c r="Q325" s="61">
        <v>118974.84</v>
      </c>
      <c r="R325" s="63">
        <f t="shared" si="65"/>
        <v>0.72438626588225086</v>
      </c>
      <c r="S325" s="61">
        <v>19190.929313200217</v>
      </c>
      <c r="T325" s="61">
        <v>0</v>
      </c>
      <c r="U325" s="63">
        <f t="shared" si="66"/>
        <v>0</v>
      </c>
      <c r="V325" s="61">
        <v>48051.932078012062</v>
      </c>
      <c r="W325" s="61">
        <v>18735.219999999998</v>
      </c>
      <c r="X325" s="63">
        <f t="shared" si="67"/>
        <v>0.38989524853201463</v>
      </c>
      <c r="Y325" s="61">
        <v>1618.7757076630016</v>
      </c>
      <c r="Z325" s="102">
        <v>0</v>
      </c>
      <c r="AA325" s="63">
        <f t="shared" si="68"/>
        <v>0</v>
      </c>
      <c r="AB325" s="61">
        <v>28.39173081572379</v>
      </c>
      <c r="AC325" s="61">
        <v>3</v>
      </c>
      <c r="AD325" s="63">
        <f t="shared" si="69"/>
        <v>0.1056645690067811</v>
      </c>
      <c r="AE325" s="61">
        <v>4.829454447395034</v>
      </c>
      <c r="AF325" s="61">
        <v>1</v>
      </c>
      <c r="AG325" s="63">
        <f t="shared" si="70"/>
        <v>0.20706272538493273</v>
      </c>
      <c r="AH325" s="61">
        <v>151.80244705728956</v>
      </c>
      <c r="AI325" s="61">
        <v>41</v>
      </c>
      <c r="AJ325" s="63">
        <f t="shared" si="71"/>
        <v>0.27008787272399359</v>
      </c>
      <c r="AK325" s="61">
        <v>5.9008696661716016</v>
      </c>
      <c r="AL325" s="61">
        <v>1</v>
      </c>
      <c r="AM325" s="63">
        <f t="shared" si="72"/>
        <v>0.16946654587759866</v>
      </c>
      <c r="AN325" s="61">
        <v>7.6804913462766269</v>
      </c>
      <c r="AO325" s="61">
        <v>1</v>
      </c>
      <c r="AP325" s="63">
        <f t="shared" si="73"/>
        <v>0.13020000347826485</v>
      </c>
      <c r="AQ325" s="61">
        <v>17.001656378887031</v>
      </c>
      <c r="AR325" s="61">
        <v>6</v>
      </c>
      <c r="AS325" s="63">
        <f t="shared" si="74"/>
        <v>0.35290679133186753</v>
      </c>
      <c r="AT325" s="61">
        <v>6.2167280070285225</v>
      </c>
      <c r="AU325" s="61">
        <v>0</v>
      </c>
      <c r="AV325" s="63">
        <f t="shared" si="75"/>
        <v>0</v>
      </c>
      <c r="AW325" s="61">
        <v>4.8068380320150998</v>
      </c>
      <c r="AX325" s="61">
        <v>0</v>
      </c>
      <c r="AY325" s="63">
        <f t="shared" si="76"/>
        <v>0</v>
      </c>
      <c r="AZ325" s="61">
        <v>14.505112607491071</v>
      </c>
      <c r="BA325" s="61">
        <v>4</v>
      </c>
      <c r="BB325" s="63">
        <f t="shared" si="77"/>
        <v>0.27576483604368751</v>
      </c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</row>
    <row r="326" spans="1:87" x14ac:dyDescent="0.25">
      <c r="A326" s="128">
        <v>7258</v>
      </c>
      <c r="B326" s="128">
        <v>21751</v>
      </c>
      <c r="C326" s="128">
        <v>1065605964</v>
      </c>
      <c r="D326" s="128" t="s">
        <v>1003</v>
      </c>
      <c r="E326" s="128" t="s">
        <v>541</v>
      </c>
      <c r="F326" s="128" t="s">
        <v>541</v>
      </c>
      <c r="G326" s="128" t="s">
        <v>1004</v>
      </c>
      <c r="H326" s="128" t="s">
        <v>1004</v>
      </c>
      <c r="I326" s="128" t="s">
        <v>1218</v>
      </c>
      <c r="J326" s="128" t="s">
        <v>970</v>
      </c>
      <c r="K326" s="128" t="s">
        <v>1005</v>
      </c>
      <c r="L326" s="128">
        <v>75016</v>
      </c>
      <c r="M326" s="128"/>
      <c r="N326" s="128"/>
      <c r="O326" s="156"/>
      <c r="P326" s="157">
        <v>328484.5271192356</v>
      </c>
      <c r="Q326" s="61">
        <v>0</v>
      </c>
      <c r="R326" s="63">
        <f t="shared" si="65"/>
        <v>0</v>
      </c>
      <c r="S326" s="61">
        <v>38381.858626400433</v>
      </c>
      <c r="T326" s="61">
        <v>0</v>
      </c>
      <c r="U326" s="63">
        <f t="shared" si="66"/>
        <v>0</v>
      </c>
      <c r="V326" s="61">
        <v>96103.864156024123</v>
      </c>
      <c r="W326" s="61">
        <v>0</v>
      </c>
      <c r="X326" s="63">
        <f t="shared" si="67"/>
        <v>0</v>
      </c>
      <c r="Y326" s="61">
        <v>3237.5514153260028</v>
      </c>
      <c r="Z326" s="102">
        <v>0</v>
      </c>
      <c r="AA326" s="63">
        <f t="shared" si="68"/>
        <v>0</v>
      </c>
      <c r="AB326" s="61">
        <v>56.78346163144758</v>
      </c>
      <c r="AC326" s="61">
        <v>0</v>
      </c>
      <c r="AD326" s="63">
        <f t="shared" si="69"/>
        <v>0</v>
      </c>
      <c r="AE326" s="61">
        <v>9.6589088947900699</v>
      </c>
      <c r="AF326" s="61">
        <v>0</v>
      </c>
      <c r="AG326" s="63">
        <f t="shared" si="70"/>
        <v>0</v>
      </c>
      <c r="AH326" s="61">
        <v>303.60489411457917</v>
      </c>
      <c r="AI326" s="61">
        <v>0</v>
      </c>
      <c r="AJ326" s="63">
        <f t="shared" si="71"/>
        <v>0</v>
      </c>
      <c r="AK326" s="61">
        <v>11.801739332343203</v>
      </c>
      <c r="AL326" s="61">
        <v>0</v>
      </c>
      <c r="AM326" s="63">
        <f t="shared" si="72"/>
        <v>0</v>
      </c>
      <c r="AN326" s="61">
        <v>15.360982692553254</v>
      </c>
      <c r="AO326" s="61">
        <v>0</v>
      </c>
      <c r="AP326" s="63">
        <f t="shared" si="73"/>
        <v>0</v>
      </c>
      <c r="AQ326" s="61">
        <v>34.003312757774061</v>
      </c>
      <c r="AR326" s="61">
        <v>0</v>
      </c>
      <c r="AS326" s="63">
        <f t="shared" si="74"/>
        <v>0</v>
      </c>
      <c r="AT326" s="61">
        <v>17.762080020081491</v>
      </c>
      <c r="AU326" s="61">
        <v>0</v>
      </c>
      <c r="AV326" s="63">
        <f t="shared" si="75"/>
        <v>0</v>
      </c>
      <c r="AW326" s="61">
        <v>9.6136760640302015</v>
      </c>
      <c r="AX326" s="61">
        <v>0</v>
      </c>
      <c r="AY326" s="63">
        <f t="shared" si="76"/>
        <v>0</v>
      </c>
      <c r="AZ326" s="61">
        <v>29.010225214982142</v>
      </c>
      <c r="BA326" s="61">
        <v>0</v>
      </c>
      <c r="BB326" s="63">
        <f t="shared" si="77"/>
        <v>0</v>
      </c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</row>
    <row r="327" spans="1:87" x14ac:dyDescent="0.25">
      <c r="A327" s="128">
        <v>300</v>
      </c>
      <c r="B327" s="128">
        <v>7258</v>
      </c>
      <c r="C327" s="128">
        <v>1034837375</v>
      </c>
      <c r="D327" s="128" t="s">
        <v>1006</v>
      </c>
      <c r="E327" s="128" t="s">
        <v>544</v>
      </c>
      <c r="F327" s="128" t="s">
        <v>544</v>
      </c>
      <c r="G327" s="128" t="s">
        <v>1007</v>
      </c>
      <c r="H327" s="128" t="s">
        <v>1008</v>
      </c>
      <c r="I327" s="128" t="s">
        <v>1218</v>
      </c>
      <c r="J327" s="128" t="s">
        <v>970</v>
      </c>
      <c r="K327" s="128" t="s">
        <v>1005</v>
      </c>
      <c r="L327" s="128">
        <v>75016</v>
      </c>
      <c r="M327" s="128"/>
      <c r="N327" s="128"/>
      <c r="O327" s="156"/>
      <c r="P327" s="157">
        <v>328484.5271192356</v>
      </c>
      <c r="Q327" s="61">
        <v>0</v>
      </c>
      <c r="R327" s="63">
        <f t="shared" si="65"/>
        <v>0</v>
      </c>
      <c r="S327" s="61">
        <v>38381.858626400433</v>
      </c>
      <c r="T327" s="61">
        <v>0</v>
      </c>
      <c r="U327" s="63">
        <f t="shared" si="66"/>
        <v>0</v>
      </c>
      <c r="V327" s="61">
        <v>96103.864156024123</v>
      </c>
      <c r="W327" s="61">
        <v>68.7</v>
      </c>
      <c r="X327" s="63">
        <f t="shared" si="67"/>
        <v>7.1485158898986531E-4</v>
      </c>
      <c r="Y327" s="61">
        <v>3237.5514153260028</v>
      </c>
      <c r="Z327" s="102">
        <v>0</v>
      </c>
      <c r="AA327" s="63">
        <f t="shared" si="68"/>
        <v>0</v>
      </c>
      <c r="AB327" s="61">
        <v>56.78346163144758</v>
      </c>
      <c r="AC327" s="61">
        <v>1</v>
      </c>
      <c r="AD327" s="63">
        <f t="shared" si="69"/>
        <v>1.7610761501130185E-2</v>
      </c>
      <c r="AE327" s="61">
        <v>9.6589088947900699</v>
      </c>
      <c r="AF327" s="61">
        <v>1</v>
      </c>
      <c r="AG327" s="63">
        <f t="shared" si="70"/>
        <v>0.10353136269246635</v>
      </c>
      <c r="AH327" s="61">
        <v>303.60489411457917</v>
      </c>
      <c r="AI327" s="61">
        <v>2</v>
      </c>
      <c r="AJ327" s="63">
        <f t="shared" si="71"/>
        <v>6.5875090908291117E-3</v>
      </c>
      <c r="AK327" s="61">
        <v>11.801739332343203</v>
      </c>
      <c r="AL327" s="61">
        <v>0</v>
      </c>
      <c r="AM327" s="63">
        <f t="shared" si="72"/>
        <v>0</v>
      </c>
      <c r="AN327" s="61">
        <v>15.360982692553254</v>
      </c>
      <c r="AO327" s="61">
        <v>0</v>
      </c>
      <c r="AP327" s="63">
        <f t="shared" si="73"/>
        <v>0</v>
      </c>
      <c r="AQ327" s="61">
        <v>34.003312757774061</v>
      </c>
      <c r="AR327" s="61">
        <v>0</v>
      </c>
      <c r="AS327" s="63">
        <f t="shared" si="74"/>
        <v>0</v>
      </c>
      <c r="AT327" s="61">
        <v>17.762080020081491</v>
      </c>
      <c r="AU327" s="61">
        <v>0</v>
      </c>
      <c r="AV327" s="63">
        <f t="shared" si="75"/>
        <v>0</v>
      </c>
      <c r="AW327" s="61">
        <v>9.6136760640302015</v>
      </c>
      <c r="AX327" s="61">
        <v>0</v>
      </c>
      <c r="AY327" s="63">
        <f t="shared" si="76"/>
        <v>0</v>
      </c>
      <c r="AZ327" s="61">
        <v>29.010225214982142</v>
      </c>
      <c r="BA327" s="61">
        <v>0</v>
      </c>
      <c r="BB327" s="63">
        <f t="shared" si="77"/>
        <v>0</v>
      </c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</row>
    <row r="328" spans="1:87" x14ac:dyDescent="0.25">
      <c r="A328" s="128">
        <v>12323</v>
      </c>
      <c r="B328" s="128">
        <v>300</v>
      </c>
      <c r="C328" s="128">
        <v>1047804388</v>
      </c>
      <c r="D328" s="128" t="s">
        <v>1009</v>
      </c>
      <c r="E328" s="128" t="s">
        <v>546</v>
      </c>
      <c r="F328" s="128" t="s">
        <v>546</v>
      </c>
      <c r="G328" s="128" t="s">
        <v>1010</v>
      </c>
      <c r="H328" s="128" t="s">
        <v>1010</v>
      </c>
      <c r="I328" s="128" t="s">
        <v>1218</v>
      </c>
      <c r="J328" s="128" t="s">
        <v>970</v>
      </c>
      <c r="K328" s="128" t="s">
        <v>1005</v>
      </c>
      <c r="L328" s="128">
        <v>75016</v>
      </c>
      <c r="M328" s="128" t="s">
        <v>1215</v>
      </c>
      <c r="N328" s="128"/>
      <c r="O328" s="156"/>
      <c r="P328" s="157">
        <v>114969.58449173244</v>
      </c>
      <c r="Q328" s="61">
        <v>58592.210000000006</v>
      </c>
      <c r="R328" s="63">
        <f t="shared" si="65"/>
        <v>0.50963226716900434</v>
      </c>
      <c r="S328" s="61">
        <v>15433.650519240178</v>
      </c>
      <c r="T328" s="61">
        <v>0</v>
      </c>
      <c r="U328" s="63">
        <f t="shared" si="66"/>
        <v>0</v>
      </c>
      <c r="V328" s="61">
        <v>33636.352454608437</v>
      </c>
      <c r="W328" s="61">
        <v>26182.12</v>
      </c>
      <c r="X328" s="63">
        <f t="shared" si="67"/>
        <v>0.77838761011118041</v>
      </c>
      <c r="Y328" s="61">
        <v>1133.1429953641011</v>
      </c>
      <c r="Z328" s="102">
        <v>0</v>
      </c>
      <c r="AA328" s="63">
        <f t="shared" si="68"/>
        <v>0</v>
      </c>
      <c r="AB328" s="61">
        <v>19.874211571006651</v>
      </c>
      <c r="AC328" s="61">
        <v>3</v>
      </c>
      <c r="AD328" s="63">
        <f t="shared" si="69"/>
        <v>0.15094938429540158</v>
      </c>
      <c r="AE328" s="61">
        <v>3.3806181131765243</v>
      </c>
      <c r="AF328" s="61">
        <v>3</v>
      </c>
      <c r="AG328" s="63">
        <f t="shared" si="70"/>
        <v>0.88741168022114014</v>
      </c>
      <c r="AH328" s="61">
        <v>106.2617129401027</v>
      </c>
      <c r="AI328" s="61">
        <v>45</v>
      </c>
      <c r="AJ328" s="63">
        <f t="shared" si="71"/>
        <v>0.42348272726758579</v>
      </c>
      <c r="AK328" s="61">
        <v>4.1306087663201216</v>
      </c>
      <c r="AL328" s="61">
        <v>1</v>
      </c>
      <c r="AM328" s="63">
        <f t="shared" si="72"/>
        <v>0.24209506553942661</v>
      </c>
      <c r="AN328" s="61">
        <v>5.376343942393639</v>
      </c>
      <c r="AO328" s="61">
        <v>2</v>
      </c>
      <c r="AP328" s="63">
        <f t="shared" si="73"/>
        <v>0.37200000993789961</v>
      </c>
      <c r="AQ328" s="61">
        <v>11.901159465220921</v>
      </c>
      <c r="AR328" s="61">
        <v>2</v>
      </c>
      <c r="AS328" s="63">
        <f t="shared" si="74"/>
        <v>0.16805085301517503</v>
      </c>
      <c r="AT328" s="61">
        <v>6.2167280070285225</v>
      </c>
      <c r="AU328" s="61">
        <v>3</v>
      </c>
      <c r="AV328" s="63">
        <f t="shared" si="75"/>
        <v>0.48256896499384455</v>
      </c>
      <c r="AW328" s="61">
        <v>3.3647866224105698</v>
      </c>
      <c r="AX328" s="61">
        <v>0</v>
      </c>
      <c r="AY328" s="63">
        <f t="shared" si="76"/>
        <v>0</v>
      </c>
      <c r="AZ328" s="61">
        <v>10.15357882524375</v>
      </c>
      <c r="BA328" s="61">
        <v>8</v>
      </c>
      <c r="BB328" s="63">
        <f t="shared" si="77"/>
        <v>0.78789953155339287</v>
      </c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</row>
    <row r="329" spans="1:87" x14ac:dyDescent="0.25">
      <c r="A329" s="128">
        <v>3686</v>
      </c>
      <c r="B329" s="128">
        <v>300</v>
      </c>
      <c r="C329" s="128">
        <v>1038957187</v>
      </c>
      <c r="D329" s="128" t="s">
        <v>1011</v>
      </c>
      <c r="E329" s="128" t="s">
        <v>546</v>
      </c>
      <c r="F329" s="128" t="s">
        <v>546</v>
      </c>
      <c r="G329" s="128" t="s">
        <v>1012</v>
      </c>
      <c r="H329" s="128" t="s">
        <v>1013</v>
      </c>
      <c r="I329" s="128" t="s">
        <v>1218</v>
      </c>
      <c r="J329" s="128" t="s">
        <v>970</v>
      </c>
      <c r="K329" s="128" t="s">
        <v>1005</v>
      </c>
      <c r="L329" s="128">
        <v>75016</v>
      </c>
      <c r="M329" s="128" t="s">
        <v>1175</v>
      </c>
      <c r="N329" s="128">
        <v>5</v>
      </c>
      <c r="O329" s="156">
        <v>0.1</v>
      </c>
      <c r="P329" s="157">
        <v>98545.358135770672</v>
      </c>
      <c r="Q329" s="61">
        <v>135078.27000000002</v>
      </c>
      <c r="R329" s="63">
        <f t="shared" si="65"/>
        <v>1.3707217930437292</v>
      </c>
      <c r="S329" s="61">
        <v>10514.557587920131</v>
      </c>
      <c r="T329" s="61">
        <v>0</v>
      </c>
      <c r="U329" s="63">
        <f t="shared" si="66"/>
        <v>0</v>
      </c>
      <c r="V329" s="61">
        <v>28831.15924680723</v>
      </c>
      <c r="W329" s="61">
        <v>26010.02</v>
      </c>
      <c r="X329" s="63">
        <f t="shared" si="67"/>
        <v>0.90214964224445315</v>
      </c>
      <c r="Y329" s="61">
        <v>971.26542459780092</v>
      </c>
      <c r="Z329" s="102">
        <v>0</v>
      </c>
      <c r="AA329" s="63">
        <f t="shared" si="68"/>
        <v>0</v>
      </c>
      <c r="AB329" s="61">
        <v>17.035038489434275</v>
      </c>
      <c r="AC329" s="61">
        <v>3</v>
      </c>
      <c r="AD329" s="63">
        <f t="shared" si="69"/>
        <v>0.17610761501130184</v>
      </c>
      <c r="AE329" s="61">
        <v>2.8976726684370204</v>
      </c>
      <c r="AF329" s="61">
        <v>0</v>
      </c>
      <c r="AG329" s="63">
        <f t="shared" si="70"/>
        <v>0</v>
      </c>
      <c r="AH329" s="61">
        <v>91.081468234373745</v>
      </c>
      <c r="AI329" s="61">
        <v>109</v>
      </c>
      <c r="AJ329" s="63">
        <f t="shared" si="71"/>
        <v>1.1967308181672887</v>
      </c>
      <c r="AK329" s="61">
        <v>3.5405217997029608</v>
      </c>
      <c r="AL329" s="61">
        <v>1</v>
      </c>
      <c r="AM329" s="63">
        <f t="shared" si="72"/>
        <v>0.28244424312933109</v>
      </c>
      <c r="AN329" s="61">
        <v>4.6082948077659767</v>
      </c>
      <c r="AO329" s="61">
        <v>2</v>
      </c>
      <c r="AP329" s="63">
        <f t="shared" si="73"/>
        <v>0.43400001159421614</v>
      </c>
      <c r="AQ329" s="61">
        <v>10.200993827332217</v>
      </c>
      <c r="AR329" s="61">
        <v>4</v>
      </c>
      <c r="AS329" s="63">
        <f t="shared" si="74"/>
        <v>0.39211865703540844</v>
      </c>
      <c r="AT329" s="61">
        <v>5.3286240060244472</v>
      </c>
      <c r="AU329" s="61">
        <v>8</v>
      </c>
      <c r="AV329" s="63">
        <f t="shared" si="75"/>
        <v>1.5013256688697387</v>
      </c>
      <c r="AW329" s="61">
        <v>2.8841028192090601</v>
      </c>
      <c r="AX329" s="61">
        <v>0</v>
      </c>
      <c r="AY329" s="63">
        <f t="shared" si="76"/>
        <v>0</v>
      </c>
      <c r="AZ329" s="61">
        <v>8.703067564494642</v>
      </c>
      <c r="BA329" s="61">
        <v>11</v>
      </c>
      <c r="BB329" s="63">
        <f t="shared" si="77"/>
        <v>1.2639221652002346</v>
      </c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</row>
    <row r="330" spans="1:87" x14ac:dyDescent="0.25">
      <c r="A330" s="128">
        <v>22759</v>
      </c>
      <c r="B330" s="128">
        <v>300</v>
      </c>
      <c r="C330" s="128">
        <v>1076318276</v>
      </c>
      <c r="D330" s="128" t="s">
        <v>1172</v>
      </c>
      <c r="E330" s="128" t="s">
        <v>546</v>
      </c>
      <c r="F330" s="128" t="s">
        <v>546</v>
      </c>
      <c r="G330" s="128" t="s">
        <v>1173</v>
      </c>
      <c r="H330" s="128" t="s">
        <v>1173</v>
      </c>
      <c r="I330" s="128" t="s">
        <v>1218</v>
      </c>
      <c r="J330" s="128" t="s">
        <v>970</v>
      </c>
      <c r="K330" s="128" t="s">
        <v>1005</v>
      </c>
      <c r="L330" s="128">
        <v>75016</v>
      </c>
      <c r="M330" s="128" t="s">
        <v>1215</v>
      </c>
      <c r="N330" s="128"/>
      <c r="O330" s="156"/>
      <c r="P330" s="157">
        <v>114969.58449173244</v>
      </c>
      <c r="Q330" s="61">
        <v>94425.239999999991</v>
      </c>
      <c r="R330" s="63">
        <f t="shared" si="65"/>
        <v>0.82130626476074797</v>
      </c>
      <c r="S330" s="61">
        <v>12433.650519240178</v>
      </c>
      <c r="T330" s="61">
        <v>13844.32</v>
      </c>
      <c r="U330" s="63">
        <f t="shared" si="66"/>
        <v>1.1134557770123032</v>
      </c>
      <c r="V330" s="61">
        <v>33636.352454608437</v>
      </c>
      <c r="W330" s="61">
        <v>16148.279999999997</v>
      </c>
      <c r="X330" s="63">
        <f t="shared" si="67"/>
        <v>0.4800841595946459</v>
      </c>
      <c r="Y330" s="61">
        <v>1133.1429953641011</v>
      </c>
      <c r="Z330" s="102">
        <v>0</v>
      </c>
      <c r="AA330" s="63">
        <f t="shared" si="68"/>
        <v>0</v>
      </c>
      <c r="AB330" s="61">
        <v>19.874211571006651</v>
      </c>
      <c r="AC330" s="61">
        <v>10</v>
      </c>
      <c r="AD330" s="63">
        <f t="shared" si="69"/>
        <v>0.5031646143180053</v>
      </c>
      <c r="AE330" s="61">
        <v>3.3806181131765243</v>
      </c>
      <c r="AF330" s="61">
        <v>3</v>
      </c>
      <c r="AG330" s="63">
        <f t="shared" si="70"/>
        <v>0.88741168022114014</v>
      </c>
      <c r="AH330" s="61">
        <v>106.2617129401027</v>
      </c>
      <c r="AI330" s="61">
        <v>99</v>
      </c>
      <c r="AJ330" s="63">
        <f t="shared" si="71"/>
        <v>0.9316619999886887</v>
      </c>
      <c r="AK330" s="61">
        <v>4.1306087663201216</v>
      </c>
      <c r="AL330" s="61">
        <v>1</v>
      </c>
      <c r="AM330" s="63">
        <f t="shared" si="72"/>
        <v>0.24209506553942661</v>
      </c>
      <c r="AN330" s="61">
        <v>5.376343942393639</v>
      </c>
      <c r="AO330" s="61">
        <v>17</v>
      </c>
      <c r="AP330" s="63">
        <f t="shared" si="73"/>
        <v>3.1620000844721465</v>
      </c>
      <c r="AQ330" s="61">
        <v>11.901159465220921</v>
      </c>
      <c r="AR330" s="61">
        <v>3</v>
      </c>
      <c r="AS330" s="63">
        <f t="shared" si="74"/>
        <v>0.25207627952276251</v>
      </c>
      <c r="AT330" s="61">
        <v>6.2167280070285225</v>
      </c>
      <c r="AU330" s="61">
        <v>1</v>
      </c>
      <c r="AV330" s="63">
        <f t="shared" si="75"/>
        <v>0.16085632166461486</v>
      </c>
      <c r="AW330" s="61">
        <v>3.3647866224105698</v>
      </c>
      <c r="AX330" s="61">
        <v>0</v>
      </c>
      <c r="AY330" s="63">
        <f t="shared" si="76"/>
        <v>0</v>
      </c>
      <c r="AZ330" s="61">
        <v>10.15357882524375</v>
      </c>
      <c r="BA330" s="61">
        <v>1</v>
      </c>
      <c r="BB330" s="63">
        <f t="shared" si="77"/>
        <v>9.8487441444174109E-2</v>
      </c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</row>
    <row r="331" spans="1:87" x14ac:dyDescent="0.25">
      <c r="A331" s="128">
        <v>9242</v>
      </c>
      <c r="B331" s="128">
        <v>21751</v>
      </c>
      <c r="C331" s="128">
        <v>1068574159</v>
      </c>
      <c r="D331" s="128" t="s">
        <v>1027</v>
      </c>
      <c r="E331" s="128" t="s">
        <v>541</v>
      </c>
      <c r="F331" s="128" t="s">
        <v>541</v>
      </c>
      <c r="G331" s="128" t="s">
        <v>1028</v>
      </c>
      <c r="H331" s="128" t="s">
        <v>1029</v>
      </c>
      <c r="I331" s="128" t="s">
        <v>1218</v>
      </c>
      <c r="J331" s="128" t="s">
        <v>970</v>
      </c>
      <c r="K331" s="128" t="s">
        <v>1016</v>
      </c>
      <c r="L331" s="128">
        <v>75021</v>
      </c>
      <c r="M331" s="128"/>
      <c r="N331" s="128"/>
      <c r="O331" s="156"/>
      <c r="P331" s="157">
        <v>1396059.240256751</v>
      </c>
      <c r="Q331" s="61">
        <v>0</v>
      </c>
      <c r="R331" s="63">
        <f t="shared" si="65"/>
        <v>0</v>
      </c>
      <c r="S331" s="61">
        <v>163122.89916220185</v>
      </c>
      <c r="T331" s="61">
        <v>0</v>
      </c>
      <c r="U331" s="63">
        <f t="shared" si="66"/>
        <v>0</v>
      </c>
      <c r="V331" s="61">
        <v>408441.42266310251</v>
      </c>
      <c r="W331" s="61">
        <v>0</v>
      </c>
      <c r="X331" s="63">
        <f t="shared" si="67"/>
        <v>0</v>
      </c>
      <c r="Y331" s="61">
        <v>13759.593515135515</v>
      </c>
      <c r="Z331" s="102">
        <v>0</v>
      </c>
      <c r="AA331" s="63">
        <f t="shared" si="68"/>
        <v>0</v>
      </c>
      <c r="AB331" s="61">
        <v>241.32971193365228</v>
      </c>
      <c r="AC331" s="61">
        <v>0</v>
      </c>
      <c r="AD331" s="63">
        <f t="shared" si="69"/>
        <v>0</v>
      </c>
      <c r="AE331" s="61">
        <v>41.050362802857791</v>
      </c>
      <c r="AF331" s="61">
        <v>0</v>
      </c>
      <c r="AG331" s="63">
        <f t="shared" si="70"/>
        <v>0</v>
      </c>
      <c r="AH331" s="61">
        <v>1290.320799986961</v>
      </c>
      <c r="AI331" s="61">
        <v>0</v>
      </c>
      <c r="AJ331" s="63">
        <f t="shared" si="71"/>
        <v>0</v>
      </c>
      <c r="AK331" s="61">
        <v>50.157392162458621</v>
      </c>
      <c r="AL331" s="61">
        <v>0</v>
      </c>
      <c r="AM331" s="63">
        <f t="shared" si="72"/>
        <v>0</v>
      </c>
      <c r="AN331" s="61">
        <v>65.284176443351328</v>
      </c>
      <c r="AO331" s="61">
        <v>1</v>
      </c>
      <c r="AP331" s="63">
        <f t="shared" si="73"/>
        <v>1.5317647468031161E-2</v>
      </c>
      <c r="AQ331" s="61">
        <v>144.51407922053974</v>
      </c>
      <c r="AR331" s="61">
        <v>0</v>
      </c>
      <c r="AS331" s="63">
        <f t="shared" si="74"/>
        <v>0</v>
      </c>
      <c r="AT331" s="61">
        <v>79.9293600903667</v>
      </c>
      <c r="AU331" s="61">
        <v>0</v>
      </c>
      <c r="AV331" s="63">
        <f t="shared" si="75"/>
        <v>0</v>
      </c>
      <c r="AW331" s="61">
        <v>40.858123272128346</v>
      </c>
      <c r="AX331" s="61">
        <v>0</v>
      </c>
      <c r="AY331" s="63">
        <f t="shared" si="76"/>
        <v>0</v>
      </c>
      <c r="AZ331" s="61">
        <v>123.29345716367412</v>
      </c>
      <c r="BA331" s="61">
        <v>0</v>
      </c>
      <c r="BB331" s="63">
        <f t="shared" si="77"/>
        <v>0</v>
      </c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</row>
    <row r="332" spans="1:87" x14ac:dyDescent="0.25">
      <c r="A332" s="116">
        <v>6886</v>
      </c>
      <c r="B332" s="116">
        <v>9242</v>
      </c>
      <c r="C332" s="116">
        <v>1065358341</v>
      </c>
      <c r="D332" s="116" t="s">
        <v>1017</v>
      </c>
      <c r="E332" s="116" t="s">
        <v>544</v>
      </c>
      <c r="F332" s="116" t="s">
        <v>544</v>
      </c>
      <c r="G332" s="116" t="s">
        <v>1018</v>
      </c>
      <c r="H332" s="116" t="s">
        <v>1019</v>
      </c>
      <c r="I332" s="116" t="s">
        <v>1218</v>
      </c>
      <c r="J332" s="116" t="s">
        <v>970</v>
      </c>
      <c r="K332" s="116" t="s">
        <v>1016</v>
      </c>
      <c r="L332" s="116">
        <v>75021</v>
      </c>
      <c r="M332" s="116"/>
      <c r="N332" s="116"/>
      <c r="O332" s="152"/>
      <c r="P332" s="153">
        <v>762248.34518018621</v>
      </c>
      <c r="Q332" s="61">
        <v>0</v>
      </c>
      <c r="R332" s="63">
        <f t="shared" si="65"/>
        <v>0</v>
      </c>
      <c r="S332" s="61">
        <v>90176.676398200711</v>
      </c>
      <c r="T332" s="61">
        <v>0</v>
      </c>
      <c r="U332" s="63">
        <f t="shared" si="66"/>
        <v>0</v>
      </c>
      <c r="V332" s="61">
        <v>223009.01677405398</v>
      </c>
      <c r="W332" s="61">
        <v>0</v>
      </c>
      <c r="X332" s="63">
        <f t="shared" si="67"/>
        <v>0</v>
      </c>
      <c r="Y332" s="61">
        <v>7402</v>
      </c>
      <c r="Z332" s="102">
        <v>0</v>
      </c>
      <c r="AA332" s="63">
        <f t="shared" si="68"/>
        <v>0</v>
      </c>
      <c r="AB332" s="61">
        <v>131.76602271577414</v>
      </c>
      <c r="AC332" s="61">
        <v>0</v>
      </c>
      <c r="AD332" s="63">
        <f t="shared" si="69"/>
        <v>0</v>
      </c>
      <c r="AE332" s="61">
        <v>22.413498090360353</v>
      </c>
      <c r="AF332" s="61">
        <v>0</v>
      </c>
      <c r="AG332" s="63">
        <f t="shared" si="70"/>
        <v>0</v>
      </c>
      <c r="AH332" s="61">
        <v>704.51515679288082</v>
      </c>
      <c r="AI332" s="61">
        <v>7</v>
      </c>
      <c r="AJ332" s="63">
        <f t="shared" si="71"/>
        <v>9.9359111475552219E-3</v>
      </c>
      <c r="AK332" s="61">
        <v>27.385936120702411</v>
      </c>
      <c r="AL332" s="61">
        <v>0</v>
      </c>
      <c r="AM332" s="63">
        <f t="shared" si="72"/>
        <v>0</v>
      </c>
      <c r="AN332" s="61">
        <v>35.645160338069836</v>
      </c>
      <c r="AO332" s="61">
        <v>0</v>
      </c>
      <c r="AP332" s="63">
        <f t="shared" si="73"/>
        <v>0</v>
      </c>
      <c r="AQ332" s="61">
        <v>79.753422454203999</v>
      </c>
      <c r="AR332" s="61">
        <v>0</v>
      </c>
      <c r="AS332" s="63">
        <f t="shared" si="74"/>
        <v>0</v>
      </c>
      <c r="AT332" s="61">
        <v>43.641430609340219</v>
      </c>
      <c r="AU332" s="61">
        <v>0</v>
      </c>
      <c r="AV332" s="63">
        <f t="shared" si="75"/>
        <v>0</v>
      </c>
      <c r="AW332" s="61">
        <v>22.30853530658208</v>
      </c>
      <c r="AX332" s="61">
        <v>0</v>
      </c>
      <c r="AY332" s="63">
        <f t="shared" si="76"/>
        <v>0</v>
      </c>
      <c r="AZ332" s="61">
        <v>67.318227611366069</v>
      </c>
      <c r="BA332" s="61">
        <v>0</v>
      </c>
      <c r="BB332" s="63">
        <f t="shared" si="77"/>
        <v>0</v>
      </c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</row>
    <row r="333" spans="1:87" x14ac:dyDescent="0.25">
      <c r="A333" s="207">
        <v>27281</v>
      </c>
      <c r="B333" s="207">
        <v>6886</v>
      </c>
      <c r="C333" s="207">
        <v>1094548474</v>
      </c>
      <c r="D333" s="207" t="s">
        <v>1020</v>
      </c>
      <c r="E333" s="207" t="s">
        <v>546</v>
      </c>
      <c r="F333" s="207" t="s">
        <v>546</v>
      </c>
      <c r="G333" s="207" t="s">
        <v>1021</v>
      </c>
      <c r="H333" s="207" t="s">
        <v>1021</v>
      </c>
      <c r="I333" s="207" t="s">
        <v>1218</v>
      </c>
      <c r="J333" s="207" t="s">
        <v>970</v>
      </c>
      <c r="K333" s="207" t="s">
        <v>1016</v>
      </c>
      <c r="L333" s="207">
        <v>75021</v>
      </c>
      <c r="M333" s="207" t="s">
        <v>1175</v>
      </c>
      <c r="N333" s="207">
        <v>5</v>
      </c>
      <c r="O333" s="229">
        <v>0.1</v>
      </c>
      <c r="P333" s="230">
        <v>126645.331623108</v>
      </c>
      <c r="Q333" s="61">
        <v>94518.26</v>
      </c>
      <c r="R333" s="63">
        <f t="shared" si="65"/>
        <v>0.74632249597073963</v>
      </c>
      <c r="S333" s="61">
        <v>14458.83797772539</v>
      </c>
      <c r="T333" s="61">
        <v>0</v>
      </c>
      <c r="U333" s="63">
        <f t="shared" si="66"/>
        <v>0</v>
      </c>
      <c r="V333" s="61">
        <v>37259.728039679278</v>
      </c>
      <c r="W333" s="61">
        <v>12162.17</v>
      </c>
      <c r="X333" s="63">
        <f t="shared" si="67"/>
        <v>0.32641596275335266</v>
      </c>
      <c r="Y333" s="61">
        <v>1216.1400000000001</v>
      </c>
      <c r="Z333" s="102">
        <v>0</v>
      </c>
      <c r="AA333" s="63">
        <f t="shared" si="68"/>
        <v>0</v>
      </c>
      <c r="AB333" s="61">
        <v>21.719674074028703</v>
      </c>
      <c r="AC333" s="61">
        <v>3</v>
      </c>
      <c r="AD333" s="63">
        <f t="shared" si="69"/>
        <v>0.1381236196167073</v>
      </c>
      <c r="AE333" s="61">
        <v>3.6945326522572008</v>
      </c>
      <c r="AF333" s="61">
        <v>1</v>
      </c>
      <c r="AG333" s="63">
        <f t="shared" si="70"/>
        <v>0.27067022926134998</v>
      </c>
      <c r="AH333" s="61">
        <v>116.12887199882651</v>
      </c>
      <c r="AI333" s="61">
        <v>89</v>
      </c>
      <c r="AJ333" s="63">
        <f t="shared" si="71"/>
        <v>0.76638994651475945</v>
      </c>
      <c r="AK333" s="61">
        <v>4.514165294621276</v>
      </c>
      <c r="AL333" s="61">
        <v>5</v>
      </c>
      <c r="AM333" s="63">
        <f t="shared" si="72"/>
        <v>1.1076244828601218</v>
      </c>
      <c r="AN333" s="61">
        <v>5.8755758799016204</v>
      </c>
      <c r="AO333" s="61">
        <v>5</v>
      </c>
      <c r="AP333" s="63">
        <f t="shared" si="73"/>
        <v>0.85098041489061993</v>
      </c>
      <c r="AQ333" s="61">
        <v>13.006267129848577</v>
      </c>
      <c r="AR333" s="61">
        <v>3</v>
      </c>
      <c r="AS333" s="63">
        <f t="shared" si="74"/>
        <v>0.23065803355024023</v>
      </c>
      <c r="AT333" s="61">
        <v>7.1936424081330035</v>
      </c>
      <c r="AU333" s="61">
        <v>1</v>
      </c>
      <c r="AV333" s="63">
        <f t="shared" si="75"/>
        <v>0.1390116360064573</v>
      </c>
      <c r="AW333" s="61">
        <v>3.7064978491492049</v>
      </c>
      <c r="AX333" s="61">
        <v>0</v>
      </c>
      <c r="AY333" s="63">
        <f t="shared" si="76"/>
        <v>0</v>
      </c>
      <c r="AZ333" s="61">
        <v>11.09641114473067</v>
      </c>
      <c r="BA333" s="61">
        <v>5</v>
      </c>
      <c r="BB333" s="63">
        <f t="shared" si="77"/>
        <v>0.45059613732628678</v>
      </c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</row>
    <row r="334" spans="1:87" x14ac:dyDescent="0.25">
      <c r="A334" s="128">
        <v>7559</v>
      </c>
      <c r="B334" s="128">
        <v>6886</v>
      </c>
      <c r="C334" s="128">
        <v>1059431484</v>
      </c>
      <c r="D334" s="128" t="s">
        <v>1022</v>
      </c>
      <c r="E334" s="128" t="s">
        <v>546</v>
      </c>
      <c r="F334" s="128" t="s">
        <v>546</v>
      </c>
      <c r="G334" s="128" t="s">
        <v>1023</v>
      </c>
      <c r="H334" s="128" t="s">
        <v>1024</v>
      </c>
      <c r="I334" s="128" t="s">
        <v>1218</v>
      </c>
      <c r="J334" s="128" t="s">
        <v>970</v>
      </c>
      <c r="K334" s="128" t="s">
        <v>1016</v>
      </c>
      <c r="L334" s="128">
        <v>75021</v>
      </c>
      <c r="M334" s="128" t="s">
        <v>1215</v>
      </c>
      <c r="N334" s="128"/>
      <c r="O334" s="156"/>
      <c r="P334" s="157">
        <v>169319.22731132401</v>
      </c>
      <c r="Q334" s="61">
        <v>128618.26000000001</v>
      </c>
      <c r="R334" s="63">
        <f t="shared" si="65"/>
        <v>0.75961993237491032</v>
      </c>
      <c r="S334" s="61">
        <v>21900.993697788675</v>
      </c>
      <c r="T334" s="61">
        <v>12161.75</v>
      </c>
      <c r="U334" s="63">
        <f t="shared" si="66"/>
        <v>0.55530585359823015</v>
      </c>
      <c r="V334" s="61">
        <v>49329.853564898454</v>
      </c>
      <c r="W334" s="61">
        <v>50219.650000000009</v>
      </c>
      <c r="X334" s="63">
        <f t="shared" si="67"/>
        <v>1.0180376865285226</v>
      </c>
      <c r="Y334" s="61">
        <v>1656.4480000000001</v>
      </c>
      <c r="Z334" s="102">
        <v>400</v>
      </c>
      <c r="AA334" s="63">
        <f t="shared" si="68"/>
        <v>0.24148056564407694</v>
      </c>
      <c r="AB334" s="61">
        <v>29.442224855905575</v>
      </c>
      <c r="AC334" s="61">
        <v>10</v>
      </c>
      <c r="AD334" s="63">
        <f t="shared" si="69"/>
        <v>0.33964824495911633</v>
      </c>
      <c r="AE334" s="61">
        <v>5.00814426194865</v>
      </c>
      <c r="AF334" s="61">
        <v>4</v>
      </c>
      <c r="AG334" s="63">
        <f t="shared" si="70"/>
        <v>0.7986990371646393</v>
      </c>
      <c r="AH334" s="61">
        <v>157.41913759840926</v>
      </c>
      <c r="AI334" s="61">
        <v>40</v>
      </c>
      <c r="AJ334" s="63">
        <f t="shared" si="71"/>
        <v>0.25409871131452699</v>
      </c>
      <c r="AK334" s="61">
        <v>6.119201843819952</v>
      </c>
      <c r="AL334" s="61">
        <v>0</v>
      </c>
      <c r="AM334" s="63">
        <f t="shared" si="72"/>
        <v>0</v>
      </c>
      <c r="AN334" s="61">
        <v>7.964669526088862</v>
      </c>
      <c r="AO334" s="61">
        <v>3</v>
      </c>
      <c r="AP334" s="63">
        <f t="shared" si="73"/>
        <v>0.37666346232863507</v>
      </c>
      <c r="AQ334" s="61">
        <v>16.12990566489519</v>
      </c>
      <c r="AR334" s="61">
        <v>2</v>
      </c>
      <c r="AS334" s="63">
        <f t="shared" si="74"/>
        <v>0.12399328561187811</v>
      </c>
      <c r="AT334" s="61">
        <v>9.7513819310247385</v>
      </c>
      <c r="AU334" s="61">
        <v>1</v>
      </c>
      <c r="AV334" s="63">
        <f t="shared" si="75"/>
        <v>0.10254956754574718</v>
      </c>
      <c r="AW334" s="61">
        <v>4.9554242845420271</v>
      </c>
      <c r="AX334" s="61">
        <v>0</v>
      </c>
      <c r="AY334" s="63">
        <f t="shared" si="76"/>
        <v>0</v>
      </c>
      <c r="AZ334" s="61">
        <v>15.041801773968242</v>
      </c>
      <c r="BA334" s="61">
        <v>8</v>
      </c>
      <c r="BB334" s="63">
        <f t="shared" si="77"/>
        <v>0.53185117848348606</v>
      </c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</row>
    <row r="335" spans="1:87" x14ac:dyDescent="0.25">
      <c r="A335" s="128">
        <v>11620</v>
      </c>
      <c r="B335" s="128">
        <v>6886</v>
      </c>
      <c r="C335" s="128">
        <v>1076094125</v>
      </c>
      <c r="D335" s="128" t="s">
        <v>1025</v>
      </c>
      <c r="E335" s="128" t="s">
        <v>546</v>
      </c>
      <c r="F335" s="128" t="s">
        <v>546</v>
      </c>
      <c r="G335" s="128" t="s">
        <v>1026</v>
      </c>
      <c r="H335" s="128" t="s">
        <v>1026</v>
      </c>
      <c r="I335" s="128" t="s">
        <v>1218</v>
      </c>
      <c r="J335" s="128" t="s">
        <v>970</v>
      </c>
      <c r="K335" s="128" t="s">
        <v>1016</v>
      </c>
      <c r="L335" s="128">
        <v>75021</v>
      </c>
      <c r="M335" s="128"/>
      <c r="N335" s="128"/>
      <c r="O335" s="156"/>
      <c r="P335" s="157">
        <v>170819.22731132401</v>
      </c>
      <c r="Q335" s="61">
        <v>147802.66</v>
      </c>
      <c r="R335" s="63">
        <f t="shared" si="65"/>
        <v>0.86525774836005143</v>
      </c>
      <c r="S335" s="61">
        <v>18478.771414249979</v>
      </c>
      <c r="T335" s="61">
        <v>13084.34</v>
      </c>
      <c r="U335" s="63">
        <f t="shared" si="66"/>
        <v>0.70807413039970601</v>
      </c>
      <c r="V335" s="61">
        <v>48778.853564898454</v>
      </c>
      <c r="W335" s="61">
        <v>8725.65</v>
      </c>
      <c r="X335" s="63">
        <f t="shared" si="67"/>
        <v>0.17888181788427737</v>
      </c>
      <c r="Y335" s="61">
        <v>1656.4480000000001</v>
      </c>
      <c r="Z335" s="102">
        <v>0</v>
      </c>
      <c r="AA335" s="63">
        <f t="shared" si="68"/>
        <v>0</v>
      </c>
      <c r="AB335" s="61">
        <v>29.442224855905575</v>
      </c>
      <c r="AC335" s="61">
        <v>11</v>
      </c>
      <c r="AD335" s="63">
        <f t="shared" si="69"/>
        <v>0.37361306945502792</v>
      </c>
      <c r="AE335" s="61">
        <v>5.00814426194865</v>
      </c>
      <c r="AF335" s="61">
        <v>3</v>
      </c>
      <c r="AG335" s="63">
        <f t="shared" si="70"/>
        <v>0.59902427787347945</v>
      </c>
      <c r="AH335" s="61">
        <v>157.41913759840926</v>
      </c>
      <c r="AI335" s="61">
        <v>75</v>
      </c>
      <c r="AJ335" s="63">
        <f t="shared" si="71"/>
        <v>0.47643508371473814</v>
      </c>
      <c r="AK335" s="61">
        <v>6.119201843819952</v>
      </c>
      <c r="AL335" s="61">
        <v>1</v>
      </c>
      <c r="AM335" s="63">
        <f t="shared" si="72"/>
        <v>0.16342000566788681</v>
      </c>
      <c r="AN335" s="61">
        <v>7.964669526088862</v>
      </c>
      <c r="AO335" s="61">
        <v>0</v>
      </c>
      <c r="AP335" s="63">
        <f t="shared" si="73"/>
        <v>0</v>
      </c>
      <c r="AQ335" s="61">
        <v>16.12990566489519</v>
      </c>
      <c r="AR335" s="61">
        <v>1</v>
      </c>
      <c r="AS335" s="63">
        <f t="shared" si="74"/>
        <v>6.1996642805939056E-2</v>
      </c>
      <c r="AT335" s="61">
        <v>9.7513819310247385</v>
      </c>
      <c r="AU335" s="61">
        <v>0</v>
      </c>
      <c r="AV335" s="63">
        <f t="shared" si="75"/>
        <v>0</v>
      </c>
      <c r="AW335" s="61">
        <v>4.9993244165284905</v>
      </c>
      <c r="AX335" s="61">
        <v>0</v>
      </c>
      <c r="AY335" s="63">
        <f t="shared" si="76"/>
        <v>0</v>
      </c>
      <c r="AZ335" s="61">
        <v>15.041801773968242</v>
      </c>
      <c r="BA335" s="61">
        <v>8</v>
      </c>
      <c r="BB335" s="63">
        <f t="shared" si="77"/>
        <v>0.53185117848348606</v>
      </c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</row>
    <row r="336" spans="1:87" x14ac:dyDescent="0.25">
      <c r="A336" s="128">
        <v>6689</v>
      </c>
      <c r="B336" s="128">
        <v>6886</v>
      </c>
      <c r="C336" s="128">
        <v>1088622723</v>
      </c>
      <c r="D336" s="128" t="s">
        <v>1033</v>
      </c>
      <c r="E336" s="128" t="s">
        <v>546</v>
      </c>
      <c r="F336" s="128" t="s">
        <v>546</v>
      </c>
      <c r="G336" s="128" t="s">
        <v>1034</v>
      </c>
      <c r="H336" s="128" t="s">
        <v>1035</v>
      </c>
      <c r="I336" s="128" t="s">
        <v>1218</v>
      </c>
      <c r="J336" s="128" t="s">
        <v>970</v>
      </c>
      <c r="K336" s="128" t="s">
        <v>1016</v>
      </c>
      <c r="L336" s="128">
        <v>75021</v>
      </c>
      <c r="M336" s="128" t="s">
        <v>1215</v>
      </c>
      <c r="N336" s="128"/>
      <c r="O336" s="156"/>
      <c r="P336" s="157">
        <v>170319.22731132363</v>
      </c>
      <c r="Q336" s="61">
        <v>150875.72999999998</v>
      </c>
      <c r="R336" s="63">
        <f t="shared" si="65"/>
        <v>0.88584085532643231</v>
      </c>
      <c r="S336" s="61">
        <v>20878.771414249979</v>
      </c>
      <c r="T336" s="61">
        <v>16687.039999999997</v>
      </c>
      <c r="U336" s="63">
        <f t="shared" si="66"/>
        <v>0.79923476668799198</v>
      </c>
      <c r="V336" s="61">
        <v>49729.853564898505</v>
      </c>
      <c r="W336" s="61">
        <v>29002.969999999998</v>
      </c>
      <c r="X336" s="63">
        <f t="shared" si="67"/>
        <v>0.58321044444964054</v>
      </c>
      <c r="Y336" s="61">
        <v>1656.4480000000001</v>
      </c>
      <c r="Z336" s="102">
        <v>0</v>
      </c>
      <c r="AA336" s="63">
        <f t="shared" si="68"/>
        <v>0</v>
      </c>
      <c r="AB336" s="61">
        <v>29.442224855905575</v>
      </c>
      <c r="AC336" s="61">
        <v>12</v>
      </c>
      <c r="AD336" s="63">
        <f t="shared" si="69"/>
        <v>0.40757789395093957</v>
      </c>
      <c r="AE336" s="61">
        <v>5.00814426194865</v>
      </c>
      <c r="AF336" s="61">
        <v>1</v>
      </c>
      <c r="AG336" s="63">
        <f t="shared" si="70"/>
        <v>0.19967475929115983</v>
      </c>
      <c r="AH336" s="61">
        <v>157.41913759840926</v>
      </c>
      <c r="AI336" s="61">
        <v>33</v>
      </c>
      <c r="AJ336" s="63">
        <f t="shared" si="71"/>
        <v>0.20963143683448479</v>
      </c>
      <c r="AK336" s="61">
        <v>6.119201843819952</v>
      </c>
      <c r="AL336" s="61">
        <v>6</v>
      </c>
      <c r="AM336" s="63">
        <f t="shared" si="72"/>
        <v>0.98052003400732091</v>
      </c>
      <c r="AN336" s="61">
        <v>7.964669526088862</v>
      </c>
      <c r="AO336" s="61">
        <v>24</v>
      </c>
      <c r="AP336" s="63">
        <f t="shared" si="73"/>
        <v>3.0133076986290805</v>
      </c>
      <c r="AQ336" s="61">
        <v>16.12990566489519</v>
      </c>
      <c r="AR336" s="61">
        <v>12</v>
      </c>
      <c r="AS336" s="63">
        <f t="shared" si="74"/>
        <v>0.74395971367126867</v>
      </c>
      <c r="AT336" s="61">
        <v>9.7513819310247385</v>
      </c>
      <c r="AU336" s="61">
        <v>4</v>
      </c>
      <c r="AV336" s="63">
        <f t="shared" si="75"/>
        <v>0.41019827018298871</v>
      </c>
      <c r="AW336" s="61">
        <v>4.9846910391996584</v>
      </c>
      <c r="AX336" s="61">
        <v>0</v>
      </c>
      <c r="AY336" s="63">
        <f t="shared" si="76"/>
        <v>0</v>
      </c>
      <c r="AZ336" s="61">
        <v>15.041801773968242</v>
      </c>
      <c r="BA336" s="61">
        <v>6</v>
      </c>
      <c r="BB336" s="63">
        <f t="shared" si="77"/>
        <v>0.39888838386261449</v>
      </c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</row>
    <row r="337" spans="1:87" x14ac:dyDescent="0.25">
      <c r="A337" s="128">
        <v>9381</v>
      </c>
      <c r="B337" s="128">
        <v>6886</v>
      </c>
      <c r="C337" s="128">
        <v>1079690507</v>
      </c>
      <c r="D337" s="128" t="s">
        <v>1038</v>
      </c>
      <c r="E337" s="128" t="s">
        <v>546</v>
      </c>
      <c r="F337" s="128" t="s">
        <v>546</v>
      </c>
      <c r="G337" s="128" t="s">
        <v>1039</v>
      </c>
      <c r="H337" s="128" t="s">
        <v>1040</v>
      </c>
      <c r="I337" s="128" t="s">
        <v>1218</v>
      </c>
      <c r="J337" s="128" t="s">
        <v>970</v>
      </c>
      <c r="K337" s="128" t="s">
        <v>1016</v>
      </c>
      <c r="L337" s="128">
        <v>75021</v>
      </c>
      <c r="M337" s="128" t="s">
        <v>1236</v>
      </c>
      <c r="N337" s="128">
        <v>5</v>
      </c>
      <c r="O337" s="156">
        <v>0.1</v>
      </c>
      <c r="P337" s="157">
        <v>125145.331623108</v>
      </c>
      <c r="Q337" s="61">
        <v>194687.01</v>
      </c>
      <c r="R337" s="63">
        <f t="shared" si="65"/>
        <v>1.555687355452668</v>
      </c>
      <c r="S337" s="61">
        <v>14458.83797772539</v>
      </c>
      <c r="T337" s="61">
        <v>7586.97</v>
      </c>
      <c r="U337" s="63">
        <f t="shared" si="66"/>
        <v>0.52472888981037979</v>
      </c>
      <c r="V337" s="61">
        <v>37910.72803967927</v>
      </c>
      <c r="W337" s="61">
        <v>24475.66</v>
      </c>
      <c r="X337" s="63">
        <f t="shared" si="67"/>
        <v>0.64561303002101533</v>
      </c>
      <c r="Y337" s="61">
        <v>1216.1410000000001</v>
      </c>
      <c r="Z337" s="102">
        <v>0</v>
      </c>
      <c r="AA337" s="63">
        <f t="shared" si="68"/>
        <v>0</v>
      </c>
      <c r="AB337" s="61">
        <v>21.719674074028703</v>
      </c>
      <c r="AC337" s="61">
        <v>7</v>
      </c>
      <c r="AD337" s="63">
        <f t="shared" si="69"/>
        <v>0.32228844577231702</v>
      </c>
      <c r="AE337" s="61">
        <v>3.6945326522572008</v>
      </c>
      <c r="AF337" s="61">
        <v>1</v>
      </c>
      <c r="AG337" s="63">
        <f t="shared" si="70"/>
        <v>0.27067022926134998</v>
      </c>
      <c r="AH337" s="61">
        <v>116.12887199882651</v>
      </c>
      <c r="AI337" s="61">
        <v>118</v>
      </c>
      <c r="AJ337" s="63">
        <f t="shared" si="71"/>
        <v>1.0161125133566473</v>
      </c>
      <c r="AK337" s="61">
        <v>4.514165294621276</v>
      </c>
      <c r="AL337" s="61">
        <v>8</v>
      </c>
      <c r="AM337" s="63">
        <f t="shared" si="72"/>
        <v>1.7721991725761947</v>
      </c>
      <c r="AN337" s="61">
        <v>5.8755758799016204</v>
      </c>
      <c r="AO337" s="61">
        <v>6</v>
      </c>
      <c r="AP337" s="63">
        <f t="shared" si="73"/>
        <v>1.0211764978687439</v>
      </c>
      <c r="AQ337" s="61">
        <v>17.922117405439099</v>
      </c>
      <c r="AR337" s="61">
        <v>4</v>
      </c>
      <c r="AS337" s="63">
        <f t="shared" si="74"/>
        <v>0.22318791410138061</v>
      </c>
      <c r="AT337" s="61">
        <v>7.1936424081330035</v>
      </c>
      <c r="AU337" s="61">
        <v>1</v>
      </c>
      <c r="AV337" s="63">
        <f t="shared" si="75"/>
        <v>0.1390116360064573</v>
      </c>
      <c r="AW337" s="61">
        <v>3.662597717162742</v>
      </c>
      <c r="AX337" s="61">
        <v>0</v>
      </c>
      <c r="AY337" s="63">
        <f t="shared" si="76"/>
        <v>0</v>
      </c>
      <c r="AZ337" s="61">
        <v>11.09641114473067</v>
      </c>
      <c r="BA337" s="61">
        <v>3</v>
      </c>
      <c r="BB337" s="63">
        <f t="shared" si="77"/>
        <v>0.27035768239577207</v>
      </c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</row>
    <row r="338" spans="1:87" x14ac:dyDescent="0.25">
      <c r="A338" s="128">
        <v>8826</v>
      </c>
      <c r="B338" s="128">
        <v>9242</v>
      </c>
      <c r="C338" s="128">
        <v>1058129329</v>
      </c>
      <c r="D338" s="128" t="s">
        <v>1036</v>
      </c>
      <c r="E338" s="128" t="s">
        <v>544</v>
      </c>
      <c r="F338" s="128" t="s">
        <v>544</v>
      </c>
      <c r="G338" s="128" t="s">
        <v>1037</v>
      </c>
      <c r="H338" s="128" t="s">
        <v>1037</v>
      </c>
      <c r="I338" s="128" t="s">
        <v>1218</v>
      </c>
      <c r="J338" s="128" t="s">
        <v>970</v>
      </c>
      <c r="K338" s="128" t="s">
        <v>1016</v>
      </c>
      <c r="L338" s="128">
        <v>75021</v>
      </c>
      <c r="M338" s="128"/>
      <c r="N338" s="128"/>
      <c r="O338" s="156"/>
      <c r="P338" s="157">
        <v>633810.89507656486</v>
      </c>
      <c r="Q338" s="61">
        <v>0</v>
      </c>
      <c r="R338" s="63">
        <f t="shared" si="65"/>
        <v>0</v>
      </c>
      <c r="S338" s="61">
        <v>72946.412243192535</v>
      </c>
      <c r="T338" s="61">
        <v>3216.52</v>
      </c>
      <c r="U338" s="63">
        <f t="shared" si="66"/>
        <v>4.4094286491796177E-2</v>
      </c>
      <c r="V338" s="61">
        <v>185432.40588904853</v>
      </c>
      <c r="W338" s="61">
        <v>0</v>
      </c>
      <c r="X338" s="63">
        <f t="shared" si="67"/>
        <v>0</v>
      </c>
      <c r="Y338" s="61">
        <v>6358</v>
      </c>
      <c r="Z338" s="102">
        <v>0</v>
      </c>
      <c r="AA338" s="63">
        <f t="shared" si="68"/>
        <v>0</v>
      </c>
      <c r="AB338" s="61">
        <v>109.56368921787814</v>
      </c>
      <c r="AC338" s="61">
        <v>0</v>
      </c>
      <c r="AD338" s="63">
        <f t="shared" si="69"/>
        <v>0</v>
      </c>
      <c r="AE338" s="61">
        <v>18.636864712497434</v>
      </c>
      <c r="AF338" s="61">
        <v>0</v>
      </c>
      <c r="AG338" s="63">
        <f t="shared" si="70"/>
        <v>0</v>
      </c>
      <c r="AH338" s="61">
        <v>585.8056431940804</v>
      </c>
      <c r="AI338" s="61">
        <v>3</v>
      </c>
      <c r="AJ338" s="63">
        <f t="shared" si="71"/>
        <v>5.1211524416914581E-3</v>
      </c>
      <c r="AK338" s="61">
        <v>22.77145604175621</v>
      </c>
      <c r="AL338" s="61">
        <v>0</v>
      </c>
      <c r="AM338" s="63">
        <f t="shared" si="72"/>
        <v>0</v>
      </c>
      <c r="AN338" s="61">
        <v>29.639016105281499</v>
      </c>
      <c r="AO338" s="61">
        <v>0</v>
      </c>
      <c r="AP338" s="63">
        <f t="shared" si="73"/>
        <v>0</v>
      </c>
      <c r="AQ338" s="61">
        <v>64.519622659580762</v>
      </c>
      <c r="AR338" s="61">
        <v>0</v>
      </c>
      <c r="AS338" s="63">
        <f t="shared" si="74"/>
        <v>0</v>
      </c>
      <c r="AT338" s="61">
        <v>36.287929481026481</v>
      </c>
      <c r="AU338" s="61">
        <v>0</v>
      </c>
      <c r="AV338" s="63">
        <f t="shared" si="75"/>
        <v>0</v>
      </c>
      <c r="AW338" s="61">
        <v>18.549587965546266</v>
      </c>
      <c r="AX338" s="61">
        <v>0</v>
      </c>
      <c r="AY338" s="63">
        <f t="shared" si="76"/>
        <v>0</v>
      </c>
      <c r="AZ338" s="61">
        <v>55.975229552308051</v>
      </c>
      <c r="BA338" s="61">
        <v>0</v>
      </c>
      <c r="BB338" s="63">
        <f t="shared" si="77"/>
        <v>0</v>
      </c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</row>
    <row r="339" spans="1:87" x14ac:dyDescent="0.25">
      <c r="A339" s="128">
        <v>9244</v>
      </c>
      <c r="B339" s="128">
        <v>8826</v>
      </c>
      <c r="C339" s="128">
        <v>1077420279</v>
      </c>
      <c r="D339" s="128" t="s">
        <v>1030</v>
      </c>
      <c r="E339" s="128" t="s">
        <v>546</v>
      </c>
      <c r="F339" s="128" t="s">
        <v>546</v>
      </c>
      <c r="G339" s="128" t="s">
        <v>1031</v>
      </c>
      <c r="H339" s="128" t="s">
        <v>1032</v>
      </c>
      <c r="I339" s="128" t="s">
        <v>1218</v>
      </c>
      <c r="J339" s="128" t="s">
        <v>970</v>
      </c>
      <c r="K339" s="128" t="s">
        <v>1016</v>
      </c>
      <c r="L339" s="128">
        <v>75021</v>
      </c>
      <c r="M339" s="128" t="s">
        <v>1215</v>
      </c>
      <c r="N339" s="128"/>
      <c r="O339" s="156"/>
      <c r="P339" s="157">
        <v>170000.22731132401</v>
      </c>
      <c r="Q339" s="61">
        <v>187929.60000000003</v>
      </c>
      <c r="R339" s="63">
        <f t="shared" si="65"/>
        <v>1.105466757146399</v>
      </c>
      <c r="S339" s="61">
        <v>19178.771414249979</v>
      </c>
      <c r="T339" s="61">
        <v>12220.87</v>
      </c>
      <c r="U339" s="63">
        <f t="shared" si="66"/>
        <v>0.63720817856558831</v>
      </c>
      <c r="V339" s="61">
        <v>49829.853564898505</v>
      </c>
      <c r="W339" s="61">
        <v>20561.72</v>
      </c>
      <c r="X339" s="63">
        <f t="shared" si="67"/>
        <v>0.41263857966631134</v>
      </c>
      <c r="Y339" s="61">
        <v>1656.4480000000001</v>
      </c>
      <c r="Z339" s="102">
        <v>0</v>
      </c>
      <c r="AA339" s="63">
        <f t="shared" si="68"/>
        <v>0</v>
      </c>
      <c r="AB339" s="61">
        <v>29.442224855905575</v>
      </c>
      <c r="AC339" s="61">
        <v>14</v>
      </c>
      <c r="AD339" s="63">
        <f t="shared" si="69"/>
        <v>0.47550754294276287</v>
      </c>
      <c r="AE339" s="61">
        <v>5.00814426194865</v>
      </c>
      <c r="AF339" s="61">
        <v>1</v>
      </c>
      <c r="AG339" s="63">
        <f t="shared" si="70"/>
        <v>0.19967475929115983</v>
      </c>
      <c r="AH339" s="61">
        <v>157.41913759840926</v>
      </c>
      <c r="AI339" s="61">
        <v>72</v>
      </c>
      <c r="AJ339" s="63">
        <f t="shared" si="71"/>
        <v>0.45737768036614862</v>
      </c>
      <c r="AK339" s="61">
        <v>6.119201843819952</v>
      </c>
      <c r="AL339" s="61">
        <v>1</v>
      </c>
      <c r="AM339" s="63">
        <f t="shared" si="72"/>
        <v>0.16342000566788681</v>
      </c>
      <c r="AN339" s="61">
        <v>7.964669526088862</v>
      </c>
      <c r="AO339" s="61">
        <v>0</v>
      </c>
      <c r="AP339" s="63">
        <f t="shared" si="73"/>
        <v>0</v>
      </c>
      <c r="AQ339" s="61">
        <v>16.12990566489519</v>
      </c>
      <c r="AR339" s="61">
        <v>14</v>
      </c>
      <c r="AS339" s="63">
        <f t="shared" si="74"/>
        <v>0.86795299928314673</v>
      </c>
      <c r="AT339" s="61">
        <v>9.7513819310247385</v>
      </c>
      <c r="AU339" s="61">
        <v>3</v>
      </c>
      <c r="AV339" s="63">
        <f t="shared" si="75"/>
        <v>0.30764870263724153</v>
      </c>
      <c r="AW339" s="61">
        <v>4.9753549444638816</v>
      </c>
      <c r="AX339" s="61">
        <v>0</v>
      </c>
      <c r="AY339" s="63">
        <f t="shared" si="76"/>
        <v>0</v>
      </c>
      <c r="AZ339" s="61">
        <v>15.041801773968242</v>
      </c>
      <c r="BA339" s="61">
        <v>3</v>
      </c>
      <c r="BB339" s="63">
        <f t="shared" si="77"/>
        <v>0.19944419193130725</v>
      </c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</row>
    <row r="340" spans="1:87" x14ac:dyDescent="0.25">
      <c r="A340" s="128">
        <v>10179</v>
      </c>
      <c r="B340" s="128">
        <v>8826</v>
      </c>
      <c r="C340" s="128">
        <v>1076317823</v>
      </c>
      <c r="D340" s="128" t="s">
        <v>1041</v>
      </c>
      <c r="E340" s="128" t="s">
        <v>546</v>
      </c>
      <c r="F340" s="128" t="s">
        <v>546</v>
      </c>
      <c r="G340" s="128" t="s">
        <v>1042</v>
      </c>
      <c r="H340" s="128" t="s">
        <v>1043</v>
      </c>
      <c r="I340" s="128" t="s">
        <v>1218</v>
      </c>
      <c r="J340" s="128" t="s">
        <v>970</v>
      </c>
      <c r="K340" s="128" t="s">
        <v>1016</v>
      </c>
      <c r="L340" s="128">
        <v>75021</v>
      </c>
      <c r="M340" s="128" t="s">
        <v>1148</v>
      </c>
      <c r="N340" s="128"/>
      <c r="O340" s="156">
        <v>0.5</v>
      </c>
      <c r="P340" s="157">
        <v>69802.962012837554</v>
      </c>
      <c r="Q340" s="61">
        <v>74721.960000000006</v>
      </c>
      <c r="R340" s="63">
        <f t="shared" si="65"/>
        <v>1.0704697600978279</v>
      </c>
      <c r="S340" s="61">
        <v>7933.9227220696621</v>
      </c>
      <c r="T340" s="61">
        <v>3955.65</v>
      </c>
      <c r="U340" s="63">
        <f t="shared" si="66"/>
        <v>0.498574304107681</v>
      </c>
      <c r="V340" s="61">
        <v>20422.071133155125</v>
      </c>
      <c r="W340" s="61">
        <v>12715.01</v>
      </c>
      <c r="X340" s="63">
        <f t="shared" si="67"/>
        <v>0.62261118948690997</v>
      </c>
      <c r="Y340" s="61">
        <v>665.75760000000002</v>
      </c>
      <c r="Z340" s="102">
        <v>0</v>
      </c>
      <c r="AA340" s="63">
        <f t="shared" si="68"/>
        <v>0</v>
      </c>
      <c r="AB340" s="61">
        <v>12.066485596682613</v>
      </c>
      <c r="AC340" s="61">
        <v>5</v>
      </c>
      <c r="AD340" s="63">
        <f t="shared" si="69"/>
        <v>0.41437085885012193</v>
      </c>
      <c r="AE340" s="61">
        <v>2.0525181401428894</v>
      </c>
      <c r="AF340" s="61">
        <v>0</v>
      </c>
      <c r="AG340" s="63">
        <f t="shared" si="70"/>
        <v>0</v>
      </c>
      <c r="AH340" s="61">
        <v>64.516039999348067</v>
      </c>
      <c r="AI340" s="61">
        <v>46</v>
      </c>
      <c r="AJ340" s="63">
        <f t="shared" si="71"/>
        <v>0.71300098394856271</v>
      </c>
      <c r="AK340" s="61">
        <v>2.507869608122931</v>
      </c>
      <c r="AL340" s="61">
        <v>1</v>
      </c>
      <c r="AM340" s="63">
        <f t="shared" si="72"/>
        <v>0.39874481382964383</v>
      </c>
      <c r="AN340" s="61">
        <v>3.2642088221675665</v>
      </c>
      <c r="AO340" s="61">
        <v>3</v>
      </c>
      <c r="AP340" s="63">
        <f t="shared" si="73"/>
        <v>0.91905884808186966</v>
      </c>
      <c r="AQ340" s="61">
        <v>8.0649528324475952</v>
      </c>
      <c r="AR340" s="61">
        <v>4</v>
      </c>
      <c r="AS340" s="63">
        <f t="shared" si="74"/>
        <v>0.49597314244751245</v>
      </c>
      <c r="AT340" s="61">
        <v>3.9964680045183352</v>
      </c>
      <c r="AU340" s="61">
        <v>1</v>
      </c>
      <c r="AV340" s="63">
        <f t="shared" si="75"/>
        <v>0.25022094481162316</v>
      </c>
      <c r="AW340" s="61">
        <v>2.0429061636064172</v>
      </c>
      <c r="AX340" s="61">
        <v>1</v>
      </c>
      <c r="AY340" s="63">
        <f t="shared" si="76"/>
        <v>0.48949874341495125</v>
      </c>
      <c r="AZ340" s="61">
        <v>6.1646728581837058</v>
      </c>
      <c r="BA340" s="61">
        <v>2</v>
      </c>
      <c r="BB340" s="63">
        <f t="shared" si="77"/>
        <v>0.32442921887492648</v>
      </c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</row>
    <row r="341" spans="1:87" x14ac:dyDescent="0.25">
      <c r="A341" s="213">
        <v>10837</v>
      </c>
      <c r="B341" s="213">
        <v>8826</v>
      </c>
      <c r="C341" s="213">
        <v>1067997120</v>
      </c>
      <c r="D341" s="213" t="s">
        <v>1044</v>
      </c>
      <c r="E341" s="213" t="s">
        <v>546</v>
      </c>
      <c r="F341" s="213" t="s">
        <v>546</v>
      </c>
      <c r="G341" s="213" t="s">
        <v>1045</v>
      </c>
      <c r="H341" s="213" t="s">
        <v>1046</v>
      </c>
      <c r="I341" s="213" t="s">
        <v>1218</v>
      </c>
      <c r="J341" s="213" t="s">
        <v>970</v>
      </c>
      <c r="K341" s="213" t="s">
        <v>1016</v>
      </c>
      <c r="L341" s="213">
        <v>75021</v>
      </c>
      <c r="M341" s="213" t="s">
        <v>1145</v>
      </c>
      <c r="N341" s="213"/>
      <c r="O341" s="231"/>
      <c r="P341" s="232">
        <v>170638.22731132401</v>
      </c>
      <c r="Q341" s="61">
        <v>214238.31000000003</v>
      </c>
      <c r="R341" s="63">
        <f t="shared" si="65"/>
        <v>1.2555118121868967</v>
      </c>
      <c r="S341" s="61">
        <v>19978.771414249979</v>
      </c>
      <c r="T341" s="61">
        <v>11966.66</v>
      </c>
      <c r="U341" s="63">
        <f t="shared" si="66"/>
        <v>0.59896876298733304</v>
      </c>
      <c r="V341" s="61">
        <v>49629.853564898505</v>
      </c>
      <c r="W341" s="61">
        <v>39761.17</v>
      </c>
      <c r="X341" s="63">
        <f t="shared" si="67"/>
        <v>0.80115428807393685</v>
      </c>
      <c r="Y341" s="61">
        <v>2194</v>
      </c>
      <c r="Z341" s="102">
        <v>0</v>
      </c>
      <c r="AA341" s="63">
        <f t="shared" si="68"/>
        <v>0</v>
      </c>
      <c r="AB341" s="61">
        <v>29.442224855905575</v>
      </c>
      <c r="AC341" s="61">
        <v>24</v>
      </c>
      <c r="AD341" s="63">
        <f t="shared" si="69"/>
        <v>0.81515578790187915</v>
      </c>
      <c r="AE341" s="61">
        <v>5.00814426194865</v>
      </c>
      <c r="AF341" s="61">
        <v>2</v>
      </c>
      <c r="AG341" s="63">
        <f t="shared" si="70"/>
        <v>0.39934951858231965</v>
      </c>
      <c r="AH341" s="61">
        <v>157.41913759840926</v>
      </c>
      <c r="AI341" s="61">
        <v>21</v>
      </c>
      <c r="AJ341" s="63">
        <f t="shared" si="71"/>
        <v>0.13340182344012669</v>
      </c>
      <c r="AK341" s="61">
        <v>6.119201843819952</v>
      </c>
      <c r="AL341" s="61">
        <v>6</v>
      </c>
      <c r="AM341" s="63">
        <f t="shared" si="72"/>
        <v>0.98052003400732091</v>
      </c>
      <c r="AN341" s="61">
        <v>7.964669526088862</v>
      </c>
      <c r="AO341" s="61">
        <v>23</v>
      </c>
      <c r="AP341" s="63">
        <f t="shared" si="73"/>
        <v>2.8877532111862023</v>
      </c>
      <c r="AQ341" s="61">
        <v>16.12990566489519</v>
      </c>
      <c r="AR341" s="61">
        <v>8</v>
      </c>
      <c r="AS341" s="63">
        <f t="shared" si="74"/>
        <v>0.49597314244751245</v>
      </c>
      <c r="AT341" s="61">
        <v>9.7513819310247385</v>
      </c>
      <c r="AU341" s="61">
        <v>8</v>
      </c>
      <c r="AV341" s="63">
        <f t="shared" si="75"/>
        <v>0.82039654036597742</v>
      </c>
      <c r="AW341" s="61">
        <v>4.9940271339354574</v>
      </c>
      <c r="AX341" s="61">
        <v>0</v>
      </c>
      <c r="AY341" s="63">
        <f t="shared" si="76"/>
        <v>0</v>
      </c>
      <c r="AZ341" s="61">
        <v>15.041801773968242</v>
      </c>
      <c r="BA341" s="61">
        <v>22</v>
      </c>
      <c r="BB341" s="63">
        <f t="shared" si="77"/>
        <v>1.4625907408295866</v>
      </c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</row>
    <row r="342" spans="1:87" x14ac:dyDescent="0.25">
      <c r="A342" s="207">
        <v>12449</v>
      </c>
      <c r="B342" s="207">
        <v>8826</v>
      </c>
      <c r="C342" s="207">
        <v>1089069221</v>
      </c>
      <c r="D342" s="207" t="s">
        <v>1047</v>
      </c>
      <c r="E342" s="207" t="s">
        <v>546</v>
      </c>
      <c r="F342" s="207" t="s">
        <v>546</v>
      </c>
      <c r="G342" s="207" t="s">
        <v>1048</v>
      </c>
      <c r="H342" s="207" t="s">
        <v>1048</v>
      </c>
      <c r="I342" s="207" t="s">
        <v>1218</v>
      </c>
      <c r="J342" s="207" t="s">
        <v>970</v>
      </c>
      <c r="K342" s="207" t="s">
        <v>1016</v>
      </c>
      <c r="L342" s="207">
        <v>75021</v>
      </c>
      <c r="M342" s="207" t="s">
        <v>1175</v>
      </c>
      <c r="N342" s="207">
        <v>5</v>
      </c>
      <c r="O342" s="229">
        <v>0.1</v>
      </c>
      <c r="P342" s="230">
        <v>125645.3316231076</v>
      </c>
      <c r="Q342" s="61">
        <v>0</v>
      </c>
      <c r="R342" s="63">
        <f t="shared" si="65"/>
        <v>0</v>
      </c>
      <c r="S342" s="61">
        <v>14458.83797772539</v>
      </c>
      <c r="T342" s="61">
        <v>0</v>
      </c>
      <c r="U342" s="63">
        <f t="shared" si="66"/>
        <v>0</v>
      </c>
      <c r="V342" s="61">
        <v>36759.728039679234</v>
      </c>
      <c r="W342" s="61">
        <v>0</v>
      </c>
      <c r="X342" s="63">
        <f t="shared" si="67"/>
        <v>0</v>
      </c>
      <c r="Y342" s="61">
        <v>900</v>
      </c>
      <c r="Z342" s="102">
        <v>0</v>
      </c>
      <c r="AA342" s="63">
        <f t="shared" si="68"/>
        <v>0</v>
      </c>
      <c r="AB342" s="61">
        <v>21.719674074028703</v>
      </c>
      <c r="AC342" s="61">
        <v>0</v>
      </c>
      <c r="AD342" s="63">
        <f t="shared" si="69"/>
        <v>0</v>
      </c>
      <c r="AE342" s="61">
        <v>3.6945326522572008</v>
      </c>
      <c r="AF342" s="61">
        <v>0</v>
      </c>
      <c r="AG342" s="63">
        <f t="shared" si="70"/>
        <v>0</v>
      </c>
      <c r="AH342" s="61">
        <v>116.12887199882651</v>
      </c>
      <c r="AI342" s="61">
        <v>0</v>
      </c>
      <c r="AJ342" s="63">
        <f t="shared" si="71"/>
        <v>0</v>
      </c>
      <c r="AK342" s="61">
        <v>4.514165294621276</v>
      </c>
      <c r="AL342" s="61">
        <v>0</v>
      </c>
      <c r="AM342" s="63">
        <f t="shared" si="72"/>
        <v>0</v>
      </c>
      <c r="AN342" s="61">
        <v>5.8755758799016204</v>
      </c>
      <c r="AO342" s="61">
        <v>0</v>
      </c>
      <c r="AP342" s="63">
        <f t="shared" si="73"/>
        <v>0</v>
      </c>
      <c r="AQ342" s="61">
        <v>13.006267129848577</v>
      </c>
      <c r="AR342" s="61">
        <v>0</v>
      </c>
      <c r="AS342" s="63">
        <f t="shared" si="74"/>
        <v>0</v>
      </c>
      <c r="AT342" s="61">
        <v>7.1936424081330035</v>
      </c>
      <c r="AU342" s="61">
        <v>0</v>
      </c>
      <c r="AV342" s="63">
        <f t="shared" si="75"/>
        <v>0</v>
      </c>
      <c r="AW342" s="61">
        <v>3.6772310944915514</v>
      </c>
      <c r="AX342" s="61">
        <v>0</v>
      </c>
      <c r="AY342" s="63">
        <f t="shared" si="76"/>
        <v>0</v>
      </c>
      <c r="AZ342" s="61">
        <v>11.09641114473067</v>
      </c>
      <c r="BA342" s="61">
        <v>0</v>
      </c>
      <c r="BB342" s="63">
        <f t="shared" si="77"/>
        <v>0</v>
      </c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</row>
    <row r="343" spans="1:87" x14ac:dyDescent="0.25">
      <c r="A343" s="128">
        <v>9382</v>
      </c>
      <c r="B343" s="128">
        <v>8826</v>
      </c>
      <c r="C343" s="128">
        <v>1048349342</v>
      </c>
      <c r="D343" s="128" t="s">
        <v>1057</v>
      </c>
      <c r="E343" s="128" t="s">
        <v>546</v>
      </c>
      <c r="F343" s="128" t="s">
        <v>546</v>
      </c>
      <c r="G343" s="128" t="s">
        <v>1058</v>
      </c>
      <c r="H343" s="128" t="s">
        <v>1059</v>
      </c>
      <c r="I343" s="128" t="s">
        <v>1218</v>
      </c>
      <c r="J343" s="128" t="s">
        <v>970</v>
      </c>
      <c r="K343" s="128" t="s">
        <v>1016</v>
      </c>
      <c r="L343" s="128">
        <v>75021</v>
      </c>
      <c r="M343" s="128" t="s">
        <v>1175</v>
      </c>
      <c r="N343" s="128">
        <v>10</v>
      </c>
      <c r="O343" s="156">
        <v>0.3</v>
      </c>
      <c r="P343" s="157">
        <v>97724.146817972563</v>
      </c>
      <c r="Q343" s="61">
        <v>35306.97</v>
      </c>
      <c r="R343" s="63">
        <f t="shared" si="65"/>
        <v>0.36129217956504744</v>
      </c>
      <c r="S343" s="61">
        <v>11396.377604897527</v>
      </c>
      <c r="T343" s="61">
        <v>0</v>
      </c>
      <c r="U343" s="63">
        <f t="shared" si="66"/>
        <v>0</v>
      </c>
      <c r="V343" s="61">
        <v>28790.899586417177</v>
      </c>
      <c r="W343" s="61">
        <v>2402.61</v>
      </c>
      <c r="X343" s="63">
        <f t="shared" si="67"/>
        <v>8.3450327517153755E-2</v>
      </c>
      <c r="Y343" s="61">
        <v>940.94899999999996</v>
      </c>
      <c r="Z343" s="102">
        <v>0</v>
      </c>
      <c r="AA343" s="63">
        <f t="shared" si="68"/>
        <v>0</v>
      </c>
      <c r="AB343" s="61">
        <v>16.893079835355657</v>
      </c>
      <c r="AC343" s="61">
        <v>2</v>
      </c>
      <c r="AD343" s="63">
        <f t="shared" si="69"/>
        <v>0.1183916739571777</v>
      </c>
      <c r="AE343" s="61">
        <v>2.8735253962000451</v>
      </c>
      <c r="AF343" s="61">
        <v>0</v>
      </c>
      <c r="AG343" s="63">
        <f t="shared" si="70"/>
        <v>0</v>
      </c>
      <c r="AH343" s="61">
        <v>90.322455999087282</v>
      </c>
      <c r="AI343" s="61">
        <v>5</v>
      </c>
      <c r="AJ343" s="63">
        <f t="shared" si="71"/>
        <v>5.5357219250664814E-2</v>
      </c>
      <c r="AK343" s="61">
        <v>3.5110174513721031</v>
      </c>
      <c r="AL343" s="61">
        <v>0</v>
      </c>
      <c r="AM343" s="63">
        <f t="shared" si="72"/>
        <v>0</v>
      </c>
      <c r="AN343" s="61">
        <v>4.5698923510345928</v>
      </c>
      <c r="AO343" s="61">
        <v>0</v>
      </c>
      <c r="AP343" s="63">
        <f t="shared" si="73"/>
        <v>0</v>
      </c>
      <c r="AQ343" s="61">
        <v>10.75327044326346</v>
      </c>
      <c r="AR343" s="61">
        <v>0</v>
      </c>
      <c r="AS343" s="63">
        <f t="shared" si="74"/>
        <v>0</v>
      </c>
      <c r="AT343" s="61">
        <v>5.5950552063256689</v>
      </c>
      <c r="AU343" s="61">
        <v>0</v>
      </c>
      <c r="AV343" s="63">
        <f t="shared" si="75"/>
        <v>0</v>
      </c>
      <c r="AW343" s="61">
        <v>2.8600686290489841</v>
      </c>
      <c r="AX343" s="61">
        <v>0</v>
      </c>
      <c r="AY343" s="63">
        <f t="shared" si="76"/>
        <v>0</v>
      </c>
      <c r="AZ343" s="61">
        <v>8.6305420014571883</v>
      </c>
      <c r="BA343" s="61">
        <v>2</v>
      </c>
      <c r="BB343" s="63">
        <f t="shared" si="77"/>
        <v>0.23173515633923319</v>
      </c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</row>
    <row r="344" spans="1:87" x14ac:dyDescent="0.25">
      <c r="A344" s="128">
        <v>21753</v>
      </c>
      <c r="B344" s="128">
        <v>21751</v>
      </c>
      <c r="C344" s="128">
        <v>1030431793</v>
      </c>
      <c r="D344" s="128" t="s">
        <v>1049</v>
      </c>
      <c r="E344" s="128" t="s">
        <v>541</v>
      </c>
      <c r="F344" s="128" t="s">
        <v>541</v>
      </c>
      <c r="G344" s="128" t="s">
        <v>1050</v>
      </c>
      <c r="H344" s="128" t="s">
        <v>1050</v>
      </c>
      <c r="I344" s="128" t="s">
        <v>1218</v>
      </c>
      <c r="J344" s="128" t="s">
        <v>970</v>
      </c>
      <c r="K344" s="128" t="s">
        <v>1051</v>
      </c>
      <c r="L344" s="128">
        <v>75008</v>
      </c>
      <c r="M344" s="128"/>
      <c r="N344" s="128"/>
      <c r="O344" s="156"/>
      <c r="P344" s="157">
        <v>1149695.8449173244</v>
      </c>
      <c r="Q344" s="61">
        <v>0</v>
      </c>
      <c r="R344" s="63">
        <f t="shared" si="65"/>
        <v>0</v>
      </c>
      <c r="S344" s="61">
        <v>134336.50519240153</v>
      </c>
      <c r="T344" s="61">
        <v>0</v>
      </c>
      <c r="U344" s="63">
        <f t="shared" si="66"/>
        <v>0</v>
      </c>
      <c r="V344" s="61">
        <v>336363.5245460844</v>
      </c>
      <c r="W344" s="61">
        <v>0</v>
      </c>
      <c r="X344" s="63">
        <f t="shared" si="67"/>
        <v>0</v>
      </c>
      <c r="Y344" s="61">
        <v>11331.429953641014</v>
      </c>
      <c r="Z344" s="102">
        <v>0</v>
      </c>
      <c r="AA344" s="63">
        <f t="shared" si="68"/>
        <v>0</v>
      </c>
      <c r="AB344" s="61">
        <v>198.74211571006657</v>
      </c>
      <c r="AC344" s="61">
        <v>0</v>
      </c>
      <c r="AD344" s="63">
        <f t="shared" si="69"/>
        <v>0</v>
      </c>
      <c r="AE344" s="61">
        <v>33.806181131765243</v>
      </c>
      <c r="AF344" s="61">
        <v>0</v>
      </c>
      <c r="AG344" s="63">
        <f t="shared" si="70"/>
        <v>0</v>
      </c>
      <c r="AH344" s="61">
        <v>1062.6171294010271</v>
      </c>
      <c r="AI344" s="61">
        <v>0</v>
      </c>
      <c r="AJ344" s="63">
        <f t="shared" si="71"/>
        <v>0</v>
      </c>
      <c r="AK344" s="61">
        <v>41.306087663201218</v>
      </c>
      <c r="AL344" s="61">
        <v>0</v>
      </c>
      <c r="AM344" s="63">
        <f t="shared" si="72"/>
        <v>0</v>
      </c>
      <c r="AN344" s="61">
        <v>53.76343942393639</v>
      </c>
      <c r="AO344" s="61">
        <v>0</v>
      </c>
      <c r="AP344" s="63">
        <f t="shared" si="73"/>
        <v>0</v>
      </c>
      <c r="AQ344" s="61">
        <v>119.01159465220923</v>
      </c>
      <c r="AR344" s="61">
        <v>0</v>
      </c>
      <c r="AS344" s="63">
        <f t="shared" si="74"/>
        <v>0</v>
      </c>
      <c r="AT344" s="61">
        <v>55.062448062252621</v>
      </c>
      <c r="AU344" s="61">
        <v>0</v>
      </c>
      <c r="AV344" s="63">
        <f t="shared" si="75"/>
        <v>0</v>
      </c>
      <c r="AW344" s="61">
        <v>33.647866224105698</v>
      </c>
      <c r="AX344" s="61">
        <v>0</v>
      </c>
      <c r="AY344" s="63">
        <f t="shared" si="76"/>
        <v>0</v>
      </c>
      <c r="AZ344" s="61">
        <v>101.53578825243753</v>
      </c>
      <c r="BA344" s="61">
        <v>0</v>
      </c>
      <c r="BB344" s="63">
        <f t="shared" si="77"/>
        <v>0</v>
      </c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</row>
    <row r="345" spans="1:87" x14ac:dyDescent="0.25">
      <c r="A345" s="128">
        <v>10838</v>
      </c>
      <c r="B345" s="128">
        <v>21753</v>
      </c>
      <c r="C345" s="128">
        <v>1079543169</v>
      </c>
      <c r="D345" s="128" t="s">
        <v>1052</v>
      </c>
      <c r="E345" s="128" t="s">
        <v>544</v>
      </c>
      <c r="F345" s="128" t="s">
        <v>544</v>
      </c>
      <c r="G345" s="128" t="s">
        <v>1053</v>
      </c>
      <c r="H345" s="128" t="s">
        <v>1053</v>
      </c>
      <c r="I345" s="128" t="s">
        <v>1218</v>
      </c>
      <c r="J345" s="128" t="s">
        <v>970</v>
      </c>
      <c r="K345" s="128" t="s">
        <v>1051</v>
      </c>
      <c r="L345" s="128">
        <v>75008</v>
      </c>
      <c r="M345" s="128"/>
      <c r="N345" s="128"/>
      <c r="O345" s="156"/>
      <c r="P345" s="157">
        <v>604848</v>
      </c>
      <c r="Q345" s="61">
        <v>0</v>
      </c>
      <c r="R345" s="63">
        <f t="shared" si="65"/>
        <v>0</v>
      </c>
      <c r="S345" s="61">
        <v>61168.918852338393</v>
      </c>
      <c r="T345" s="61">
        <v>1129.57</v>
      </c>
      <c r="U345" s="63">
        <f t="shared" si="66"/>
        <v>1.8466404526893451E-2</v>
      </c>
      <c r="V345" s="61">
        <v>168782.20792350132</v>
      </c>
      <c r="W345" s="61">
        <v>3249.56</v>
      </c>
      <c r="X345" s="63">
        <f t="shared" si="67"/>
        <v>1.9252977194567967E-2</v>
      </c>
      <c r="Y345" s="61">
        <v>5594</v>
      </c>
      <c r="Z345" s="102">
        <v>60</v>
      </c>
      <c r="AA345" s="63">
        <f t="shared" si="68"/>
        <v>1.0725777618877368E-2</v>
      </c>
      <c r="AB345" s="61">
        <v>98</v>
      </c>
      <c r="AC345" s="61">
        <v>0</v>
      </c>
      <c r="AD345" s="63">
        <f t="shared" si="69"/>
        <v>0</v>
      </c>
      <c r="AE345" s="61">
        <v>16.903090565882621</v>
      </c>
      <c r="AF345" s="61">
        <v>1</v>
      </c>
      <c r="AG345" s="63">
        <f t="shared" si="70"/>
        <v>5.9160778681409343E-2</v>
      </c>
      <c r="AH345" s="61">
        <v>531.30856470051356</v>
      </c>
      <c r="AI345" s="61">
        <v>13</v>
      </c>
      <c r="AJ345" s="63">
        <f t="shared" si="71"/>
        <v>2.4467890908793841E-2</v>
      </c>
      <c r="AK345" s="61">
        <v>20.653043831600609</v>
      </c>
      <c r="AL345" s="61">
        <v>0</v>
      </c>
      <c r="AM345" s="63">
        <f t="shared" si="72"/>
        <v>0</v>
      </c>
      <c r="AN345" s="61">
        <v>26.881719711968195</v>
      </c>
      <c r="AO345" s="61">
        <v>2</v>
      </c>
      <c r="AP345" s="63">
        <f t="shared" si="73"/>
        <v>7.4400001987579914E-2</v>
      </c>
      <c r="AQ345" s="61">
        <v>59.505797326104613</v>
      </c>
      <c r="AR345" s="61">
        <v>0</v>
      </c>
      <c r="AS345" s="63">
        <f t="shared" si="74"/>
        <v>0</v>
      </c>
      <c r="AT345" s="61">
        <v>26</v>
      </c>
      <c r="AU345" s="61">
        <v>0</v>
      </c>
      <c r="AV345" s="63">
        <f t="shared" si="75"/>
        <v>0</v>
      </c>
      <c r="AW345" s="61">
        <v>17.701938021165418</v>
      </c>
      <c r="AX345" s="61">
        <v>0</v>
      </c>
      <c r="AY345" s="63">
        <f t="shared" si="76"/>
        <v>0</v>
      </c>
      <c r="AZ345" s="61">
        <v>50.767894126218764</v>
      </c>
      <c r="BA345" s="61">
        <v>0</v>
      </c>
      <c r="BB345" s="63">
        <f t="shared" si="77"/>
        <v>0</v>
      </c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</row>
    <row r="346" spans="1:87" x14ac:dyDescent="0.25">
      <c r="A346" s="128">
        <v>12448</v>
      </c>
      <c r="B346" s="128">
        <v>10838</v>
      </c>
      <c r="C346" s="128">
        <v>1073145862</v>
      </c>
      <c r="D346" s="128" t="s">
        <v>1060</v>
      </c>
      <c r="E346" s="128" t="s">
        <v>546</v>
      </c>
      <c r="F346" s="128" t="s">
        <v>546</v>
      </c>
      <c r="G346" s="128" t="s">
        <v>1061</v>
      </c>
      <c r="H346" s="128" t="s">
        <v>1062</v>
      </c>
      <c r="I346" s="128" t="s">
        <v>1218</v>
      </c>
      <c r="J346" s="128" t="s">
        <v>970</v>
      </c>
      <c r="K346" s="128" t="s">
        <v>1051</v>
      </c>
      <c r="L346" s="128">
        <v>75008</v>
      </c>
      <c r="M346" s="128" t="s">
        <v>1215</v>
      </c>
      <c r="N346" s="128"/>
      <c r="O346" s="156"/>
      <c r="P346" s="157">
        <v>181000.97415288701</v>
      </c>
      <c r="Q346" s="61">
        <v>152107.89000000001</v>
      </c>
      <c r="R346" s="63">
        <f t="shared" si="65"/>
        <v>0.84037055994802701</v>
      </c>
      <c r="S346" s="61">
        <v>25389.417532066902</v>
      </c>
      <c r="T346" s="61">
        <v>6441.74</v>
      </c>
      <c r="U346" s="63">
        <f t="shared" si="66"/>
        <v>0.25371751801174897</v>
      </c>
      <c r="V346" s="61">
        <v>59379.587424347403</v>
      </c>
      <c r="W346" s="61">
        <v>31641.969999999998</v>
      </c>
      <c r="X346" s="63">
        <f t="shared" si="67"/>
        <v>0.53287621845324318</v>
      </c>
      <c r="Y346" s="61">
        <v>1864.5709999999999</v>
      </c>
      <c r="Z346" s="102">
        <v>0</v>
      </c>
      <c r="AA346" s="63">
        <f t="shared" si="68"/>
        <v>0</v>
      </c>
      <c r="AB346" s="61">
        <v>32</v>
      </c>
      <c r="AC346" s="61">
        <v>16</v>
      </c>
      <c r="AD346" s="63">
        <f t="shared" si="69"/>
        <v>0.5</v>
      </c>
      <c r="AE346" s="61">
        <v>5.6343635219608741</v>
      </c>
      <c r="AF346" s="61">
        <v>3</v>
      </c>
      <c r="AG346" s="63">
        <f t="shared" si="70"/>
        <v>0.53244700813268409</v>
      </c>
      <c r="AH346" s="61">
        <v>177.10285490017117</v>
      </c>
      <c r="AI346" s="61">
        <v>38</v>
      </c>
      <c r="AJ346" s="63">
        <f t="shared" si="71"/>
        <v>0.21456458181557678</v>
      </c>
      <c r="AK346" s="61">
        <v>6.88434794386687</v>
      </c>
      <c r="AL346" s="61">
        <v>0</v>
      </c>
      <c r="AM346" s="63">
        <f t="shared" si="72"/>
        <v>0</v>
      </c>
      <c r="AN346" s="61">
        <v>8.9605732373227323</v>
      </c>
      <c r="AO346" s="61">
        <v>7</v>
      </c>
      <c r="AP346" s="63">
        <f t="shared" si="73"/>
        <v>0.78120002086958906</v>
      </c>
      <c r="AQ346" s="61">
        <v>19.835265775368207</v>
      </c>
      <c r="AR346" s="61">
        <v>7</v>
      </c>
      <c r="AS346" s="63">
        <f t="shared" si="74"/>
        <v>0.35290679133186748</v>
      </c>
      <c r="AT346" s="61">
        <v>8.5</v>
      </c>
      <c r="AU346" s="61">
        <v>4</v>
      </c>
      <c r="AV346" s="63">
        <f t="shared" si="75"/>
        <v>0.47058823529411764</v>
      </c>
      <c r="AW346" s="61">
        <v>5.2973111033267353</v>
      </c>
      <c r="AX346" s="61">
        <v>0</v>
      </c>
      <c r="AY346" s="63">
        <f t="shared" si="76"/>
        <v>0</v>
      </c>
      <c r="AZ346" s="61">
        <v>16.922631375406255</v>
      </c>
      <c r="BA346" s="61">
        <v>9</v>
      </c>
      <c r="BB346" s="63">
        <f t="shared" si="77"/>
        <v>0.53183218379854003</v>
      </c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</row>
    <row r="347" spans="1:87" x14ac:dyDescent="0.25">
      <c r="A347" s="128">
        <v>3690</v>
      </c>
      <c r="B347" s="128">
        <v>10838</v>
      </c>
      <c r="C347" s="128">
        <v>1070724230</v>
      </c>
      <c r="D347" s="128" t="s">
        <v>1068</v>
      </c>
      <c r="E347" s="128" t="s">
        <v>546</v>
      </c>
      <c r="F347" s="128" t="s">
        <v>546</v>
      </c>
      <c r="G347" s="128" t="s">
        <v>1069</v>
      </c>
      <c r="H347" s="128" t="s">
        <v>1069</v>
      </c>
      <c r="I347" s="128" t="s">
        <v>1218</v>
      </c>
      <c r="J347" s="128" t="s">
        <v>970</v>
      </c>
      <c r="K347" s="128" t="s">
        <v>1051</v>
      </c>
      <c r="L347" s="128">
        <v>75008</v>
      </c>
      <c r="M347" s="128"/>
      <c r="N347" s="128"/>
      <c r="O347" s="156"/>
      <c r="P347" s="157">
        <v>241230.97414999999</v>
      </c>
      <c r="Q347" s="61">
        <v>94343.510000000009</v>
      </c>
      <c r="R347" s="63">
        <f t="shared" si="65"/>
        <v>0.39109202428265372</v>
      </c>
      <c r="S347" s="61">
        <v>10390.4175320669</v>
      </c>
      <c r="T347" s="61">
        <v>0</v>
      </c>
      <c r="U347" s="63">
        <f t="shared" si="66"/>
        <v>0</v>
      </c>
      <c r="V347" s="61">
        <v>53041.58742434741</v>
      </c>
      <c r="W347" s="61">
        <v>22533.919999999998</v>
      </c>
      <c r="X347" s="63">
        <f t="shared" si="67"/>
        <v>0.42483494733523697</v>
      </c>
      <c r="Y347" s="61">
        <v>1864.5709999999999</v>
      </c>
      <c r="Z347" s="102">
        <v>0</v>
      </c>
      <c r="AA347" s="63">
        <f t="shared" si="68"/>
        <v>0</v>
      </c>
      <c r="AB347" s="61">
        <v>33</v>
      </c>
      <c r="AC347" s="61">
        <v>7</v>
      </c>
      <c r="AD347" s="63">
        <f t="shared" si="69"/>
        <v>0.21212121212121213</v>
      </c>
      <c r="AE347" s="61">
        <v>5.6343635219608741</v>
      </c>
      <c r="AF347" s="61">
        <v>3</v>
      </c>
      <c r="AG347" s="63">
        <f t="shared" si="70"/>
        <v>0.53244700813268409</v>
      </c>
      <c r="AH347" s="61">
        <v>177.10285490017117</v>
      </c>
      <c r="AI347" s="61">
        <v>24</v>
      </c>
      <c r="AJ347" s="63">
        <f t="shared" si="71"/>
        <v>0.13551447272562744</v>
      </c>
      <c r="AK347" s="61">
        <v>6.88434794386687</v>
      </c>
      <c r="AL347" s="61">
        <v>1</v>
      </c>
      <c r="AM347" s="63">
        <f t="shared" si="72"/>
        <v>0.14525703932365597</v>
      </c>
      <c r="AN347" s="61">
        <v>8.9605732373227323</v>
      </c>
      <c r="AO347" s="61">
        <v>0</v>
      </c>
      <c r="AP347" s="63">
        <f t="shared" si="73"/>
        <v>0</v>
      </c>
      <c r="AQ347" s="61">
        <v>19.835265775368207</v>
      </c>
      <c r="AR347" s="61">
        <v>8</v>
      </c>
      <c r="AS347" s="63">
        <f t="shared" si="74"/>
        <v>0.40332204723641996</v>
      </c>
      <c r="AT347" s="61">
        <v>8.5</v>
      </c>
      <c r="AU347" s="61">
        <v>1</v>
      </c>
      <c r="AV347" s="63">
        <f t="shared" si="75"/>
        <v>0.11764705882352941</v>
      </c>
      <c r="AW347" s="61">
        <v>7.0600477362720166</v>
      </c>
      <c r="AX347" s="61">
        <v>0</v>
      </c>
      <c r="AY347" s="63">
        <f t="shared" si="76"/>
        <v>0</v>
      </c>
      <c r="AZ347" s="61">
        <v>16.922631375406255</v>
      </c>
      <c r="BA347" s="61">
        <v>10</v>
      </c>
      <c r="BB347" s="63">
        <f t="shared" si="77"/>
        <v>0.59092464866504457</v>
      </c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</row>
    <row r="348" spans="1:87" x14ac:dyDescent="0.25">
      <c r="A348" s="207">
        <v>23960</v>
      </c>
      <c r="B348" s="207">
        <v>10838</v>
      </c>
      <c r="C348" s="207">
        <v>1015558933</v>
      </c>
      <c r="D348" s="207" t="s">
        <v>1070</v>
      </c>
      <c r="E348" s="207" t="s">
        <v>546</v>
      </c>
      <c r="F348" s="207" t="s">
        <v>546</v>
      </c>
      <c r="G348" s="207" t="s">
        <v>1071</v>
      </c>
      <c r="H348" s="207" t="s">
        <v>1072</v>
      </c>
      <c r="I348" s="207" t="s">
        <v>1218</v>
      </c>
      <c r="J348" s="207" t="s">
        <v>970</v>
      </c>
      <c r="K348" s="207" t="s">
        <v>1051</v>
      </c>
      <c r="L348" s="207">
        <v>75008</v>
      </c>
      <c r="M348" s="207" t="s">
        <v>1175</v>
      </c>
      <c r="N348" s="207">
        <v>21</v>
      </c>
      <c r="O348" s="229">
        <v>1</v>
      </c>
      <c r="P348" s="230">
        <v>0</v>
      </c>
      <c r="Q348" s="61">
        <v>5825.22</v>
      </c>
      <c r="R348" s="63" t="e">
        <f t="shared" si="65"/>
        <v>#DIV/0!</v>
      </c>
      <c r="S348" s="61">
        <v>0</v>
      </c>
      <c r="T348" s="61">
        <v>0</v>
      </c>
      <c r="U348" s="63" t="e">
        <f t="shared" si="66"/>
        <v>#DIV/0!</v>
      </c>
      <c r="V348" s="61">
        <v>0</v>
      </c>
      <c r="W348" s="61">
        <v>0</v>
      </c>
      <c r="X348" s="63" t="e">
        <f t="shared" si="67"/>
        <v>#DIV/0!</v>
      </c>
      <c r="Y348" s="61">
        <v>0</v>
      </c>
      <c r="Z348" s="102">
        <v>0</v>
      </c>
      <c r="AA348" s="63" t="e">
        <f t="shared" si="68"/>
        <v>#DIV/0!</v>
      </c>
      <c r="AB348" s="61">
        <v>0</v>
      </c>
      <c r="AC348" s="61">
        <v>0</v>
      </c>
      <c r="AD348" s="63" t="e">
        <f t="shared" si="69"/>
        <v>#DIV/0!</v>
      </c>
      <c r="AE348" s="61">
        <v>0</v>
      </c>
      <c r="AF348" s="61">
        <v>0</v>
      </c>
      <c r="AG348" s="63" t="e">
        <f t="shared" si="70"/>
        <v>#DIV/0!</v>
      </c>
      <c r="AH348" s="61">
        <v>0</v>
      </c>
      <c r="AI348" s="61">
        <v>5</v>
      </c>
      <c r="AJ348" s="63" t="e">
        <f t="shared" si="71"/>
        <v>#DIV/0!</v>
      </c>
      <c r="AK348" s="61">
        <v>0</v>
      </c>
      <c r="AL348" s="61">
        <v>0</v>
      </c>
      <c r="AM348" s="63" t="e">
        <f t="shared" si="72"/>
        <v>#DIV/0!</v>
      </c>
      <c r="AN348" s="61">
        <v>0</v>
      </c>
      <c r="AO348" s="61">
        <v>0</v>
      </c>
      <c r="AP348" s="63" t="e">
        <f t="shared" si="73"/>
        <v>#DIV/0!</v>
      </c>
      <c r="AQ348" s="61">
        <v>0</v>
      </c>
      <c r="AR348" s="61">
        <v>0</v>
      </c>
      <c r="AS348" s="63" t="e">
        <f t="shared" si="74"/>
        <v>#DIV/0!</v>
      </c>
      <c r="AT348" s="61">
        <v>0</v>
      </c>
      <c r="AU348" s="61">
        <v>0</v>
      </c>
      <c r="AV348" s="63" t="e">
        <f t="shared" si="75"/>
        <v>#DIV/0!</v>
      </c>
      <c r="AW348" s="61">
        <v>0</v>
      </c>
      <c r="AX348" s="61">
        <v>0</v>
      </c>
      <c r="AY348" s="63" t="e">
        <f t="shared" si="76"/>
        <v>#DIV/0!</v>
      </c>
      <c r="AZ348" s="61">
        <v>0</v>
      </c>
      <c r="BA348" s="61">
        <v>0</v>
      </c>
      <c r="BB348" s="63" t="e">
        <f t="shared" si="77"/>
        <v>#DIV/0!</v>
      </c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</row>
    <row r="349" spans="1:87" x14ac:dyDescent="0.25">
      <c r="A349" s="128">
        <v>6300</v>
      </c>
      <c r="B349" s="128">
        <v>10838</v>
      </c>
      <c r="C349" s="128">
        <v>1075496958</v>
      </c>
      <c r="D349" s="128" t="s">
        <v>1063</v>
      </c>
      <c r="E349" s="128" t="s">
        <v>546</v>
      </c>
      <c r="F349" s="128" t="s">
        <v>546</v>
      </c>
      <c r="G349" s="128" t="s">
        <v>1064</v>
      </c>
      <c r="H349" s="128" t="s">
        <v>1064</v>
      </c>
      <c r="I349" s="128" t="s">
        <v>1218</v>
      </c>
      <c r="J349" s="128" t="s">
        <v>970</v>
      </c>
      <c r="K349" s="128" t="s">
        <v>1051</v>
      </c>
      <c r="L349" s="128">
        <v>75008</v>
      </c>
      <c r="M349" s="128" t="s">
        <v>1215</v>
      </c>
      <c r="N349" s="128"/>
      <c r="O349" s="156"/>
      <c r="P349" s="157">
        <v>182615.97415288701</v>
      </c>
      <c r="Q349" s="61">
        <v>167127.89000000001</v>
      </c>
      <c r="R349" s="63">
        <f t="shared" si="65"/>
        <v>0.91518768155561081</v>
      </c>
      <c r="S349" s="61">
        <v>25389.417532066898</v>
      </c>
      <c r="T349" s="61">
        <v>4311.3099999999995</v>
      </c>
      <c r="U349" s="63">
        <f t="shared" si="66"/>
        <v>0.16980736145501582</v>
      </c>
      <c r="V349" s="61">
        <v>56360.58742434741</v>
      </c>
      <c r="W349" s="61">
        <v>13820</v>
      </c>
      <c r="X349" s="63">
        <f t="shared" si="67"/>
        <v>0.24520681262505523</v>
      </c>
      <c r="Y349" s="61">
        <v>1864.5709999999999</v>
      </c>
      <c r="Z349" s="102">
        <v>0</v>
      </c>
      <c r="AA349" s="63">
        <f t="shared" si="68"/>
        <v>0</v>
      </c>
      <c r="AB349" s="61">
        <v>33</v>
      </c>
      <c r="AC349" s="61">
        <v>6</v>
      </c>
      <c r="AD349" s="63">
        <f t="shared" si="69"/>
        <v>0.18181818181818182</v>
      </c>
      <c r="AE349" s="61">
        <v>5.6343635219608741</v>
      </c>
      <c r="AF349" s="61">
        <v>2</v>
      </c>
      <c r="AG349" s="63">
        <f t="shared" si="70"/>
        <v>0.35496467208845606</v>
      </c>
      <c r="AH349" s="61">
        <v>177.10285490017117</v>
      </c>
      <c r="AI349" s="61">
        <v>46</v>
      </c>
      <c r="AJ349" s="63">
        <f t="shared" si="71"/>
        <v>0.25973607272411925</v>
      </c>
      <c r="AK349" s="61">
        <v>6.88434794386687</v>
      </c>
      <c r="AL349" s="61">
        <v>0</v>
      </c>
      <c r="AM349" s="63">
        <f t="shared" si="72"/>
        <v>0</v>
      </c>
      <c r="AN349" s="61">
        <v>8.9605732373227323</v>
      </c>
      <c r="AO349" s="61">
        <v>1</v>
      </c>
      <c r="AP349" s="63">
        <f t="shared" si="73"/>
        <v>0.11160000298136988</v>
      </c>
      <c r="AQ349" s="61">
        <v>19.835265775368207</v>
      </c>
      <c r="AR349" s="61">
        <v>4</v>
      </c>
      <c r="AS349" s="63">
        <f t="shared" si="74"/>
        <v>0.20166102361820998</v>
      </c>
      <c r="AT349" s="61">
        <v>8.5</v>
      </c>
      <c r="AU349" s="61">
        <v>2</v>
      </c>
      <c r="AV349" s="63">
        <f t="shared" si="75"/>
        <v>0.23529411764705882</v>
      </c>
      <c r="AW349" s="61">
        <v>5.3445769120988276</v>
      </c>
      <c r="AX349" s="61">
        <v>0</v>
      </c>
      <c r="AY349" s="63">
        <f t="shared" si="76"/>
        <v>0</v>
      </c>
      <c r="AZ349" s="61">
        <v>16.922631375406255</v>
      </c>
      <c r="BA349" s="61">
        <v>6</v>
      </c>
      <c r="BB349" s="63">
        <f t="shared" si="77"/>
        <v>0.35455478919902672</v>
      </c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</row>
    <row r="350" spans="1:87" x14ac:dyDescent="0.25">
      <c r="A350" s="128">
        <v>5542</v>
      </c>
      <c r="B350" s="128">
        <v>21753</v>
      </c>
      <c r="C350" s="128">
        <v>1072307315</v>
      </c>
      <c r="D350" s="128" t="s">
        <v>1065</v>
      </c>
      <c r="E350" s="128" t="s">
        <v>544</v>
      </c>
      <c r="F350" s="128" t="s">
        <v>544</v>
      </c>
      <c r="G350" s="128" t="s">
        <v>1066</v>
      </c>
      <c r="H350" s="128" t="s">
        <v>1067</v>
      </c>
      <c r="I350" s="128" t="s">
        <v>1218</v>
      </c>
      <c r="J350" s="128" t="s">
        <v>970</v>
      </c>
      <c r="K350" s="128" t="s">
        <v>1051</v>
      </c>
      <c r="L350" s="128">
        <v>75008</v>
      </c>
      <c r="M350" s="128"/>
      <c r="N350" s="128"/>
      <c r="O350" s="156"/>
      <c r="P350" s="157">
        <v>544847.92245866195</v>
      </c>
      <c r="Q350" s="61">
        <v>0</v>
      </c>
      <c r="R350" s="63">
        <f t="shared" si="65"/>
        <v>0</v>
      </c>
      <c r="S350" s="61">
        <v>73167.918852338393</v>
      </c>
      <c r="T350" s="61">
        <v>0</v>
      </c>
      <c r="U350" s="63">
        <f t="shared" si="66"/>
        <v>0</v>
      </c>
      <c r="V350" s="61">
        <v>167582.20792350132</v>
      </c>
      <c r="W350" s="61">
        <v>3477.39</v>
      </c>
      <c r="X350" s="63">
        <f t="shared" si="67"/>
        <v>2.0750353173454871E-2</v>
      </c>
      <c r="Y350" s="61">
        <v>5737</v>
      </c>
      <c r="Z350" s="102">
        <v>0</v>
      </c>
      <c r="AA350" s="63">
        <f t="shared" si="68"/>
        <v>0</v>
      </c>
      <c r="AB350" s="61">
        <v>101</v>
      </c>
      <c r="AC350" s="61">
        <v>0</v>
      </c>
      <c r="AD350" s="63">
        <f t="shared" si="69"/>
        <v>0</v>
      </c>
      <c r="AE350" s="61">
        <v>16.903090565882621</v>
      </c>
      <c r="AF350" s="61">
        <v>0</v>
      </c>
      <c r="AG350" s="63">
        <f t="shared" si="70"/>
        <v>0</v>
      </c>
      <c r="AH350" s="61">
        <v>531.30856470051356</v>
      </c>
      <c r="AI350" s="61">
        <v>1</v>
      </c>
      <c r="AJ350" s="63">
        <f t="shared" si="71"/>
        <v>1.8821454545226031E-3</v>
      </c>
      <c r="AK350" s="61">
        <v>20.653043831600609</v>
      </c>
      <c r="AL350" s="61">
        <v>0</v>
      </c>
      <c r="AM350" s="63">
        <f t="shared" si="72"/>
        <v>0</v>
      </c>
      <c r="AN350" s="61">
        <v>26.881719711968195</v>
      </c>
      <c r="AO350" s="61">
        <v>0</v>
      </c>
      <c r="AP350" s="63">
        <f t="shared" si="73"/>
        <v>0</v>
      </c>
      <c r="AQ350" s="61">
        <v>59.505797326104613</v>
      </c>
      <c r="AR350" s="61">
        <v>0</v>
      </c>
      <c r="AS350" s="63">
        <f t="shared" si="74"/>
        <v>0</v>
      </c>
      <c r="AT350" s="61">
        <v>29</v>
      </c>
      <c r="AU350" s="61">
        <v>0</v>
      </c>
      <c r="AV350" s="63">
        <f t="shared" si="75"/>
        <v>0</v>
      </c>
      <c r="AW350" s="61">
        <v>15.945930472323584</v>
      </c>
      <c r="AX350" s="61">
        <v>0</v>
      </c>
      <c r="AY350" s="63">
        <f t="shared" si="76"/>
        <v>0</v>
      </c>
      <c r="AZ350" s="61">
        <v>50.767894126218764</v>
      </c>
      <c r="BA350" s="61">
        <v>0</v>
      </c>
      <c r="BB350" s="63">
        <f t="shared" si="77"/>
        <v>0</v>
      </c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</row>
    <row r="351" spans="1:87" x14ac:dyDescent="0.25">
      <c r="A351" s="128">
        <v>10843</v>
      </c>
      <c r="B351" s="128">
        <v>5542</v>
      </c>
      <c r="C351" s="128">
        <v>1088085947</v>
      </c>
      <c r="D351" s="128" t="s">
        <v>1054</v>
      </c>
      <c r="E351" s="128" t="s">
        <v>546</v>
      </c>
      <c r="F351" s="128" t="s">
        <v>546</v>
      </c>
      <c r="G351" s="128" t="s">
        <v>1055</v>
      </c>
      <c r="H351" s="128" t="s">
        <v>1056</v>
      </c>
      <c r="I351" s="128" t="s">
        <v>1218</v>
      </c>
      <c r="J351" s="128" t="s">
        <v>970</v>
      </c>
      <c r="K351" s="128" t="s">
        <v>1051</v>
      </c>
      <c r="L351" s="128">
        <v>75008</v>
      </c>
      <c r="M351" s="128" t="s">
        <v>1145</v>
      </c>
      <c r="N351" s="128"/>
      <c r="O351" s="156"/>
      <c r="P351" s="157">
        <v>179615.97415288701</v>
      </c>
      <c r="Q351" s="61">
        <v>125478.29000000001</v>
      </c>
      <c r="R351" s="63">
        <f t="shared" si="65"/>
        <v>0.69859204111319384</v>
      </c>
      <c r="S351" s="61">
        <v>26228.417532066902</v>
      </c>
      <c r="T351" s="61">
        <v>3129.57</v>
      </c>
      <c r="U351" s="63">
        <f t="shared" si="66"/>
        <v>0.11931981775773484</v>
      </c>
      <c r="V351" s="61">
        <v>56679.587424347403</v>
      </c>
      <c r="W351" s="61">
        <v>14224.779999999999</v>
      </c>
      <c r="X351" s="63">
        <f t="shared" si="67"/>
        <v>0.25096830528250408</v>
      </c>
      <c r="Y351" s="61">
        <v>2500</v>
      </c>
      <c r="Z351" s="102">
        <v>0</v>
      </c>
      <c r="AA351" s="63">
        <f t="shared" si="68"/>
        <v>0</v>
      </c>
      <c r="AB351" s="61">
        <v>32</v>
      </c>
      <c r="AC351" s="61">
        <v>2</v>
      </c>
      <c r="AD351" s="63">
        <f t="shared" si="69"/>
        <v>6.25E-2</v>
      </c>
      <c r="AE351" s="61">
        <v>5.6343635219608741</v>
      </c>
      <c r="AF351" s="61">
        <v>2</v>
      </c>
      <c r="AG351" s="63">
        <f t="shared" si="70"/>
        <v>0.35496467208845606</v>
      </c>
      <c r="AH351" s="61">
        <v>177.10285490017117</v>
      </c>
      <c r="AI351" s="61">
        <v>38</v>
      </c>
      <c r="AJ351" s="63">
        <f t="shared" si="71"/>
        <v>0.21456458181557678</v>
      </c>
      <c r="AK351" s="61">
        <v>6.88434794386687</v>
      </c>
      <c r="AL351" s="61">
        <v>0</v>
      </c>
      <c r="AM351" s="63">
        <f t="shared" si="72"/>
        <v>0</v>
      </c>
      <c r="AN351" s="61">
        <v>8.9605732373227323</v>
      </c>
      <c r="AO351" s="61">
        <v>4</v>
      </c>
      <c r="AP351" s="63">
        <f t="shared" si="73"/>
        <v>0.44640001192547951</v>
      </c>
      <c r="AQ351" s="61">
        <v>8.9610587027195496</v>
      </c>
      <c r="AR351" s="61">
        <v>3</v>
      </c>
      <c r="AS351" s="63">
        <f t="shared" si="74"/>
        <v>0.33478187115207092</v>
      </c>
      <c r="AT351" s="61">
        <v>29</v>
      </c>
      <c r="AU351" s="61">
        <v>0</v>
      </c>
      <c r="AV351" s="63">
        <f t="shared" si="75"/>
        <v>0</v>
      </c>
      <c r="AW351" s="61">
        <v>5.2567766481259017</v>
      </c>
      <c r="AX351" s="61">
        <v>0</v>
      </c>
      <c r="AY351" s="63">
        <f t="shared" si="76"/>
        <v>0</v>
      </c>
      <c r="AZ351" s="61">
        <v>16.922631375406255</v>
      </c>
      <c r="BA351" s="61">
        <v>2</v>
      </c>
      <c r="BB351" s="63">
        <f t="shared" si="77"/>
        <v>0.1181849297330089</v>
      </c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</row>
    <row r="352" spans="1:87" x14ac:dyDescent="0.25">
      <c r="A352" s="128">
        <v>12430</v>
      </c>
      <c r="B352" s="128">
        <v>5542</v>
      </c>
      <c r="C352" s="128">
        <v>1055708836</v>
      </c>
      <c r="D352" s="128" t="s">
        <v>1073</v>
      </c>
      <c r="E352" s="128" t="s">
        <v>546</v>
      </c>
      <c r="F352" s="128" t="s">
        <v>546</v>
      </c>
      <c r="G352" s="128" t="s">
        <v>1074</v>
      </c>
      <c r="H352" s="128" t="s">
        <v>1074</v>
      </c>
      <c r="I352" s="128" t="s">
        <v>1218</v>
      </c>
      <c r="J352" s="128" t="s">
        <v>970</v>
      </c>
      <c r="K352" s="128" t="s">
        <v>1051</v>
      </c>
      <c r="L352" s="128">
        <v>75008</v>
      </c>
      <c r="M352" s="128"/>
      <c r="N352" s="128"/>
      <c r="O352" s="156"/>
      <c r="P352" s="157">
        <v>181615.97415288701</v>
      </c>
      <c r="Q352" s="61">
        <v>39560.020000000004</v>
      </c>
      <c r="R352" s="63">
        <f t="shared" si="65"/>
        <v>0.21782235942912045</v>
      </c>
      <c r="S352" s="61">
        <v>24050.417484112801</v>
      </c>
      <c r="T352" s="61">
        <v>3390.44</v>
      </c>
      <c r="U352" s="63">
        <f t="shared" si="66"/>
        <v>0.1409721890374524</v>
      </c>
      <c r="V352" s="61">
        <v>55927.587424347417</v>
      </c>
      <c r="W352" s="61">
        <v>1236.5200000000002</v>
      </c>
      <c r="X352" s="63">
        <f t="shared" si="67"/>
        <v>2.2109303421547124E-2</v>
      </c>
      <c r="Y352" s="61">
        <v>1619</v>
      </c>
      <c r="Z352" s="102">
        <v>0</v>
      </c>
      <c r="AA352" s="63">
        <f t="shared" si="68"/>
        <v>0</v>
      </c>
      <c r="AB352" s="61">
        <v>33</v>
      </c>
      <c r="AC352" s="61">
        <v>0</v>
      </c>
      <c r="AD352" s="63">
        <f t="shared" si="69"/>
        <v>0</v>
      </c>
      <c r="AE352" s="61">
        <v>5.6343635219608741</v>
      </c>
      <c r="AF352" s="61">
        <v>0</v>
      </c>
      <c r="AG352" s="63">
        <f t="shared" si="70"/>
        <v>0</v>
      </c>
      <c r="AH352" s="61">
        <v>177.10285490017117</v>
      </c>
      <c r="AI352" s="61">
        <v>6</v>
      </c>
      <c r="AJ352" s="63">
        <f t="shared" si="71"/>
        <v>3.3878618181406861E-2</v>
      </c>
      <c r="AK352" s="61">
        <v>6.88434794386687</v>
      </c>
      <c r="AL352" s="61">
        <v>0</v>
      </c>
      <c r="AM352" s="63">
        <f t="shared" si="72"/>
        <v>0</v>
      </c>
      <c r="AN352" s="61">
        <v>8.9605732373227323</v>
      </c>
      <c r="AO352" s="61">
        <v>0</v>
      </c>
      <c r="AP352" s="63">
        <f t="shared" si="73"/>
        <v>0</v>
      </c>
      <c r="AQ352" s="61">
        <v>25.090964367614738</v>
      </c>
      <c r="AR352" s="61">
        <v>0</v>
      </c>
      <c r="AS352" s="63">
        <f t="shared" si="74"/>
        <v>0</v>
      </c>
      <c r="AT352" s="61">
        <v>0</v>
      </c>
      <c r="AU352" s="61">
        <v>0</v>
      </c>
      <c r="AV352" s="63" t="e">
        <f t="shared" si="75"/>
        <v>#DIV/0!</v>
      </c>
      <c r="AW352" s="61">
        <v>5.3153101574411856</v>
      </c>
      <c r="AX352" s="61">
        <v>0</v>
      </c>
      <c r="AY352" s="63">
        <f t="shared" si="76"/>
        <v>0</v>
      </c>
      <c r="AZ352" s="61">
        <v>16.922631375406255</v>
      </c>
      <c r="BA352" s="61">
        <v>2</v>
      </c>
      <c r="BB352" s="63">
        <f t="shared" si="77"/>
        <v>0.1181849297330089</v>
      </c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</row>
    <row r="353" spans="1:87" x14ac:dyDescent="0.25">
      <c r="A353" s="213">
        <v>12431</v>
      </c>
      <c r="B353" s="213">
        <v>5542</v>
      </c>
      <c r="C353" s="213">
        <v>1096523608</v>
      </c>
      <c r="D353" s="213" t="s">
        <v>1075</v>
      </c>
      <c r="E353" s="213" t="s">
        <v>546</v>
      </c>
      <c r="F353" s="213" t="s">
        <v>546</v>
      </c>
      <c r="G353" s="213" t="s">
        <v>1076</v>
      </c>
      <c r="H353" s="213" t="s">
        <v>1076</v>
      </c>
      <c r="I353" s="213" t="s">
        <v>1218</v>
      </c>
      <c r="J353" s="213" t="s">
        <v>970</v>
      </c>
      <c r="K353" s="213" t="s">
        <v>1051</v>
      </c>
      <c r="L353" s="213">
        <v>75008</v>
      </c>
      <c r="M353" s="213" t="s">
        <v>1222</v>
      </c>
      <c r="N353" s="213"/>
      <c r="O353" s="231"/>
      <c r="P353" s="232">
        <v>183615.97415288701</v>
      </c>
      <c r="Q353" s="61">
        <v>22657.4</v>
      </c>
      <c r="R353" s="63">
        <f t="shared" si="65"/>
        <v>0.12339558202672726</v>
      </c>
      <c r="S353" s="61">
        <v>22889.4175241128</v>
      </c>
      <c r="T353" s="61">
        <v>0</v>
      </c>
      <c r="U353" s="63">
        <f t="shared" si="66"/>
        <v>0</v>
      </c>
      <c r="V353" s="61">
        <v>54974.58742434741</v>
      </c>
      <c r="W353" s="61">
        <v>2434.35</v>
      </c>
      <c r="X353" s="63">
        <f t="shared" si="67"/>
        <v>4.4281369157158301E-2</v>
      </c>
      <c r="Y353" s="61">
        <v>1618</v>
      </c>
      <c r="Z353" s="102">
        <v>150</v>
      </c>
      <c r="AA353" s="63">
        <f t="shared" si="68"/>
        <v>9.270704573547589E-2</v>
      </c>
      <c r="AB353" s="61">
        <v>36</v>
      </c>
      <c r="AC353" s="61">
        <v>2</v>
      </c>
      <c r="AD353" s="63">
        <f t="shared" si="69"/>
        <v>5.5555555555555552E-2</v>
      </c>
      <c r="AE353" s="61">
        <v>5.6343635219608741</v>
      </c>
      <c r="AF353" s="61">
        <v>2</v>
      </c>
      <c r="AG353" s="63">
        <f t="shared" si="70"/>
        <v>0.35496467208845606</v>
      </c>
      <c r="AH353" s="61">
        <v>177.10285490017117</v>
      </c>
      <c r="AI353" s="61">
        <v>9</v>
      </c>
      <c r="AJ353" s="63">
        <f t="shared" si="71"/>
        <v>5.0817927272110291E-2</v>
      </c>
      <c r="AK353" s="61">
        <v>6.88434794386687</v>
      </c>
      <c r="AL353" s="61">
        <v>1</v>
      </c>
      <c r="AM353" s="63">
        <f t="shared" si="72"/>
        <v>0.14525703932365597</v>
      </c>
      <c r="AN353" s="61">
        <v>8.9605732373227323</v>
      </c>
      <c r="AO353" s="61">
        <v>0</v>
      </c>
      <c r="AP353" s="63">
        <f t="shared" si="73"/>
        <v>0</v>
      </c>
      <c r="AQ353" s="61">
        <v>25.090964367614738</v>
      </c>
      <c r="AR353" s="61">
        <v>1</v>
      </c>
      <c r="AS353" s="63">
        <f t="shared" si="74"/>
        <v>3.9854984660960824E-2</v>
      </c>
      <c r="AT353" s="61">
        <v>0</v>
      </c>
      <c r="AU353" s="61">
        <v>0</v>
      </c>
      <c r="AV353" s="63" t="e">
        <f t="shared" si="75"/>
        <v>#DIV/0!</v>
      </c>
      <c r="AW353" s="61">
        <v>5.3738436667564695</v>
      </c>
      <c r="AX353" s="61">
        <v>0</v>
      </c>
      <c r="AY353" s="63">
        <f t="shared" si="76"/>
        <v>0</v>
      </c>
      <c r="AZ353" s="61">
        <v>16.922631375406255</v>
      </c>
      <c r="BA353" s="61">
        <v>0</v>
      </c>
      <c r="BB353" s="63">
        <f t="shared" si="77"/>
        <v>0</v>
      </c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</row>
    <row r="354" spans="1:87" x14ac:dyDescent="0.25">
      <c r="A354" s="123">
        <v>21751</v>
      </c>
      <c r="B354" s="123" t="s">
        <v>972</v>
      </c>
      <c r="C354" s="123" t="s">
        <v>973</v>
      </c>
      <c r="D354" s="123" t="s">
        <v>541</v>
      </c>
      <c r="E354" s="123" t="s">
        <v>541</v>
      </c>
      <c r="F354" s="123" t="s">
        <v>541</v>
      </c>
      <c r="G354" s="123"/>
      <c r="H354" s="123"/>
      <c r="I354" s="123" t="s">
        <v>1218</v>
      </c>
      <c r="J354" s="123" t="s">
        <v>970</v>
      </c>
      <c r="K354" s="123" t="s">
        <v>1213</v>
      </c>
      <c r="L354" s="123">
        <v>75032</v>
      </c>
      <c r="M354" s="123"/>
      <c r="N354" s="123"/>
      <c r="O354" s="154"/>
      <c r="P354" s="155">
        <v>287423.96122933109</v>
      </c>
      <c r="Q354" s="61">
        <v>0</v>
      </c>
      <c r="R354" s="63">
        <f t="shared" si="65"/>
        <v>0</v>
      </c>
      <c r="S354" s="61">
        <v>33584.126298100382</v>
      </c>
      <c r="T354" s="61">
        <v>0</v>
      </c>
      <c r="U354" s="63">
        <f t="shared" si="66"/>
        <v>0</v>
      </c>
      <c r="V354" s="61">
        <v>84090.8811365211</v>
      </c>
      <c r="W354" s="61">
        <v>0</v>
      </c>
      <c r="X354" s="63">
        <f t="shared" si="67"/>
        <v>0</v>
      </c>
      <c r="Y354" s="61">
        <v>2832.8574884102532</v>
      </c>
      <c r="Z354" s="102">
        <v>0</v>
      </c>
      <c r="AA354" s="63">
        <f t="shared" si="68"/>
        <v>0</v>
      </c>
      <c r="AB354" s="61">
        <v>49.685528927516636</v>
      </c>
      <c r="AC354" s="61">
        <v>0</v>
      </c>
      <c r="AD354" s="63">
        <f t="shared" si="69"/>
        <v>0</v>
      </c>
      <c r="AE354" s="61">
        <v>8.4515452829413107</v>
      </c>
      <c r="AF354" s="61">
        <v>0</v>
      </c>
      <c r="AG354" s="63">
        <f t="shared" si="70"/>
        <v>0</v>
      </c>
      <c r="AH354" s="61">
        <v>265.65428235025678</v>
      </c>
      <c r="AI354" s="61">
        <v>0</v>
      </c>
      <c r="AJ354" s="63">
        <f t="shared" si="71"/>
        <v>0</v>
      </c>
      <c r="AK354" s="61">
        <v>10.326521915800305</v>
      </c>
      <c r="AL354" s="61">
        <v>0</v>
      </c>
      <c r="AM354" s="63">
        <f t="shared" si="72"/>
        <v>0</v>
      </c>
      <c r="AN354" s="61">
        <v>13.440859855984097</v>
      </c>
      <c r="AO354" s="61">
        <v>0</v>
      </c>
      <c r="AP354" s="63">
        <f t="shared" si="73"/>
        <v>0</v>
      </c>
      <c r="AQ354" s="61">
        <v>29.752898663052306</v>
      </c>
      <c r="AR354" s="61">
        <v>0</v>
      </c>
      <c r="AS354" s="63">
        <f t="shared" si="74"/>
        <v>0</v>
      </c>
      <c r="AT354" s="61">
        <v>0</v>
      </c>
      <c r="AU354" s="61">
        <v>0</v>
      </c>
      <c r="AV354" s="63" t="e">
        <f t="shared" si="75"/>
        <v>#DIV/0!</v>
      </c>
      <c r="AW354" s="61">
        <v>8.4119665560264245</v>
      </c>
      <c r="AX354" s="61">
        <v>0</v>
      </c>
      <c r="AY354" s="63">
        <f t="shared" si="76"/>
        <v>0</v>
      </c>
      <c r="AZ354" s="61">
        <v>25.383947063109375</v>
      </c>
      <c r="BA354" s="61">
        <v>0</v>
      </c>
      <c r="BB354" s="63">
        <f t="shared" si="77"/>
        <v>0</v>
      </c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</row>
    <row r="355" spans="1:87" x14ac:dyDescent="0.25">
      <c r="A355" s="128">
        <v>19842</v>
      </c>
      <c r="B355" s="128">
        <v>21751</v>
      </c>
      <c r="C355" s="128">
        <v>1086439294</v>
      </c>
      <c r="D355" s="128" t="s">
        <v>1078</v>
      </c>
      <c r="E355" s="128" t="s">
        <v>544</v>
      </c>
      <c r="F355" s="128" t="s">
        <v>544</v>
      </c>
      <c r="G355" s="128" t="s">
        <v>1079</v>
      </c>
      <c r="H355" s="128" t="s">
        <v>1079</v>
      </c>
      <c r="I355" s="128" t="s">
        <v>1218</v>
      </c>
      <c r="J355" s="128" t="s">
        <v>970</v>
      </c>
      <c r="K355" s="128" t="s">
        <v>1077</v>
      </c>
      <c r="L355" s="128">
        <v>75032</v>
      </c>
      <c r="M355" s="128"/>
      <c r="N355" s="128"/>
      <c r="O355" s="156"/>
      <c r="P355" s="157">
        <v>287423.96122933109</v>
      </c>
      <c r="Q355" s="61">
        <v>0</v>
      </c>
      <c r="R355" s="63">
        <f t="shared" si="65"/>
        <v>0</v>
      </c>
      <c r="S355" s="61">
        <v>33584.126298100382</v>
      </c>
      <c r="T355" s="61">
        <v>0</v>
      </c>
      <c r="U355" s="63">
        <f t="shared" si="66"/>
        <v>0</v>
      </c>
      <c r="V355" s="61">
        <v>84090.8811365211</v>
      </c>
      <c r="W355" s="61">
        <v>0</v>
      </c>
      <c r="X355" s="63">
        <f t="shared" si="67"/>
        <v>0</v>
      </c>
      <c r="Y355" s="61">
        <v>2832.8574884102532</v>
      </c>
      <c r="Z355" s="102">
        <v>0</v>
      </c>
      <c r="AA355" s="63">
        <f t="shared" si="68"/>
        <v>0</v>
      </c>
      <c r="AB355" s="61">
        <v>49.685528927516636</v>
      </c>
      <c r="AC355" s="61">
        <v>0</v>
      </c>
      <c r="AD355" s="63">
        <f t="shared" si="69"/>
        <v>0</v>
      </c>
      <c r="AE355" s="61">
        <v>8.4515452829413107</v>
      </c>
      <c r="AF355" s="61">
        <v>0</v>
      </c>
      <c r="AG355" s="63">
        <f t="shared" si="70"/>
        <v>0</v>
      </c>
      <c r="AH355" s="61">
        <v>265.65428235025678</v>
      </c>
      <c r="AI355" s="61">
        <v>0</v>
      </c>
      <c r="AJ355" s="63">
        <f t="shared" si="71"/>
        <v>0</v>
      </c>
      <c r="AK355" s="61">
        <v>10.326521915800305</v>
      </c>
      <c r="AL355" s="61">
        <v>0</v>
      </c>
      <c r="AM355" s="63">
        <f t="shared" si="72"/>
        <v>0</v>
      </c>
      <c r="AN355" s="61">
        <v>13.440859855984097</v>
      </c>
      <c r="AO355" s="61">
        <v>0</v>
      </c>
      <c r="AP355" s="63">
        <f t="shared" si="73"/>
        <v>0</v>
      </c>
      <c r="AQ355" s="61">
        <v>29.752898663052306</v>
      </c>
      <c r="AR355" s="61">
        <v>0</v>
      </c>
      <c r="AS355" s="63">
        <f t="shared" si="74"/>
        <v>0</v>
      </c>
      <c r="AT355" s="61">
        <v>0</v>
      </c>
      <c r="AU355" s="61">
        <v>0</v>
      </c>
      <c r="AV355" s="63" t="e">
        <f t="shared" si="75"/>
        <v>#DIV/0!</v>
      </c>
      <c r="AW355" s="61">
        <v>8.4119665560264245</v>
      </c>
      <c r="AX355" s="61">
        <v>0</v>
      </c>
      <c r="AY355" s="63">
        <f t="shared" si="76"/>
        <v>0</v>
      </c>
      <c r="AZ355" s="61">
        <v>25.383947063109375</v>
      </c>
      <c r="BA355" s="61">
        <v>0</v>
      </c>
      <c r="BB355" s="63">
        <f t="shared" si="77"/>
        <v>0</v>
      </c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</row>
    <row r="356" spans="1:87" x14ac:dyDescent="0.25">
      <c r="A356" s="128">
        <v>19847</v>
      </c>
      <c r="B356" s="128">
        <v>19842</v>
      </c>
      <c r="C356" s="128">
        <v>1092464849</v>
      </c>
      <c r="D356" s="128" t="s">
        <v>1080</v>
      </c>
      <c r="E356" s="128" t="s">
        <v>546</v>
      </c>
      <c r="F356" s="128" t="s">
        <v>546</v>
      </c>
      <c r="G356" s="128" t="s">
        <v>1081</v>
      </c>
      <c r="H356" s="128" t="s">
        <v>1081</v>
      </c>
      <c r="I356" s="128" t="s">
        <v>1218</v>
      </c>
      <c r="J356" s="128" t="s">
        <v>970</v>
      </c>
      <c r="K356" s="128" t="s">
        <v>1077</v>
      </c>
      <c r="L356" s="128">
        <v>75032</v>
      </c>
      <c r="M356" s="128"/>
      <c r="N356" s="128"/>
      <c r="O356" s="156"/>
      <c r="P356" s="157">
        <v>104807.98707644299</v>
      </c>
      <c r="Q356" s="61">
        <v>108820.03</v>
      </c>
      <c r="R356" s="63">
        <f t="shared" si="65"/>
        <v>1.0382799349121243</v>
      </c>
      <c r="S356" s="61">
        <v>7194.7087660334591</v>
      </c>
      <c r="T356" s="61">
        <v>4433.04</v>
      </c>
      <c r="U356" s="63">
        <f t="shared" si="66"/>
        <v>0.61615280675829154</v>
      </c>
      <c r="V356" s="61">
        <v>26830.634520607182</v>
      </c>
      <c r="W356" s="61">
        <v>16846.099999999999</v>
      </c>
      <c r="X356" s="63">
        <f t="shared" si="67"/>
        <v>0.62786811795529496</v>
      </c>
      <c r="Y356" s="61">
        <v>894.28499999999997</v>
      </c>
      <c r="Z356" s="102">
        <v>0</v>
      </c>
      <c r="AA356" s="63">
        <f t="shared" si="68"/>
        <v>0</v>
      </c>
      <c r="AB356" s="61">
        <v>17.5</v>
      </c>
      <c r="AC356" s="61">
        <v>3</v>
      </c>
      <c r="AD356" s="63">
        <f t="shared" si="69"/>
        <v>0.17142857142857143</v>
      </c>
      <c r="AE356" s="61">
        <v>3.5</v>
      </c>
      <c r="AF356" s="61">
        <v>1</v>
      </c>
      <c r="AG356" s="63">
        <f t="shared" si="70"/>
        <v>0.2857142857142857</v>
      </c>
      <c r="AH356" s="61">
        <v>88.551427450085583</v>
      </c>
      <c r="AI356" s="61">
        <v>62</v>
      </c>
      <c r="AJ356" s="63">
        <f t="shared" si="71"/>
        <v>0.7001581090824085</v>
      </c>
      <c r="AK356" s="61">
        <v>3.442173971933435</v>
      </c>
      <c r="AL356" s="61">
        <v>1</v>
      </c>
      <c r="AM356" s="63">
        <f t="shared" si="72"/>
        <v>0.29051407864731194</v>
      </c>
      <c r="AN356" s="61">
        <v>4.4802866186613661</v>
      </c>
      <c r="AO356" s="61">
        <v>9</v>
      </c>
      <c r="AP356" s="63">
        <f t="shared" si="73"/>
        <v>2.0088000536646575</v>
      </c>
      <c r="AQ356" s="61">
        <v>8.0649528324475952</v>
      </c>
      <c r="AR356" s="61">
        <v>4</v>
      </c>
      <c r="AS356" s="63">
        <f t="shared" si="74"/>
        <v>0.49597314244751245</v>
      </c>
      <c r="AT356" s="61">
        <v>0</v>
      </c>
      <c r="AU356" s="61">
        <v>1</v>
      </c>
      <c r="AV356" s="63" t="e">
        <f t="shared" si="75"/>
        <v>#DIV/0!</v>
      </c>
      <c r="AW356" s="61">
        <v>3.067389643927565</v>
      </c>
      <c r="AX356" s="61">
        <v>0</v>
      </c>
      <c r="AY356" s="63">
        <f t="shared" si="76"/>
        <v>0</v>
      </c>
      <c r="AZ356" s="61">
        <v>8.4613156877031255</v>
      </c>
      <c r="BA356" s="61">
        <v>2</v>
      </c>
      <c r="BB356" s="63">
        <f t="shared" si="77"/>
        <v>0.23636985946601785</v>
      </c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</row>
    <row r="357" spans="1:87" x14ac:dyDescent="0.25">
      <c r="A357" s="128">
        <v>23896</v>
      </c>
      <c r="B357" s="128">
        <v>19842</v>
      </c>
      <c r="C357" s="128">
        <v>1121692527</v>
      </c>
      <c r="D357" s="128" t="s">
        <v>1082</v>
      </c>
      <c r="E357" s="128" t="s">
        <v>546</v>
      </c>
      <c r="F357" s="128" t="s">
        <v>546</v>
      </c>
      <c r="G357" s="128" t="s">
        <v>1083</v>
      </c>
      <c r="H357" s="128" t="s">
        <v>1083</v>
      </c>
      <c r="I357" s="128" t="s">
        <v>1218</v>
      </c>
      <c r="J357" s="128" t="s">
        <v>970</v>
      </c>
      <c r="K357" s="128" t="s">
        <v>1077</v>
      </c>
      <c r="L357" s="128">
        <v>75032</v>
      </c>
      <c r="M357" s="128" t="s">
        <v>1222</v>
      </c>
      <c r="N357" s="128"/>
      <c r="O357" s="156"/>
      <c r="P357" s="157">
        <v>91807.987076443693</v>
      </c>
      <c r="Q357" s="61">
        <v>141815.71000000002</v>
      </c>
      <c r="R357" s="63">
        <f t="shared" si="65"/>
        <v>1.5446990454318263</v>
      </c>
      <c r="S357" s="61">
        <v>12114.055623976999</v>
      </c>
      <c r="T357" s="61">
        <v>2658.26</v>
      </c>
      <c r="U357" s="63">
        <f t="shared" si="66"/>
        <v>0.21943600743739225</v>
      </c>
      <c r="V357" s="61">
        <v>29226.430171436004</v>
      </c>
      <c r="W357" s="61">
        <v>26570.869999999995</v>
      </c>
      <c r="X357" s="63">
        <f t="shared" si="67"/>
        <v>0.90913840123959511</v>
      </c>
      <c r="Y357" s="61">
        <v>1044.2850000000001</v>
      </c>
      <c r="Z357" s="102">
        <v>0</v>
      </c>
      <c r="AA357" s="63">
        <f t="shared" si="68"/>
        <v>0</v>
      </c>
      <c r="AB357" s="61">
        <v>15</v>
      </c>
      <c r="AC357" s="61">
        <v>6</v>
      </c>
      <c r="AD357" s="63">
        <f t="shared" si="69"/>
        <v>0.4</v>
      </c>
      <c r="AE357" s="61">
        <v>3.5</v>
      </c>
      <c r="AF357" s="61">
        <v>0</v>
      </c>
      <c r="AG357" s="63">
        <f t="shared" si="70"/>
        <v>0</v>
      </c>
      <c r="AH357" s="61">
        <v>88.551427450085583</v>
      </c>
      <c r="AI357" s="61">
        <v>64</v>
      </c>
      <c r="AJ357" s="63">
        <f t="shared" si="71"/>
        <v>0.72274385453667966</v>
      </c>
      <c r="AK357" s="61">
        <v>3.442173971933435</v>
      </c>
      <c r="AL357" s="61">
        <v>0</v>
      </c>
      <c r="AM357" s="63">
        <f t="shared" si="72"/>
        <v>0</v>
      </c>
      <c r="AN357" s="61">
        <v>4.4802866186613661</v>
      </c>
      <c r="AO357" s="61">
        <v>3</v>
      </c>
      <c r="AP357" s="63">
        <f t="shared" si="73"/>
        <v>0.66960001788821921</v>
      </c>
      <c r="AQ357" s="61">
        <v>13.441588054079325</v>
      </c>
      <c r="AR357" s="61">
        <v>5</v>
      </c>
      <c r="AS357" s="63">
        <f t="shared" si="74"/>
        <v>0.37197985683563434</v>
      </c>
      <c r="AT357" s="61">
        <v>0</v>
      </c>
      <c r="AU357" s="61">
        <v>0</v>
      </c>
      <c r="AV357" s="63" t="e">
        <f t="shared" si="75"/>
        <v>#DIV/0!</v>
      </c>
      <c r="AW357" s="61">
        <v>2.6869218333782401</v>
      </c>
      <c r="AX357" s="61">
        <v>0</v>
      </c>
      <c r="AY357" s="63">
        <f t="shared" si="76"/>
        <v>0</v>
      </c>
      <c r="AZ357" s="61">
        <v>8.4613156877031255</v>
      </c>
      <c r="BA357" s="61">
        <v>5</v>
      </c>
      <c r="BB357" s="63">
        <f t="shared" si="77"/>
        <v>0.59092464866504468</v>
      </c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</row>
    <row r="358" spans="1:87" x14ac:dyDescent="0.25">
      <c r="A358" s="128">
        <v>23895</v>
      </c>
      <c r="B358" s="128">
        <v>19842</v>
      </c>
      <c r="C358" s="128">
        <v>1101498614</v>
      </c>
      <c r="D358" s="128" t="s">
        <v>1084</v>
      </c>
      <c r="E358" s="128" t="s">
        <v>546</v>
      </c>
      <c r="F358" s="128" t="s">
        <v>546</v>
      </c>
      <c r="G358" s="128" t="s">
        <v>1085</v>
      </c>
      <c r="H358" s="128" t="s">
        <v>1085</v>
      </c>
      <c r="I358" s="128" t="s">
        <v>1218</v>
      </c>
      <c r="J358" s="128" t="s">
        <v>970</v>
      </c>
      <c r="K358" s="128" t="s">
        <v>1077</v>
      </c>
      <c r="L358" s="128">
        <v>75032</v>
      </c>
      <c r="M358" s="128" t="s">
        <v>1215</v>
      </c>
      <c r="N358" s="128"/>
      <c r="O358" s="156"/>
      <c r="P358" s="157">
        <v>90807.987076443693</v>
      </c>
      <c r="Q358" s="61">
        <v>74008.74000000002</v>
      </c>
      <c r="R358" s="63">
        <f t="shared" si="65"/>
        <v>0.81500253868305894</v>
      </c>
      <c r="S358" s="61">
        <v>14275.055623976999</v>
      </c>
      <c r="T358" s="61">
        <v>3738.26</v>
      </c>
      <c r="U358" s="63">
        <f t="shared" si="66"/>
        <v>0.26187358553763235</v>
      </c>
      <c r="V358" s="61">
        <v>28034.293712173694</v>
      </c>
      <c r="W358" s="61">
        <v>20559.14</v>
      </c>
      <c r="X358" s="63">
        <f t="shared" si="67"/>
        <v>0.73335680260324654</v>
      </c>
      <c r="Y358" s="61">
        <v>894.28499999999997</v>
      </c>
      <c r="Z358" s="102">
        <v>0</v>
      </c>
      <c r="AA358" s="63">
        <f t="shared" si="68"/>
        <v>0</v>
      </c>
      <c r="AB358" s="61">
        <v>17.5</v>
      </c>
      <c r="AC358" s="61">
        <v>5</v>
      </c>
      <c r="AD358" s="63">
        <f t="shared" si="69"/>
        <v>0.2857142857142857</v>
      </c>
      <c r="AE358" s="61">
        <v>1</v>
      </c>
      <c r="AF358" s="61">
        <v>0</v>
      </c>
      <c r="AG358" s="63">
        <f t="shared" si="70"/>
        <v>0</v>
      </c>
      <c r="AH358" s="61">
        <v>88.551427450085583</v>
      </c>
      <c r="AI358" s="61">
        <v>34</v>
      </c>
      <c r="AJ358" s="63">
        <f t="shared" si="71"/>
        <v>0.38395767272261111</v>
      </c>
      <c r="AK358" s="61">
        <v>3.442173971933435</v>
      </c>
      <c r="AL358" s="61">
        <v>0</v>
      </c>
      <c r="AM358" s="63">
        <f t="shared" si="72"/>
        <v>0</v>
      </c>
      <c r="AN358" s="61">
        <v>4.4802866186613661</v>
      </c>
      <c r="AO358" s="61">
        <v>9</v>
      </c>
      <c r="AP358" s="63">
        <f t="shared" si="73"/>
        <v>2.0088000536646575</v>
      </c>
      <c r="AQ358" s="61">
        <v>8.0649528324475952</v>
      </c>
      <c r="AR358" s="61">
        <v>5</v>
      </c>
      <c r="AS358" s="63">
        <f t="shared" si="74"/>
        <v>0.61996642805939051</v>
      </c>
      <c r="AT358" s="61">
        <v>0</v>
      </c>
      <c r="AU358" s="61">
        <v>0</v>
      </c>
      <c r="AV358" s="63" t="e">
        <f t="shared" si="75"/>
        <v>#DIV/0!</v>
      </c>
      <c r="AW358" s="61">
        <v>2.6576550787205981</v>
      </c>
      <c r="AX358" s="61">
        <v>0</v>
      </c>
      <c r="AY358" s="63">
        <f t="shared" si="76"/>
        <v>0</v>
      </c>
      <c r="AZ358" s="61">
        <v>8.4613156877031255</v>
      </c>
      <c r="BA358" s="61">
        <v>5</v>
      </c>
      <c r="BB358" s="63">
        <f t="shared" si="77"/>
        <v>0.59092464866504468</v>
      </c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</row>
    <row r="359" spans="1:87" x14ac:dyDescent="0.25">
      <c r="A359" s="128">
        <v>12886</v>
      </c>
      <c r="B359" s="128">
        <v>12877</v>
      </c>
      <c r="C359" s="128">
        <v>1001307055</v>
      </c>
      <c r="D359" s="128" t="s">
        <v>536</v>
      </c>
      <c r="E359" s="128" t="s">
        <v>537</v>
      </c>
      <c r="F359" s="128" t="s">
        <v>537</v>
      </c>
      <c r="G359" s="128">
        <v>0</v>
      </c>
      <c r="H359" s="128">
        <v>0</v>
      </c>
      <c r="I359" s="128" t="s">
        <v>1218</v>
      </c>
      <c r="J359" s="128" t="s">
        <v>221</v>
      </c>
      <c r="K359" s="128" t="s">
        <v>538</v>
      </c>
      <c r="L359" s="128" t="s">
        <v>539</v>
      </c>
      <c r="M359" s="128"/>
      <c r="N359" s="128"/>
      <c r="O359" s="156"/>
      <c r="P359" s="157">
        <v>6128738</v>
      </c>
      <c r="Q359" s="61">
        <v>0</v>
      </c>
      <c r="R359" s="63">
        <f t="shared" si="65"/>
        <v>0</v>
      </c>
      <c r="S359" s="61">
        <v>804083</v>
      </c>
      <c r="T359" s="61">
        <v>0</v>
      </c>
      <c r="U359" s="63">
        <f t="shared" si="66"/>
        <v>0</v>
      </c>
      <c r="V359" s="61">
        <v>1746448.2413803125</v>
      </c>
      <c r="W359" s="61">
        <v>0</v>
      </c>
      <c r="X359" s="63">
        <f t="shared" si="67"/>
        <v>0</v>
      </c>
      <c r="Y359" s="61">
        <v>75394</v>
      </c>
      <c r="Z359" s="102">
        <v>0</v>
      </c>
      <c r="AA359" s="63">
        <f t="shared" si="68"/>
        <v>0</v>
      </c>
      <c r="AB359" s="61">
        <v>1206</v>
      </c>
      <c r="AC359" s="61">
        <v>0</v>
      </c>
      <c r="AD359" s="63">
        <f t="shared" si="69"/>
        <v>0</v>
      </c>
      <c r="AE359" s="61">
        <v>169</v>
      </c>
      <c r="AF359" s="61">
        <v>0</v>
      </c>
      <c r="AG359" s="63">
        <f t="shared" si="70"/>
        <v>0</v>
      </c>
      <c r="AH359" s="61">
        <v>5447.9274214954639</v>
      </c>
      <c r="AI359" s="61">
        <v>0</v>
      </c>
      <c r="AJ359" s="63">
        <f t="shared" si="71"/>
        <v>0</v>
      </c>
      <c r="AK359" s="61">
        <v>224.46943584580615</v>
      </c>
      <c r="AL359" s="61">
        <v>0</v>
      </c>
      <c r="AM359" s="63">
        <f t="shared" si="72"/>
        <v>0</v>
      </c>
      <c r="AN359" s="61">
        <v>507.04191890858152</v>
      </c>
      <c r="AO359" s="61">
        <v>0</v>
      </c>
      <c r="AP359" s="63">
        <f t="shared" si="73"/>
        <v>0</v>
      </c>
      <c r="AQ359" s="61">
        <v>550.20900434698035</v>
      </c>
      <c r="AR359" s="61">
        <v>0</v>
      </c>
      <c r="AS359" s="63">
        <f t="shared" si="74"/>
        <v>0</v>
      </c>
      <c r="AT359" s="61">
        <v>465</v>
      </c>
      <c r="AU359" s="61">
        <v>0</v>
      </c>
      <c r="AV359" s="63">
        <f t="shared" si="75"/>
        <v>0</v>
      </c>
      <c r="AW359" s="61">
        <v>179.36827140696718</v>
      </c>
      <c r="AX359" s="61">
        <v>0</v>
      </c>
      <c r="AY359" s="63">
        <f t="shared" si="76"/>
        <v>0</v>
      </c>
      <c r="AZ359" s="61">
        <v>493</v>
      </c>
      <c r="BA359" s="61">
        <v>0</v>
      </c>
      <c r="BB359" s="63">
        <f t="shared" si="77"/>
        <v>0</v>
      </c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</row>
    <row r="360" spans="1:87" x14ac:dyDescent="0.25">
      <c r="A360" s="128">
        <v>21267</v>
      </c>
      <c r="B360" s="128">
        <v>12886</v>
      </c>
      <c r="C360" s="128">
        <v>1003134994</v>
      </c>
      <c r="D360" s="128" t="s">
        <v>540</v>
      </c>
      <c r="E360" s="128" t="s">
        <v>541</v>
      </c>
      <c r="F360" s="128" t="s">
        <v>541</v>
      </c>
      <c r="G360" s="128" t="s">
        <v>222</v>
      </c>
      <c r="H360" s="128" t="s">
        <v>222</v>
      </c>
      <c r="I360" s="128" t="s">
        <v>1218</v>
      </c>
      <c r="J360" s="128" t="s">
        <v>221</v>
      </c>
      <c r="K360" s="128" t="s">
        <v>542</v>
      </c>
      <c r="L360" s="128">
        <v>23012</v>
      </c>
      <c r="M360" s="128"/>
      <c r="N360" s="128"/>
      <c r="O360" s="156"/>
      <c r="P360" s="157">
        <v>1371818</v>
      </c>
      <c r="Q360" s="61">
        <v>0</v>
      </c>
      <c r="R360" s="63">
        <f t="shared" si="65"/>
        <v>0</v>
      </c>
      <c r="S360" s="61">
        <v>163335</v>
      </c>
      <c r="T360" s="61">
        <v>0</v>
      </c>
      <c r="U360" s="63">
        <f t="shared" si="66"/>
        <v>0</v>
      </c>
      <c r="V360" s="61">
        <v>387166.96541816817</v>
      </c>
      <c r="W360" s="61">
        <v>0</v>
      </c>
      <c r="X360" s="63">
        <f t="shared" si="67"/>
        <v>0</v>
      </c>
      <c r="Y360" s="61">
        <v>16751</v>
      </c>
      <c r="Z360" s="102">
        <v>0</v>
      </c>
      <c r="AA360" s="63">
        <f t="shared" si="68"/>
        <v>0</v>
      </c>
      <c r="AB360" s="61">
        <v>247</v>
      </c>
      <c r="AC360" s="61">
        <v>0</v>
      </c>
      <c r="AD360" s="63">
        <f t="shared" si="69"/>
        <v>0</v>
      </c>
      <c r="AE360" s="61">
        <v>35</v>
      </c>
      <c r="AF360" s="61">
        <v>0</v>
      </c>
      <c r="AG360" s="63">
        <f t="shared" si="70"/>
        <v>0</v>
      </c>
      <c r="AH360" s="61">
        <v>1090.1713072412995</v>
      </c>
      <c r="AI360" s="61">
        <v>0</v>
      </c>
      <c r="AJ360" s="63">
        <f t="shared" si="71"/>
        <v>0</v>
      </c>
      <c r="AK360" s="61">
        <v>47.759454435277902</v>
      </c>
      <c r="AL360" s="61">
        <v>0</v>
      </c>
      <c r="AM360" s="63">
        <f t="shared" si="72"/>
        <v>0</v>
      </c>
      <c r="AN360" s="61">
        <v>45.439033984695072</v>
      </c>
      <c r="AO360" s="61">
        <v>0</v>
      </c>
      <c r="AP360" s="63">
        <f t="shared" si="73"/>
        <v>0</v>
      </c>
      <c r="AQ360" s="61">
        <v>106.63659856236265</v>
      </c>
      <c r="AR360" s="61">
        <v>0</v>
      </c>
      <c r="AS360" s="63">
        <f t="shared" si="74"/>
        <v>0</v>
      </c>
      <c r="AT360" s="61">
        <v>59</v>
      </c>
      <c r="AU360" s="61">
        <v>0</v>
      </c>
      <c r="AV360" s="63">
        <f t="shared" si="75"/>
        <v>0</v>
      </c>
      <c r="AW360" s="61">
        <v>40.148660840937062</v>
      </c>
      <c r="AX360" s="61">
        <v>0</v>
      </c>
      <c r="AY360" s="63">
        <f t="shared" si="76"/>
        <v>0</v>
      </c>
      <c r="AZ360" s="61">
        <v>84</v>
      </c>
      <c r="BA360" s="61">
        <v>0</v>
      </c>
      <c r="BB360" s="63">
        <f t="shared" si="77"/>
        <v>0</v>
      </c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</row>
    <row r="361" spans="1:87" x14ac:dyDescent="0.25">
      <c r="A361" s="128">
        <v>10441</v>
      </c>
      <c r="B361" s="128">
        <v>21267</v>
      </c>
      <c r="C361" s="128">
        <v>1078137948</v>
      </c>
      <c r="D361" s="128" t="s">
        <v>545</v>
      </c>
      <c r="E361" s="128" t="s">
        <v>544</v>
      </c>
      <c r="F361" s="128" t="s">
        <v>544</v>
      </c>
      <c r="G361" s="128" t="s">
        <v>424</v>
      </c>
      <c r="H361" s="128" t="s">
        <v>425</v>
      </c>
      <c r="I361" s="128" t="s">
        <v>1218</v>
      </c>
      <c r="J361" s="128" t="s">
        <v>221</v>
      </c>
      <c r="K361" s="128" t="s">
        <v>542</v>
      </c>
      <c r="L361" s="128">
        <v>23012</v>
      </c>
      <c r="M361" s="128"/>
      <c r="N361" s="128"/>
      <c r="O361" s="156"/>
      <c r="P361" s="157">
        <v>716426</v>
      </c>
      <c r="Q361" s="61">
        <v>0</v>
      </c>
      <c r="R361" s="63">
        <f t="shared" si="65"/>
        <v>0</v>
      </c>
      <c r="S361" s="61">
        <v>95145</v>
      </c>
      <c r="T361" s="61">
        <v>0</v>
      </c>
      <c r="U361" s="63">
        <f t="shared" si="66"/>
        <v>0</v>
      </c>
      <c r="V361" s="61">
        <v>196567.72960501528</v>
      </c>
      <c r="W361" s="61">
        <v>0</v>
      </c>
      <c r="X361" s="63">
        <f t="shared" si="67"/>
        <v>0</v>
      </c>
      <c r="Y361" s="61">
        <v>8393</v>
      </c>
      <c r="Z361" s="102">
        <v>0</v>
      </c>
      <c r="AA361" s="63">
        <f t="shared" si="68"/>
        <v>0</v>
      </c>
      <c r="AB361" s="61">
        <v>127</v>
      </c>
      <c r="AC361" s="61">
        <v>2</v>
      </c>
      <c r="AD361" s="63">
        <f t="shared" si="69"/>
        <v>1.5748031496062992E-2</v>
      </c>
      <c r="AE361" s="61">
        <v>19</v>
      </c>
      <c r="AF361" s="61">
        <v>0</v>
      </c>
      <c r="AG361" s="63">
        <f t="shared" si="70"/>
        <v>0</v>
      </c>
      <c r="AH361" s="61">
        <v>503.48523166831592</v>
      </c>
      <c r="AI361" s="61">
        <v>14</v>
      </c>
      <c r="AJ361" s="63">
        <f t="shared" si="71"/>
        <v>2.780617805533344E-2</v>
      </c>
      <c r="AK361" s="61">
        <v>20.695763588620427</v>
      </c>
      <c r="AL361" s="61">
        <v>1</v>
      </c>
      <c r="AM361" s="63">
        <f t="shared" si="72"/>
        <v>4.8319067606176679E-2</v>
      </c>
      <c r="AN361" s="61">
        <v>15.867599169258597</v>
      </c>
      <c r="AO361" s="61">
        <v>0</v>
      </c>
      <c r="AP361" s="63">
        <f t="shared" si="73"/>
        <v>0</v>
      </c>
      <c r="AQ361" s="61">
        <v>51.078034605501436</v>
      </c>
      <c r="AR361" s="61">
        <v>0</v>
      </c>
      <c r="AS361" s="63">
        <f t="shared" si="74"/>
        <v>0</v>
      </c>
      <c r="AT361" s="61">
        <v>31</v>
      </c>
      <c r="AU361" s="61">
        <v>0</v>
      </c>
      <c r="AV361" s="63">
        <f t="shared" si="75"/>
        <v>0</v>
      </c>
      <c r="AW361" s="61">
        <v>20.967463972355791</v>
      </c>
      <c r="AX361" s="61">
        <v>0</v>
      </c>
      <c r="AY361" s="63">
        <f t="shared" si="76"/>
        <v>0</v>
      </c>
      <c r="AZ361" s="61">
        <v>43</v>
      </c>
      <c r="BA361" s="61">
        <v>0</v>
      </c>
      <c r="BB361" s="63">
        <f t="shared" si="77"/>
        <v>0</v>
      </c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</row>
    <row r="362" spans="1:87" x14ac:dyDescent="0.25">
      <c r="A362" s="128">
        <v>10125</v>
      </c>
      <c r="B362" s="128">
        <v>10441</v>
      </c>
      <c r="C362" s="128">
        <v>1082985886</v>
      </c>
      <c r="D362" s="128" t="s">
        <v>556</v>
      </c>
      <c r="E362" s="128" t="s">
        <v>546</v>
      </c>
      <c r="F362" s="128" t="s">
        <v>546</v>
      </c>
      <c r="G362" s="128" t="s">
        <v>227</v>
      </c>
      <c r="H362" s="128" t="s">
        <v>228</v>
      </c>
      <c r="I362" s="128" t="s">
        <v>1218</v>
      </c>
      <c r="J362" s="128" t="s">
        <v>221</v>
      </c>
      <c r="K362" s="128" t="s">
        <v>542</v>
      </c>
      <c r="L362" s="128">
        <v>23012</v>
      </c>
      <c r="M362" s="128" t="s">
        <v>1215</v>
      </c>
      <c r="N362" s="128"/>
      <c r="O362" s="156"/>
      <c r="P362" s="157">
        <v>94593</v>
      </c>
      <c r="Q362" s="61">
        <v>73477.430000000022</v>
      </c>
      <c r="R362" s="63">
        <f t="shared" si="65"/>
        <v>0.7767744970558077</v>
      </c>
      <c r="S362" s="61">
        <v>15020</v>
      </c>
      <c r="T362" s="61">
        <v>7302.6</v>
      </c>
      <c r="U362" s="63">
        <f t="shared" si="66"/>
        <v>0.48619174434087886</v>
      </c>
      <c r="V362" s="61">
        <v>30849.540952547595</v>
      </c>
      <c r="W362" s="61">
        <v>10650.43</v>
      </c>
      <c r="X362" s="63">
        <f t="shared" si="67"/>
        <v>0.34523787619343732</v>
      </c>
      <c r="Y362" s="61">
        <v>579</v>
      </c>
      <c r="Z362" s="102">
        <v>0</v>
      </c>
      <c r="AA362" s="63">
        <f t="shared" si="68"/>
        <v>0</v>
      </c>
      <c r="AB362" s="61">
        <v>15</v>
      </c>
      <c r="AC362" s="61">
        <v>9</v>
      </c>
      <c r="AD362" s="63">
        <f t="shared" si="69"/>
        <v>0.6</v>
      </c>
      <c r="AE362" s="61">
        <v>2</v>
      </c>
      <c r="AF362" s="61">
        <v>3</v>
      </c>
      <c r="AG362" s="63">
        <f t="shared" si="70"/>
        <v>1.5</v>
      </c>
      <c r="AH362" s="61">
        <v>71.430942270108289</v>
      </c>
      <c r="AI362" s="61">
        <v>63</v>
      </c>
      <c r="AJ362" s="63">
        <f t="shared" si="71"/>
        <v>0.88197072582036506</v>
      </c>
      <c r="AK362" s="61">
        <v>2.3879727217638953</v>
      </c>
      <c r="AL362" s="61">
        <v>0</v>
      </c>
      <c r="AM362" s="63">
        <f t="shared" si="72"/>
        <v>0</v>
      </c>
      <c r="AN362" s="61">
        <v>2.1637635230807177</v>
      </c>
      <c r="AO362" s="61">
        <v>1</v>
      </c>
      <c r="AP362" s="63">
        <f t="shared" si="73"/>
        <v>0.46215771239928405</v>
      </c>
      <c r="AQ362" s="61">
        <v>8.9610587027195496</v>
      </c>
      <c r="AR362" s="61">
        <v>8</v>
      </c>
      <c r="AS362" s="63">
        <f t="shared" si="74"/>
        <v>0.89275165640552245</v>
      </c>
      <c r="AT362" s="61">
        <v>3</v>
      </c>
      <c r="AU362" s="61">
        <v>4</v>
      </c>
      <c r="AV362" s="63">
        <f t="shared" si="75"/>
        <v>1.3333333333333333</v>
      </c>
      <c r="AW362" s="61">
        <v>2.7684301233303246</v>
      </c>
      <c r="AX362" s="61">
        <v>0</v>
      </c>
      <c r="AY362" s="63">
        <f t="shared" si="76"/>
        <v>0</v>
      </c>
      <c r="AZ362" s="61">
        <v>7</v>
      </c>
      <c r="BA362" s="61">
        <v>3</v>
      </c>
      <c r="BB362" s="63">
        <f t="shared" si="77"/>
        <v>0.42857142857142855</v>
      </c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</row>
    <row r="363" spans="1:87" x14ac:dyDescent="0.25">
      <c r="A363" s="128">
        <v>19446</v>
      </c>
      <c r="B363" s="128">
        <v>10441</v>
      </c>
      <c r="C363" s="128">
        <v>1102889571</v>
      </c>
      <c r="D363" s="128" t="s">
        <v>547</v>
      </c>
      <c r="E363" s="128" t="s">
        <v>546</v>
      </c>
      <c r="F363" s="128" t="s">
        <v>546</v>
      </c>
      <c r="G363" s="128" t="s">
        <v>229</v>
      </c>
      <c r="H363" s="128" t="s">
        <v>229</v>
      </c>
      <c r="I363" s="128" t="s">
        <v>1218</v>
      </c>
      <c r="J363" s="128" t="s">
        <v>221</v>
      </c>
      <c r="K363" s="128" t="s">
        <v>542</v>
      </c>
      <c r="L363" s="128">
        <v>23012</v>
      </c>
      <c r="M363" s="128"/>
      <c r="N363" s="128"/>
      <c r="O363" s="156"/>
      <c r="P363" s="157">
        <v>100171</v>
      </c>
      <c r="Q363" s="61">
        <v>168447.01</v>
      </c>
      <c r="R363" s="63">
        <f t="shared" si="65"/>
        <v>1.6815945732796918</v>
      </c>
      <c r="S363" s="61">
        <v>10307</v>
      </c>
      <c r="T363" s="61">
        <v>1589.57</v>
      </c>
      <c r="U363" s="63">
        <f t="shared" si="66"/>
        <v>0.15422237314446491</v>
      </c>
      <c r="V363" s="61">
        <v>25418.055130248089</v>
      </c>
      <c r="W363" s="61">
        <v>26335.140000000003</v>
      </c>
      <c r="X363" s="63">
        <f t="shared" si="67"/>
        <v>1.0360800566783162</v>
      </c>
      <c r="Y363" s="61">
        <v>1133</v>
      </c>
      <c r="Z363" s="102">
        <v>120</v>
      </c>
      <c r="AA363" s="63">
        <f t="shared" si="68"/>
        <v>0.1059135039717564</v>
      </c>
      <c r="AB363" s="61">
        <v>16</v>
      </c>
      <c r="AC363" s="61">
        <v>6</v>
      </c>
      <c r="AD363" s="63">
        <f t="shared" si="69"/>
        <v>0.375</v>
      </c>
      <c r="AE363" s="61">
        <v>3</v>
      </c>
      <c r="AF363" s="61">
        <v>4</v>
      </c>
      <c r="AG363" s="63">
        <f t="shared" si="70"/>
        <v>1.3333333333333333</v>
      </c>
      <c r="AH363" s="61">
        <v>82.430942270108289</v>
      </c>
      <c r="AI363" s="61">
        <v>100</v>
      </c>
      <c r="AJ363" s="63">
        <f t="shared" si="71"/>
        <v>1.2131366844300011</v>
      </c>
      <c r="AK363" s="61">
        <v>3.9799545362731585</v>
      </c>
      <c r="AL363" s="61">
        <v>1</v>
      </c>
      <c r="AM363" s="63">
        <f t="shared" si="72"/>
        <v>0.25125915155211875</v>
      </c>
      <c r="AN363" s="61">
        <v>1.4425090153871452</v>
      </c>
      <c r="AO363" s="61">
        <v>3</v>
      </c>
      <c r="AP363" s="63">
        <f t="shared" si="73"/>
        <v>2.0797097057967782</v>
      </c>
      <c r="AQ363" s="61">
        <v>5.3766352216317301</v>
      </c>
      <c r="AR363" s="61">
        <v>3</v>
      </c>
      <c r="AS363" s="63">
        <f t="shared" si="74"/>
        <v>0.55796978525345153</v>
      </c>
      <c r="AT363" s="61">
        <v>2</v>
      </c>
      <c r="AU363" s="61">
        <v>3</v>
      </c>
      <c r="AV363" s="63">
        <f t="shared" si="75"/>
        <v>1.5</v>
      </c>
      <c r="AW363" s="61">
        <v>2.9316800808106516</v>
      </c>
      <c r="AX363" s="61">
        <v>0</v>
      </c>
      <c r="AY363" s="63">
        <f t="shared" si="76"/>
        <v>0</v>
      </c>
      <c r="AZ363" s="61">
        <v>7</v>
      </c>
      <c r="BA363" s="61">
        <v>3</v>
      </c>
      <c r="BB363" s="63">
        <f t="shared" si="77"/>
        <v>0.42857142857142855</v>
      </c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</row>
    <row r="364" spans="1:87" x14ac:dyDescent="0.25">
      <c r="A364" s="128">
        <v>6964</v>
      </c>
      <c r="B364" s="128">
        <v>10441</v>
      </c>
      <c r="C364" s="128">
        <v>1079147755</v>
      </c>
      <c r="D364" s="128" t="s">
        <v>548</v>
      </c>
      <c r="E364" s="128" t="s">
        <v>546</v>
      </c>
      <c r="F364" s="128" t="s">
        <v>546</v>
      </c>
      <c r="G364" s="128" t="s">
        <v>237</v>
      </c>
      <c r="H364" s="128" t="s">
        <v>237</v>
      </c>
      <c r="I364" s="128" t="s">
        <v>1218</v>
      </c>
      <c r="J364" s="128" t="s">
        <v>221</v>
      </c>
      <c r="K364" s="128" t="s">
        <v>542</v>
      </c>
      <c r="L364" s="128">
        <v>23012</v>
      </c>
      <c r="M364" s="128"/>
      <c r="N364" s="128"/>
      <c r="O364" s="156"/>
      <c r="P364" s="157">
        <v>95477</v>
      </c>
      <c r="Q364" s="61">
        <v>92261.95</v>
      </c>
      <c r="R364" s="63">
        <f t="shared" si="65"/>
        <v>0.96632644511243537</v>
      </c>
      <c r="S364" s="61">
        <v>14507</v>
      </c>
      <c r="T364" s="61">
        <v>7266.09</v>
      </c>
      <c r="U364" s="63">
        <f t="shared" si="66"/>
        <v>0.50086785689667057</v>
      </c>
      <c r="V364" s="61">
        <v>27360.070560125761</v>
      </c>
      <c r="W364" s="61">
        <v>5993.7</v>
      </c>
      <c r="X364" s="63">
        <f t="shared" si="67"/>
        <v>0.21906741749179354</v>
      </c>
      <c r="Y364" s="61">
        <v>995</v>
      </c>
      <c r="Z364" s="102">
        <v>490</v>
      </c>
      <c r="AA364" s="63">
        <f t="shared" si="68"/>
        <v>0.49246231155778897</v>
      </c>
      <c r="AB364" s="61">
        <v>15</v>
      </c>
      <c r="AC364" s="61">
        <v>6</v>
      </c>
      <c r="AD364" s="63">
        <f t="shared" si="69"/>
        <v>0.4</v>
      </c>
      <c r="AE364" s="61">
        <v>3</v>
      </c>
      <c r="AF364" s="61">
        <v>1</v>
      </c>
      <c r="AG364" s="63">
        <f t="shared" si="70"/>
        <v>0.33333333333333331</v>
      </c>
      <c r="AH364" s="61">
        <v>68.430942270108289</v>
      </c>
      <c r="AI364" s="61">
        <v>29</v>
      </c>
      <c r="AJ364" s="63">
        <f t="shared" si="71"/>
        <v>0.42378489960772697</v>
      </c>
      <c r="AK364" s="61">
        <v>2.3879727217638953</v>
      </c>
      <c r="AL364" s="61">
        <v>0</v>
      </c>
      <c r="AM364" s="63">
        <f t="shared" si="72"/>
        <v>0</v>
      </c>
      <c r="AN364" s="61">
        <v>2.8850180307742903</v>
      </c>
      <c r="AO364" s="61">
        <v>1</v>
      </c>
      <c r="AP364" s="63">
        <f t="shared" si="73"/>
        <v>0.34661828429946306</v>
      </c>
      <c r="AQ364" s="61">
        <v>7.1688469621756399</v>
      </c>
      <c r="AR364" s="61">
        <v>4</v>
      </c>
      <c r="AS364" s="63">
        <f t="shared" si="74"/>
        <v>0.55796978525345153</v>
      </c>
      <c r="AT364" s="61">
        <v>3</v>
      </c>
      <c r="AU364" s="61">
        <v>1</v>
      </c>
      <c r="AV364" s="63">
        <f t="shared" si="75"/>
        <v>0.33333333333333331</v>
      </c>
      <c r="AW364" s="61">
        <v>2.79430193444768</v>
      </c>
      <c r="AX364" s="61">
        <v>0</v>
      </c>
      <c r="AY364" s="63">
        <f t="shared" si="76"/>
        <v>0</v>
      </c>
      <c r="AZ364" s="61">
        <v>7</v>
      </c>
      <c r="BA364" s="61">
        <v>1</v>
      </c>
      <c r="BB364" s="63">
        <f t="shared" si="77"/>
        <v>0.14285714285714285</v>
      </c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</row>
    <row r="365" spans="1:87" x14ac:dyDescent="0.25">
      <c r="A365" s="128">
        <v>12150</v>
      </c>
      <c r="B365" s="128">
        <v>10441</v>
      </c>
      <c r="C365" s="128">
        <v>1079480776</v>
      </c>
      <c r="D365" s="128" t="s">
        <v>559</v>
      </c>
      <c r="E365" s="128" t="s">
        <v>546</v>
      </c>
      <c r="F365" s="128" t="s">
        <v>546</v>
      </c>
      <c r="G365" s="128" t="s">
        <v>401</v>
      </c>
      <c r="H365" s="128" t="s">
        <v>401</v>
      </c>
      <c r="I365" s="128" t="s">
        <v>1218</v>
      </c>
      <c r="J365" s="128" t="s">
        <v>221</v>
      </c>
      <c r="K365" s="128" t="s">
        <v>542</v>
      </c>
      <c r="L365" s="128">
        <v>23012</v>
      </c>
      <c r="M365" s="128" t="s">
        <v>1237</v>
      </c>
      <c r="N365" s="128"/>
      <c r="O365" s="156">
        <v>0.5</v>
      </c>
      <c r="P365" s="157">
        <v>71384</v>
      </c>
      <c r="Q365" s="61">
        <v>125266.11000000002</v>
      </c>
      <c r="R365" s="63">
        <f t="shared" si="65"/>
        <v>1.7548205480219659</v>
      </c>
      <c r="S365" s="61">
        <v>14821</v>
      </c>
      <c r="T365" s="61">
        <v>14692.18</v>
      </c>
      <c r="U365" s="63">
        <f t="shared" si="66"/>
        <v>0.99130827879360373</v>
      </c>
      <c r="V365" s="61">
        <v>22081.902706143999</v>
      </c>
      <c r="W365" s="61">
        <v>20508.249999999996</v>
      </c>
      <c r="X365" s="63">
        <f t="shared" si="67"/>
        <v>0.92873563808855319</v>
      </c>
      <c r="Y365" s="61">
        <v>1911</v>
      </c>
      <c r="Z365" s="102">
        <v>60</v>
      </c>
      <c r="AA365" s="63">
        <f t="shared" si="68"/>
        <v>3.1397174254317109E-2</v>
      </c>
      <c r="AB365" s="61">
        <v>13</v>
      </c>
      <c r="AC365" s="61">
        <v>5</v>
      </c>
      <c r="AD365" s="63">
        <f t="shared" si="69"/>
        <v>0.38461538461538464</v>
      </c>
      <c r="AE365" s="61">
        <v>2</v>
      </c>
      <c r="AF365" s="61">
        <v>0</v>
      </c>
      <c r="AG365" s="63">
        <f t="shared" si="70"/>
        <v>0</v>
      </c>
      <c r="AH365" s="61">
        <v>57.765682111221061</v>
      </c>
      <c r="AI365" s="61">
        <v>35</v>
      </c>
      <c r="AJ365" s="63">
        <f t="shared" si="71"/>
        <v>0.60589607394597356</v>
      </c>
      <c r="AK365" s="61">
        <v>2.3879727217638953</v>
      </c>
      <c r="AL365" s="61">
        <v>1</v>
      </c>
      <c r="AM365" s="63">
        <f t="shared" si="72"/>
        <v>0.41876525258686453</v>
      </c>
      <c r="AN365" s="61">
        <v>2.8850180307742903</v>
      </c>
      <c r="AO365" s="61">
        <v>0</v>
      </c>
      <c r="AP365" s="63">
        <f t="shared" si="73"/>
        <v>0</v>
      </c>
      <c r="AQ365" s="61">
        <v>4.4805293513597748</v>
      </c>
      <c r="AR365" s="61">
        <v>4</v>
      </c>
      <c r="AS365" s="63">
        <f t="shared" si="74"/>
        <v>0.89275165640552245</v>
      </c>
      <c r="AT365" s="61">
        <v>16</v>
      </c>
      <c r="AU365" s="61">
        <v>1</v>
      </c>
      <c r="AV365" s="63">
        <f t="shared" si="75"/>
        <v>6.25E-2</v>
      </c>
      <c r="AW365" s="61">
        <v>2.0891780144811127</v>
      </c>
      <c r="AX365" s="61">
        <v>0</v>
      </c>
      <c r="AY365" s="63">
        <f t="shared" si="76"/>
        <v>0</v>
      </c>
      <c r="AZ365" s="61">
        <v>3</v>
      </c>
      <c r="BA365" s="61">
        <v>7</v>
      </c>
      <c r="BB365" s="63">
        <f t="shared" si="77"/>
        <v>2.3333333333333335</v>
      </c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</row>
    <row r="366" spans="1:87" x14ac:dyDescent="0.25">
      <c r="A366" s="128">
        <v>6955</v>
      </c>
      <c r="B366" s="128">
        <v>10441</v>
      </c>
      <c r="C366" s="128">
        <v>1022371551</v>
      </c>
      <c r="D366" s="128" t="s">
        <v>560</v>
      </c>
      <c r="E366" s="128" t="s">
        <v>546</v>
      </c>
      <c r="F366" s="128" t="s">
        <v>546</v>
      </c>
      <c r="G366" s="128" t="s">
        <v>400</v>
      </c>
      <c r="H366" s="128" t="s">
        <v>400</v>
      </c>
      <c r="I366" s="128" t="s">
        <v>1218</v>
      </c>
      <c r="J366" s="128" t="s">
        <v>221</v>
      </c>
      <c r="K366" s="128" t="s">
        <v>542</v>
      </c>
      <c r="L366" s="128">
        <v>23012</v>
      </c>
      <c r="M366" s="128"/>
      <c r="N366" s="128"/>
      <c r="O366" s="156"/>
      <c r="P366" s="157">
        <v>105365</v>
      </c>
      <c r="Q366" s="61">
        <v>85715.68</v>
      </c>
      <c r="R366" s="63">
        <f t="shared" si="65"/>
        <v>0.81351188724908641</v>
      </c>
      <c r="S366" s="61">
        <v>14951</v>
      </c>
      <c r="T366" s="61">
        <v>0</v>
      </c>
      <c r="U366" s="63">
        <f t="shared" si="66"/>
        <v>0</v>
      </c>
      <c r="V366" s="61">
        <v>28480.089194558721</v>
      </c>
      <c r="W366" s="61">
        <v>14158.700000000003</v>
      </c>
      <c r="X366" s="63">
        <f t="shared" si="67"/>
        <v>0.49714380819794274</v>
      </c>
      <c r="Y366" s="61">
        <v>547</v>
      </c>
      <c r="Z366" s="102">
        <v>80</v>
      </c>
      <c r="AA366" s="63">
        <f t="shared" si="68"/>
        <v>0.14625228519195613</v>
      </c>
      <c r="AB366" s="61">
        <v>16</v>
      </c>
      <c r="AC366" s="61">
        <v>13</v>
      </c>
      <c r="AD366" s="63">
        <f t="shared" si="69"/>
        <v>0.8125</v>
      </c>
      <c r="AE366" s="61">
        <v>2</v>
      </c>
      <c r="AF366" s="61">
        <v>0</v>
      </c>
      <c r="AG366" s="63">
        <f t="shared" si="70"/>
        <v>0</v>
      </c>
      <c r="AH366" s="61">
        <v>82.430942270108289</v>
      </c>
      <c r="AI366" s="61">
        <v>64</v>
      </c>
      <c r="AJ366" s="63">
        <f t="shared" si="71"/>
        <v>0.77640747803520072</v>
      </c>
      <c r="AK366" s="61">
        <v>3.1839636290185269</v>
      </c>
      <c r="AL366" s="61">
        <v>2</v>
      </c>
      <c r="AM366" s="63">
        <f t="shared" si="72"/>
        <v>0.62814787888029688</v>
      </c>
      <c r="AN366" s="61">
        <v>2.8850180307742903</v>
      </c>
      <c r="AO366" s="61">
        <v>0</v>
      </c>
      <c r="AP366" s="63">
        <f t="shared" si="73"/>
        <v>0</v>
      </c>
      <c r="AQ366" s="61">
        <v>6.2727410919036846</v>
      </c>
      <c r="AR366" s="61">
        <v>5</v>
      </c>
      <c r="AS366" s="63">
        <f t="shared" si="74"/>
        <v>0.79709969321921648</v>
      </c>
      <c r="AT366" s="61">
        <v>2</v>
      </c>
      <c r="AU366" s="61">
        <v>1</v>
      </c>
      <c r="AV366" s="63">
        <f t="shared" si="75"/>
        <v>0.5</v>
      </c>
      <c r="AW366" s="61">
        <v>3.0836916045024436</v>
      </c>
      <c r="AX366" s="61">
        <v>0</v>
      </c>
      <c r="AY366" s="63">
        <f t="shared" si="76"/>
        <v>0</v>
      </c>
      <c r="AZ366" s="61">
        <v>7</v>
      </c>
      <c r="BA366" s="61">
        <v>5</v>
      </c>
      <c r="BB366" s="63">
        <f t="shared" si="77"/>
        <v>0.7142857142857143</v>
      </c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</row>
    <row r="367" spans="1:87" x14ac:dyDescent="0.25">
      <c r="A367" s="128">
        <v>20910</v>
      </c>
      <c r="B367" s="128">
        <v>10441</v>
      </c>
      <c r="C367" s="128">
        <v>1075437036</v>
      </c>
      <c r="D367" s="128" t="s">
        <v>551</v>
      </c>
      <c r="E367" s="128" t="s">
        <v>546</v>
      </c>
      <c r="F367" s="128" t="s">
        <v>546</v>
      </c>
      <c r="G367" s="128" t="s">
        <v>223</v>
      </c>
      <c r="H367" s="128" t="s">
        <v>223</v>
      </c>
      <c r="I367" s="128" t="s">
        <v>1218</v>
      </c>
      <c r="J367" s="128" t="s">
        <v>221</v>
      </c>
      <c r="K367" s="128" t="s">
        <v>542</v>
      </c>
      <c r="L367" s="128">
        <v>23012</v>
      </c>
      <c r="M367" s="128" t="s">
        <v>1146</v>
      </c>
      <c r="N367" s="128">
        <v>6</v>
      </c>
      <c r="O367" s="156">
        <v>0.1</v>
      </c>
      <c r="P367" s="157">
        <v>100840</v>
      </c>
      <c r="Q367" s="61">
        <v>56983.510000000009</v>
      </c>
      <c r="R367" s="63">
        <f t="shared" si="65"/>
        <v>0.56508835779452604</v>
      </c>
      <c r="S367" s="61">
        <v>9181</v>
      </c>
      <c r="T367" s="61">
        <v>0</v>
      </c>
      <c r="U367" s="63">
        <f t="shared" si="66"/>
        <v>0</v>
      </c>
      <c r="V367" s="61">
        <v>22339.802425695667</v>
      </c>
      <c r="W367" s="61">
        <v>7810.8600000000006</v>
      </c>
      <c r="X367" s="63">
        <f t="shared" si="67"/>
        <v>0.34963872334948676</v>
      </c>
      <c r="Y367" s="61">
        <v>672</v>
      </c>
      <c r="Z367" s="102">
        <v>0</v>
      </c>
      <c r="AA367" s="63">
        <f t="shared" si="68"/>
        <v>0</v>
      </c>
      <c r="AB367" s="61">
        <v>22</v>
      </c>
      <c r="AC367" s="61">
        <v>2</v>
      </c>
      <c r="AD367" s="63">
        <f t="shared" si="69"/>
        <v>9.0909090909090912E-2</v>
      </c>
      <c r="AE367" s="61">
        <v>2</v>
      </c>
      <c r="AF367" s="61">
        <v>0</v>
      </c>
      <c r="AG367" s="63">
        <f t="shared" si="70"/>
        <v>0</v>
      </c>
      <c r="AH367" s="61">
        <v>71.564838206553404</v>
      </c>
      <c r="AI367" s="61">
        <v>16</v>
      </c>
      <c r="AJ367" s="63">
        <f t="shared" si="71"/>
        <v>0.22357348106929462</v>
      </c>
      <c r="AK367" s="61">
        <v>3.9799545362731585</v>
      </c>
      <c r="AL367" s="61">
        <v>0</v>
      </c>
      <c r="AM367" s="63">
        <f t="shared" si="72"/>
        <v>0</v>
      </c>
      <c r="AN367" s="61">
        <v>1.4425090153871452</v>
      </c>
      <c r="AO367" s="61">
        <v>0</v>
      </c>
      <c r="AP367" s="63">
        <f t="shared" si="73"/>
        <v>0</v>
      </c>
      <c r="AQ367" s="61">
        <v>8.0649528324475952</v>
      </c>
      <c r="AR367" s="61">
        <v>5</v>
      </c>
      <c r="AS367" s="63">
        <f t="shared" si="74"/>
        <v>0.61996642805939051</v>
      </c>
      <c r="AT367" s="61">
        <v>2</v>
      </c>
      <c r="AU367" s="61">
        <v>2</v>
      </c>
      <c r="AV367" s="63">
        <f t="shared" si="75"/>
        <v>1</v>
      </c>
      <c r="AW367" s="61">
        <v>2.9512595396766139</v>
      </c>
      <c r="AX367" s="61">
        <v>0</v>
      </c>
      <c r="AY367" s="63">
        <f t="shared" si="76"/>
        <v>0</v>
      </c>
      <c r="AZ367" s="61">
        <v>5</v>
      </c>
      <c r="BA367" s="61">
        <v>2</v>
      </c>
      <c r="BB367" s="63">
        <f t="shared" si="77"/>
        <v>0.4</v>
      </c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</row>
    <row r="368" spans="1:87" x14ac:dyDescent="0.25">
      <c r="A368" s="128">
        <v>21237</v>
      </c>
      <c r="B368" s="128">
        <v>10441</v>
      </c>
      <c r="C368" s="128">
        <v>1001455433</v>
      </c>
      <c r="D368" s="128" t="s">
        <v>558</v>
      </c>
      <c r="E368" s="128" t="s">
        <v>546</v>
      </c>
      <c r="F368" s="128" t="s">
        <v>546</v>
      </c>
      <c r="G368" s="128" t="s">
        <v>230</v>
      </c>
      <c r="H368" s="128" t="s">
        <v>230</v>
      </c>
      <c r="I368" s="128" t="s">
        <v>1218</v>
      </c>
      <c r="J368" s="128" t="s">
        <v>221</v>
      </c>
      <c r="K368" s="128" t="s">
        <v>542</v>
      </c>
      <c r="L368" s="128">
        <v>23012</v>
      </c>
      <c r="M368" s="128" t="s">
        <v>1222</v>
      </c>
      <c r="N368" s="128"/>
      <c r="O368" s="156"/>
      <c r="P368" s="157">
        <v>148596</v>
      </c>
      <c r="Q368" s="61">
        <v>103269.58000000002</v>
      </c>
      <c r="R368" s="63">
        <f t="shared" si="65"/>
        <v>0.69496877439500404</v>
      </c>
      <c r="S368" s="61">
        <v>16358</v>
      </c>
      <c r="T368" s="61">
        <v>0</v>
      </c>
      <c r="U368" s="63">
        <f t="shared" si="66"/>
        <v>0</v>
      </c>
      <c r="V368" s="61">
        <v>40038.268635695451</v>
      </c>
      <c r="W368" s="61">
        <v>12283.899999999996</v>
      </c>
      <c r="X368" s="63">
        <f t="shared" si="67"/>
        <v>0.30680397576054247</v>
      </c>
      <c r="Y368" s="61">
        <v>2556</v>
      </c>
      <c r="Z368" s="102">
        <v>240</v>
      </c>
      <c r="AA368" s="63">
        <f t="shared" si="68"/>
        <v>9.3896713615023469E-2</v>
      </c>
      <c r="AB368" s="61">
        <v>30</v>
      </c>
      <c r="AC368" s="61">
        <v>10</v>
      </c>
      <c r="AD368" s="63">
        <f t="shared" si="69"/>
        <v>0.33333333333333331</v>
      </c>
      <c r="AE368" s="61">
        <v>5</v>
      </c>
      <c r="AF368" s="61">
        <v>0</v>
      </c>
      <c r="AG368" s="63">
        <f t="shared" si="70"/>
        <v>0</v>
      </c>
      <c r="AH368" s="61">
        <v>69.430942270108289</v>
      </c>
      <c r="AI368" s="61">
        <v>27</v>
      </c>
      <c r="AJ368" s="63">
        <f t="shared" si="71"/>
        <v>0.38887560959437184</v>
      </c>
      <c r="AK368" s="61">
        <v>2.3879727217638953</v>
      </c>
      <c r="AL368" s="61">
        <v>1</v>
      </c>
      <c r="AM368" s="63">
        <f t="shared" si="72"/>
        <v>0.41876525258686453</v>
      </c>
      <c r="AN368" s="61">
        <v>2.1637635230807177</v>
      </c>
      <c r="AO368" s="61">
        <v>0</v>
      </c>
      <c r="AP368" s="63">
        <f t="shared" si="73"/>
        <v>0</v>
      </c>
      <c r="AQ368" s="61">
        <v>10.75327044326346</v>
      </c>
      <c r="AR368" s="61">
        <v>2</v>
      </c>
      <c r="AS368" s="63">
        <f t="shared" si="74"/>
        <v>0.18598992841781717</v>
      </c>
      <c r="AT368" s="61">
        <v>3</v>
      </c>
      <c r="AU368" s="61">
        <v>2</v>
      </c>
      <c r="AV368" s="63">
        <f t="shared" si="75"/>
        <v>0.66666666666666663</v>
      </c>
      <c r="AW368" s="61">
        <v>4.3489226751069623</v>
      </c>
      <c r="AX368" s="61">
        <v>1</v>
      </c>
      <c r="AY368" s="63">
        <f t="shared" si="76"/>
        <v>0.22994200511403778</v>
      </c>
      <c r="AZ368" s="61">
        <v>7</v>
      </c>
      <c r="BA368" s="61">
        <v>4</v>
      </c>
      <c r="BB368" s="63">
        <f t="shared" si="77"/>
        <v>0.5714285714285714</v>
      </c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</row>
    <row r="369" spans="1:87" x14ac:dyDescent="0.25">
      <c r="A369" s="116">
        <v>21610</v>
      </c>
      <c r="B369" s="116">
        <v>21267</v>
      </c>
      <c r="C369" s="116">
        <v>1050553153</v>
      </c>
      <c r="D369" s="116" t="s">
        <v>543</v>
      </c>
      <c r="E369" s="116" t="s">
        <v>544</v>
      </c>
      <c r="F369" s="116" t="s">
        <v>544</v>
      </c>
      <c r="G369" s="116" t="s">
        <v>301</v>
      </c>
      <c r="H369" s="116" t="s">
        <v>301</v>
      </c>
      <c r="I369" s="116" t="s">
        <v>1218</v>
      </c>
      <c r="J369" s="116" t="s">
        <v>221</v>
      </c>
      <c r="K369" s="116" t="s">
        <v>542</v>
      </c>
      <c r="L369" s="116">
        <v>23012</v>
      </c>
      <c r="M369" s="116"/>
      <c r="N369" s="116"/>
      <c r="O369" s="152"/>
      <c r="P369" s="153">
        <v>655392</v>
      </c>
      <c r="Q369" s="61">
        <v>0</v>
      </c>
      <c r="R369" s="63">
        <f t="shared" si="65"/>
        <v>0</v>
      </c>
      <c r="S369" s="61">
        <v>68190</v>
      </c>
      <c r="T369" s="61">
        <v>0</v>
      </c>
      <c r="U369" s="63">
        <f t="shared" si="66"/>
        <v>0</v>
      </c>
      <c r="V369" s="61">
        <v>190599.23581315292</v>
      </c>
      <c r="W369" s="61">
        <v>0</v>
      </c>
      <c r="X369" s="63">
        <f t="shared" si="67"/>
        <v>0</v>
      </c>
      <c r="Y369" s="61">
        <v>8358</v>
      </c>
      <c r="Z369" s="102">
        <v>0</v>
      </c>
      <c r="AA369" s="63">
        <f t="shared" si="68"/>
        <v>0</v>
      </c>
      <c r="AB369" s="61">
        <v>120</v>
      </c>
      <c r="AC369" s="61">
        <v>0</v>
      </c>
      <c r="AD369" s="63">
        <f t="shared" si="69"/>
        <v>0</v>
      </c>
      <c r="AE369" s="61">
        <v>16</v>
      </c>
      <c r="AF369" s="61">
        <v>0</v>
      </c>
      <c r="AG369" s="63">
        <f t="shared" si="70"/>
        <v>0</v>
      </c>
      <c r="AH369" s="61">
        <v>586.68607557298355</v>
      </c>
      <c r="AI369" s="61">
        <v>0</v>
      </c>
      <c r="AJ369" s="63">
        <f t="shared" si="71"/>
        <v>0</v>
      </c>
      <c r="AK369" s="61">
        <v>27.063690846657479</v>
      </c>
      <c r="AL369" s="61">
        <v>0</v>
      </c>
      <c r="AM369" s="63">
        <f t="shared" si="72"/>
        <v>0</v>
      </c>
      <c r="AN369" s="61">
        <v>29.571434815436476</v>
      </c>
      <c r="AO369" s="61">
        <v>0</v>
      </c>
      <c r="AP369" s="63">
        <f t="shared" si="73"/>
        <v>0</v>
      </c>
      <c r="AQ369" s="61">
        <v>55.558563956861207</v>
      </c>
      <c r="AR369" s="61">
        <v>0</v>
      </c>
      <c r="AS369" s="63">
        <f t="shared" si="74"/>
        <v>0</v>
      </c>
      <c r="AT369" s="61">
        <v>28</v>
      </c>
      <c r="AU369" s="61">
        <v>0</v>
      </c>
      <c r="AV369" s="63">
        <f t="shared" si="75"/>
        <v>0</v>
      </c>
      <c r="AW369" s="61">
        <v>19.181196868581271</v>
      </c>
      <c r="AX369" s="61">
        <v>0</v>
      </c>
      <c r="AY369" s="63">
        <f t="shared" si="76"/>
        <v>0</v>
      </c>
      <c r="AZ369" s="61">
        <v>41</v>
      </c>
      <c r="BA369" s="61">
        <v>0</v>
      </c>
      <c r="BB369" s="63">
        <f t="shared" si="77"/>
        <v>0</v>
      </c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</row>
    <row r="370" spans="1:87" x14ac:dyDescent="0.25">
      <c r="A370" s="207">
        <v>6104</v>
      </c>
      <c r="B370" s="207">
        <v>21610</v>
      </c>
      <c r="C370" s="207">
        <v>1056194085</v>
      </c>
      <c r="D370" s="207" t="s">
        <v>552</v>
      </c>
      <c r="E370" s="207" t="s">
        <v>546</v>
      </c>
      <c r="F370" s="207" t="s">
        <v>546</v>
      </c>
      <c r="G370" s="207" t="s">
        <v>233</v>
      </c>
      <c r="H370" s="207" t="s">
        <v>234</v>
      </c>
      <c r="I370" s="207" t="s">
        <v>1218</v>
      </c>
      <c r="J370" s="207" t="s">
        <v>221</v>
      </c>
      <c r="K370" s="207" t="s">
        <v>542</v>
      </c>
      <c r="L370" s="207">
        <v>23012</v>
      </c>
      <c r="M370" s="207"/>
      <c r="N370" s="207"/>
      <c r="O370" s="229"/>
      <c r="P370" s="230">
        <v>78266</v>
      </c>
      <c r="Q370" s="61">
        <v>137269.59</v>
      </c>
      <c r="R370" s="63">
        <f t="shared" si="65"/>
        <v>1.7538853397388392</v>
      </c>
      <c r="S370" s="61">
        <v>8906</v>
      </c>
      <c r="T370" s="61">
        <v>0</v>
      </c>
      <c r="U370" s="63">
        <f t="shared" si="66"/>
        <v>0</v>
      </c>
      <c r="V370" s="61">
        <v>19196.956743255949</v>
      </c>
      <c r="W370" s="61">
        <v>6234.34</v>
      </c>
      <c r="X370" s="63">
        <f t="shared" si="67"/>
        <v>0.32475668322741708</v>
      </c>
      <c r="Y370" s="61">
        <v>970</v>
      </c>
      <c r="Z370" s="102">
        <v>0</v>
      </c>
      <c r="AA370" s="63">
        <f t="shared" si="68"/>
        <v>0</v>
      </c>
      <c r="AB370" s="61">
        <v>16</v>
      </c>
      <c r="AC370" s="61">
        <v>14</v>
      </c>
      <c r="AD370" s="63">
        <f t="shared" si="69"/>
        <v>0.875</v>
      </c>
      <c r="AE370" s="61">
        <v>2</v>
      </c>
      <c r="AF370" s="61">
        <v>3</v>
      </c>
      <c r="AG370" s="63">
        <f t="shared" si="70"/>
        <v>1.5</v>
      </c>
      <c r="AH370" s="61">
        <v>92.430942270108289</v>
      </c>
      <c r="AI370" s="61">
        <v>102</v>
      </c>
      <c r="AJ370" s="63">
        <f t="shared" si="71"/>
        <v>1.1035265625868913</v>
      </c>
      <c r="AK370" s="61">
        <v>3.1839636290185269</v>
      </c>
      <c r="AL370" s="61">
        <v>2</v>
      </c>
      <c r="AM370" s="63">
        <f t="shared" si="72"/>
        <v>0.62814787888029688</v>
      </c>
      <c r="AN370" s="61">
        <v>3.6062725384678629</v>
      </c>
      <c r="AO370" s="61">
        <v>1</v>
      </c>
      <c r="AP370" s="63">
        <f t="shared" si="73"/>
        <v>0.27729462743957045</v>
      </c>
      <c r="AQ370" s="61">
        <v>4.4805293513597748</v>
      </c>
      <c r="AR370" s="61">
        <v>3</v>
      </c>
      <c r="AS370" s="63">
        <f t="shared" si="74"/>
        <v>0.66956374230414184</v>
      </c>
      <c r="AT370" s="61">
        <v>4</v>
      </c>
      <c r="AU370" s="61">
        <v>1</v>
      </c>
      <c r="AV370" s="63">
        <f t="shared" si="75"/>
        <v>0.25</v>
      </c>
      <c r="AW370" s="61">
        <v>2.2905918200350044</v>
      </c>
      <c r="AX370" s="61">
        <v>0</v>
      </c>
      <c r="AY370" s="63">
        <f t="shared" si="76"/>
        <v>0</v>
      </c>
      <c r="AZ370" s="61">
        <v>7</v>
      </c>
      <c r="BA370" s="61">
        <v>3</v>
      </c>
      <c r="BB370" s="63">
        <f t="shared" si="77"/>
        <v>0.42857142857142855</v>
      </c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</row>
    <row r="371" spans="1:87" x14ac:dyDescent="0.25">
      <c r="A371" s="128">
        <v>10134</v>
      </c>
      <c r="B371" s="128">
        <v>21610</v>
      </c>
      <c r="C371" s="128">
        <v>1069670485</v>
      </c>
      <c r="D371" s="128" t="s">
        <v>554</v>
      </c>
      <c r="E371" s="128" t="s">
        <v>546</v>
      </c>
      <c r="F371" s="128" t="s">
        <v>546</v>
      </c>
      <c r="G371" s="128" t="s">
        <v>225</v>
      </c>
      <c r="H371" s="128" t="s">
        <v>226</v>
      </c>
      <c r="I371" s="128" t="s">
        <v>1218</v>
      </c>
      <c r="J371" s="128" t="s">
        <v>221</v>
      </c>
      <c r="K371" s="128" t="s">
        <v>542</v>
      </c>
      <c r="L371" s="128">
        <v>23012</v>
      </c>
      <c r="M371" s="128" t="s">
        <v>1215</v>
      </c>
      <c r="N371" s="128"/>
      <c r="O371" s="156"/>
      <c r="P371" s="157">
        <v>212391</v>
      </c>
      <c r="Q371" s="61">
        <v>226744.43000000002</v>
      </c>
      <c r="R371" s="63">
        <f t="shared" si="65"/>
        <v>1.0675802176175075</v>
      </c>
      <c r="S371" s="61">
        <v>16347</v>
      </c>
      <c r="T371" s="61">
        <v>6475.66</v>
      </c>
      <c r="U371" s="63">
        <f t="shared" si="66"/>
        <v>0.39613751758732491</v>
      </c>
      <c r="V371" s="61">
        <v>58345.826697491073</v>
      </c>
      <c r="W371" s="61">
        <v>53425.179999999978</v>
      </c>
      <c r="X371" s="63">
        <f t="shared" si="67"/>
        <v>0.91566411899511768</v>
      </c>
      <c r="Y371" s="61">
        <v>1737</v>
      </c>
      <c r="Z371" s="102">
        <v>0</v>
      </c>
      <c r="AA371" s="63">
        <f t="shared" si="68"/>
        <v>0</v>
      </c>
      <c r="AB371" s="61">
        <v>33</v>
      </c>
      <c r="AC371" s="61">
        <v>20</v>
      </c>
      <c r="AD371" s="63">
        <f t="shared" si="69"/>
        <v>0.60606060606060608</v>
      </c>
      <c r="AE371" s="61">
        <v>3</v>
      </c>
      <c r="AF371" s="61">
        <v>5</v>
      </c>
      <c r="AG371" s="63">
        <f t="shared" si="70"/>
        <v>1.6666666666666667</v>
      </c>
      <c r="AH371" s="61">
        <v>129.43094227010829</v>
      </c>
      <c r="AI371" s="61">
        <v>67</v>
      </c>
      <c r="AJ371" s="63">
        <f t="shared" si="71"/>
        <v>0.5176505619512396</v>
      </c>
      <c r="AK371" s="61">
        <v>7.9599090725463171</v>
      </c>
      <c r="AL371" s="61">
        <v>4</v>
      </c>
      <c r="AM371" s="63">
        <f t="shared" si="72"/>
        <v>0.50251830310423751</v>
      </c>
      <c r="AN371" s="61">
        <v>3.6062725384678629</v>
      </c>
      <c r="AO371" s="61">
        <v>1</v>
      </c>
      <c r="AP371" s="63">
        <f t="shared" si="73"/>
        <v>0.27729462743957045</v>
      </c>
      <c r="AQ371" s="61">
        <v>15.233799794623234</v>
      </c>
      <c r="AR371" s="61">
        <v>9</v>
      </c>
      <c r="AS371" s="63">
        <f t="shared" si="74"/>
        <v>0.59079153732718392</v>
      </c>
      <c r="AT371" s="61">
        <v>7</v>
      </c>
      <c r="AU371" s="61">
        <v>4</v>
      </c>
      <c r="AV371" s="63">
        <f t="shared" si="75"/>
        <v>0.5714285714285714</v>
      </c>
      <c r="AW371" s="61">
        <v>6.2159952884912304</v>
      </c>
      <c r="AX371" s="61">
        <v>1</v>
      </c>
      <c r="AY371" s="63">
        <f t="shared" si="76"/>
        <v>0.16087528281295138</v>
      </c>
      <c r="AZ371" s="61">
        <v>7</v>
      </c>
      <c r="BA371" s="61">
        <v>17</v>
      </c>
      <c r="BB371" s="63">
        <f t="shared" si="77"/>
        <v>2.4285714285714284</v>
      </c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</row>
    <row r="372" spans="1:87" x14ac:dyDescent="0.25">
      <c r="A372" s="128">
        <v>9814</v>
      </c>
      <c r="B372" s="128">
        <v>21610</v>
      </c>
      <c r="C372" s="128">
        <v>1073012492</v>
      </c>
      <c r="D372" s="128" t="s">
        <v>555</v>
      </c>
      <c r="E372" s="128" t="s">
        <v>546</v>
      </c>
      <c r="F372" s="128" t="s">
        <v>546</v>
      </c>
      <c r="G372" s="128" t="s">
        <v>238</v>
      </c>
      <c r="H372" s="128" t="s">
        <v>239</v>
      </c>
      <c r="I372" s="128" t="s">
        <v>1218</v>
      </c>
      <c r="J372" s="128" t="s">
        <v>221</v>
      </c>
      <c r="K372" s="128" t="s">
        <v>542</v>
      </c>
      <c r="L372" s="128">
        <v>23012</v>
      </c>
      <c r="M372" s="128"/>
      <c r="N372" s="128"/>
      <c r="O372" s="156"/>
      <c r="P372" s="157">
        <v>101363</v>
      </c>
      <c r="Q372" s="61">
        <v>134691.52000000002</v>
      </c>
      <c r="R372" s="63">
        <f t="shared" si="65"/>
        <v>1.3288036068387876</v>
      </c>
      <c r="S372" s="61">
        <v>9934</v>
      </c>
      <c r="T372" s="61">
        <v>2868.7</v>
      </c>
      <c r="U372" s="63">
        <f t="shared" si="66"/>
        <v>0.2887759210791222</v>
      </c>
      <c r="V372" s="61">
        <v>25349.417118260368</v>
      </c>
      <c r="W372" s="61">
        <v>18192.57</v>
      </c>
      <c r="X372" s="63">
        <f t="shared" si="67"/>
        <v>0.71767212299706262</v>
      </c>
      <c r="Y372" s="61">
        <v>840</v>
      </c>
      <c r="Z372" s="102">
        <v>280</v>
      </c>
      <c r="AA372" s="63">
        <f t="shared" si="68"/>
        <v>0.33333333333333331</v>
      </c>
      <c r="AB372" s="61">
        <v>17</v>
      </c>
      <c r="AC372" s="61">
        <v>9</v>
      </c>
      <c r="AD372" s="63">
        <f t="shared" si="69"/>
        <v>0.52941176470588236</v>
      </c>
      <c r="AE372" s="61">
        <v>2</v>
      </c>
      <c r="AF372" s="61">
        <v>0</v>
      </c>
      <c r="AG372" s="63">
        <f t="shared" si="70"/>
        <v>0</v>
      </c>
      <c r="AH372" s="61">
        <v>84.430942270108289</v>
      </c>
      <c r="AI372" s="61">
        <v>47</v>
      </c>
      <c r="AJ372" s="63">
        <f t="shared" si="71"/>
        <v>0.55666795532897606</v>
      </c>
      <c r="AK372" s="61">
        <v>2.3879727217638953</v>
      </c>
      <c r="AL372" s="61">
        <v>0</v>
      </c>
      <c r="AM372" s="63">
        <f t="shared" si="72"/>
        <v>0</v>
      </c>
      <c r="AN372" s="61">
        <v>3.6062725384678629</v>
      </c>
      <c r="AO372" s="61">
        <v>1</v>
      </c>
      <c r="AP372" s="63">
        <f t="shared" si="73"/>
        <v>0.27729462743957045</v>
      </c>
      <c r="AQ372" s="61">
        <v>8.0649528324475952</v>
      </c>
      <c r="AR372" s="61">
        <v>3</v>
      </c>
      <c r="AS372" s="63">
        <f t="shared" si="74"/>
        <v>0.37197985683563434</v>
      </c>
      <c r="AT372" s="61">
        <v>3</v>
      </c>
      <c r="AU372" s="61">
        <v>3</v>
      </c>
      <c r="AV372" s="63">
        <f t="shared" si="75"/>
        <v>1</v>
      </c>
      <c r="AW372" s="61">
        <v>2.9665660523625608</v>
      </c>
      <c r="AX372" s="61">
        <v>0</v>
      </c>
      <c r="AY372" s="63">
        <f t="shared" si="76"/>
        <v>0</v>
      </c>
      <c r="AZ372" s="61">
        <v>7</v>
      </c>
      <c r="BA372" s="61">
        <v>5</v>
      </c>
      <c r="BB372" s="63">
        <f t="shared" si="77"/>
        <v>0.7142857142857143</v>
      </c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</row>
    <row r="373" spans="1:87" x14ac:dyDescent="0.25">
      <c r="A373" s="128">
        <v>10041</v>
      </c>
      <c r="B373" s="128">
        <v>21610</v>
      </c>
      <c r="C373" s="128">
        <v>1064628553</v>
      </c>
      <c r="D373" s="128" t="s">
        <v>549</v>
      </c>
      <c r="E373" s="128" t="s">
        <v>546</v>
      </c>
      <c r="F373" s="128" t="s">
        <v>546</v>
      </c>
      <c r="G373" s="128" t="s">
        <v>403</v>
      </c>
      <c r="H373" s="128" t="s">
        <v>403</v>
      </c>
      <c r="I373" s="128" t="s">
        <v>1218</v>
      </c>
      <c r="J373" s="128" t="s">
        <v>221</v>
      </c>
      <c r="K373" s="128" t="s">
        <v>542</v>
      </c>
      <c r="L373" s="128">
        <v>23012</v>
      </c>
      <c r="M373" s="128" t="s">
        <v>1143</v>
      </c>
      <c r="N373" s="128"/>
      <c r="O373" s="156">
        <v>0.5</v>
      </c>
      <c r="P373" s="157">
        <v>75603</v>
      </c>
      <c r="Q373" s="61">
        <v>91445.440000000002</v>
      </c>
      <c r="R373" s="63">
        <f t="shared" si="65"/>
        <v>1.2095477692684153</v>
      </c>
      <c r="S373" s="61">
        <v>10023</v>
      </c>
      <c r="T373" s="61">
        <v>2086.09</v>
      </c>
      <c r="U373" s="63">
        <f t="shared" si="66"/>
        <v>0.20813030030928864</v>
      </c>
      <c r="V373" s="61">
        <v>22264.452829507743</v>
      </c>
      <c r="W373" s="61">
        <v>17107.18</v>
      </c>
      <c r="X373" s="63">
        <f t="shared" si="67"/>
        <v>0.76836292052627242</v>
      </c>
      <c r="Y373" s="61">
        <v>1085</v>
      </c>
      <c r="Z373" s="102">
        <v>0</v>
      </c>
      <c r="AA373" s="63">
        <f t="shared" si="68"/>
        <v>0</v>
      </c>
      <c r="AB373" s="61">
        <v>15</v>
      </c>
      <c r="AC373" s="61">
        <v>7</v>
      </c>
      <c r="AD373" s="63">
        <f t="shared" si="69"/>
        <v>0.46666666666666667</v>
      </c>
      <c r="AE373" s="61">
        <v>3</v>
      </c>
      <c r="AF373" s="61">
        <v>1</v>
      </c>
      <c r="AG373" s="63">
        <f t="shared" si="70"/>
        <v>0.33333333333333331</v>
      </c>
      <c r="AH373" s="61">
        <v>62.765682111221061</v>
      </c>
      <c r="AI373" s="61">
        <v>48</v>
      </c>
      <c r="AJ373" s="63">
        <f t="shared" si="71"/>
        <v>0.7647491174387907</v>
      </c>
      <c r="AK373" s="61">
        <v>5.5719363507824218</v>
      </c>
      <c r="AL373" s="61">
        <v>4</v>
      </c>
      <c r="AM373" s="63">
        <f t="shared" si="72"/>
        <v>0.71788329014891072</v>
      </c>
      <c r="AN373" s="61">
        <v>4.3275270461614355</v>
      </c>
      <c r="AO373" s="61">
        <v>2</v>
      </c>
      <c r="AP373" s="63">
        <f t="shared" si="73"/>
        <v>0.46215771239928405</v>
      </c>
      <c r="AQ373" s="61">
        <v>5.3766352216317301</v>
      </c>
      <c r="AR373" s="61">
        <v>4</v>
      </c>
      <c r="AS373" s="63">
        <f t="shared" si="74"/>
        <v>0.74395971367126867</v>
      </c>
      <c r="AT373" s="61">
        <v>9</v>
      </c>
      <c r="AU373" s="61">
        <v>1</v>
      </c>
      <c r="AV373" s="63">
        <f t="shared" si="75"/>
        <v>0.1111111111111111</v>
      </c>
      <c r="AW373" s="61">
        <v>2.2126544523817042</v>
      </c>
      <c r="AX373" s="61">
        <v>1</v>
      </c>
      <c r="AY373" s="63">
        <f t="shared" si="76"/>
        <v>0.45194585124830433</v>
      </c>
      <c r="AZ373" s="61">
        <v>3</v>
      </c>
      <c r="BA373" s="61">
        <v>7</v>
      </c>
      <c r="BB373" s="63">
        <f t="shared" si="77"/>
        <v>2.3333333333333335</v>
      </c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</row>
    <row r="374" spans="1:87" x14ac:dyDescent="0.25">
      <c r="A374" s="128">
        <v>27681</v>
      </c>
      <c r="B374" s="128">
        <v>21610</v>
      </c>
      <c r="C374" s="128">
        <v>1049980657</v>
      </c>
      <c r="D374" s="128" t="s">
        <v>557</v>
      </c>
      <c r="E374" s="128" t="s">
        <v>546</v>
      </c>
      <c r="F374" s="128" t="s">
        <v>546</v>
      </c>
      <c r="G374" s="128" t="s">
        <v>231</v>
      </c>
      <c r="H374" s="128" t="s">
        <v>231</v>
      </c>
      <c r="I374" s="128" t="s">
        <v>1218</v>
      </c>
      <c r="J374" s="128" t="s">
        <v>221</v>
      </c>
      <c r="K374" s="128" t="s">
        <v>542</v>
      </c>
      <c r="L374" s="128">
        <v>23012</v>
      </c>
      <c r="M374" s="128"/>
      <c r="N374" s="128"/>
      <c r="O374" s="156"/>
      <c r="P374" s="157">
        <v>75162</v>
      </c>
      <c r="Q374" s="61">
        <v>109946.98</v>
      </c>
      <c r="R374" s="63">
        <f t="shared" si="65"/>
        <v>1.4628000851494105</v>
      </c>
      <c r="S374" s="61">
        <v>11911</v>
      </c>
      <c r="T374" s="61">
        <v>5778.27</v>
      </c>
      <c r="U374" s="63">
        <f t="shared" si="66"/>
        <v>0.48512047687012011</v>
      </c>
      <c r="V374" s="61">
        <v>25931.815674937632</v>
      </c>
      <c r="W374" s="61">
        <v>11398.7</v>
      </c>
      <c r="X374" s="63">
        <f t="shared" si="67"/>
        <v>0.43956428438663175</v>
      </c>
      <c r="Y374" s="61">
        <v>1286</v>
      </c>
      <c r="Z374" s="102">
        <v>80</v>
      </c>
      <c r="AA374" s="63">
        <f t="shared" si="68"/>
        <v>6.2208398133748059E-2</v>
      </c>
      <c r="AB374" s="61">
        <v>15</v>
      </c>
      <c r="AC374" s="61">
        <v>3</v>
      </c>
      <c r="AD374" s="63">
        <f t="shared" si="69"/>
        <v>0.2</v>
      </c>
      <c r="AE374" s="61">
        <v>2</v>
      </c>
      <c r="AF374" s="61">
        <v>1</v>
      </c>
      <c r="AG374" s="63">
        <f t="shared" si="70"/>
        <v>0.5</v>
      </c>
      <c r="AH374" s="61">
        <v>94.430942270108289</v>
      </c>
      <c r="AI374" s="61">
        <v>63</v>
      </c>
      <c r="AJ374" s="63">
        <f t="shared" si="71"/>
        <v>0.66715420269551184</v>
      </c>
      <c r="AK374" s="61">
        <v>3.1839636290185269</v>
      </c>
      <c r="AL374" s="61">
        <v>1</v>
      </c>
      <c r="AM374" s="63">
        <f t="shared" si="72"/>
        <v>0.31407393944014844</v>
      </c>
      <c r="AN374" s="61">
        <v>1.4425090153871452</v>
      </c>
      <c r="AO374" s="61">
        <v>1</v>
      </c>
      <c r="AP374" s="63">
        <f t="shared" si="73"/>
        <v>0.69323656859892613</v>
      </c>
      <c r="AQ374" s="61">
        <v>6.2727410919036846</v>
      </c>
      <c r="AR374" s="61">
        <v>1</v>
      </c>
      <c r="AS374" s="63">
        <f t="shared" si="74"/>
        <v>0.1594199386438433</v>
      </c>
      <c r="AT374" s="61">
        <v>2</v>
      </c>
      <c r="AU374" s="61">
        <v>2</v>
      </c>
      <c r="AV374" s="63">
        <f t="shared" si="75"/>
        <v>1</v>
      </c>
      <c r="AW374" s="61">
        <v>2.1997478135776838</v>
      </c>
      <c r="AX374" s="61">
        <v>0</v>
      </c>
      <c r="AY374" s="63">
        <f t="shared" si="76"/>
        <v>0</v>
      </c>
      <c r="AZ374" s="61">
        <v>7</v>
      </c>
      <c r="BA374" s="61">
        <v>1</v>
      </c>
      <c r="BB374" s="63">
        <f t="shared" si="77"/>
        <v>0.14285714285714285</v>
      </c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</row>
    <row r="375" spans="1:87" x14ac:dyDescent="0.25">
      <c r="A375" s="213">
        <v>10139</v>
      </c>
      <c r="B375" s="213">
        <v>21610</v>
      </c>
      <c r="C375" s="213">
        <v>1073751818</v>
      </c>
      <c r="D375" s="213" t="s">
        <v>550</v>
      </c>
      <c r="E375" s="213" t="s">
        <v>546</v>
      </c>
      <c r="F375" s="213" t="s">
        <v>546</v>
      </c>
      <c r="G375" s="213" t="s">
        <v>402</v>
      </c>
      <c r="H375" s="213" t="s">
        <v>402</v>
      </c>
      <c r="I375" s="213" t="s">
        <v>1218</v>
      </c>
      <c r="J375" s="213" t="s">
        <v>221</v>
      </c>
      <c r="K375" s="213" t="s">
        <v>542</v>
      </c>
      <c r="L375" s="213">
        <v>23012</v>
      </c>
      <c r="M375" s="213" t="s">
        <v>1143</v>
      </c>
      <c r="N375" s="213"/>
      <c r="O375" s="231">
        <v>0.5</v>
      </c>
      <c r="P375" s="232">
        <v>60690</v>
      </c>
      <c r="Q375" s="61">
        <v>53328.709999999992</v>
      </c>
      <c r="R375" s="63">
        <f t="shared" si="65"/>
        <v>0.87870670621189639</v>
      </c>
      <c r="S375" s="61">
        <v>6682</v>
      </c>
      <c r="T375" s="61">
        <v>2086.09</v>
      </c>
      <c r="U375" s="63">
        <f t="shared" si="66"/>
        <v>0.31219545046393299</v>
      </c>
      <c r="V375" s="61">
        <v>16552.699196496789</v>
      </c>
      <c r="W375" s="61">
        <v>14046.52</v>
      </c>
      <c r="X375" s="63">
        <f t="shared" si="67"/>
        <v>0.84859392617808238</v>
      </c>
      <c r="Y375" s="61">
        <v>661</v>
      </c>
      <c r="Z375" s="102">
        <v>299</v>
      </c>
      <c r="AA375" s="63">
        <f t="shared" si="68"/>
        <v>0.45234493192133129</v>
      </c>
      <c r="AB375" s="61">
        <v>9</v>
      </c>
      <c r="AC375" s="61">
        <v>5</v>
      </c>
      <c r="AD375" s="63">
        <f t="shared" si="69"/>
        <v>0.55555555555555558</v>
      </c>
      <c r="AE375" s="61">
        <v>2</v>
      </c>
      <c r="AF375" s="61">
        <v>1</v>
      </c>
      <c r="AG375" s="63">
        <f t="shared" si="70"/>
        <v>0.5</v>
      </c>
      <c r="AH375" s="61">
        <v>47.765682111221061</v>
      </c>
      <c r="AI375" s="61">
        <v>33</v>
      </c>
      <c r="AJ375" s="63">
        <f t="shared" si="71"/>
        <v>0.69087257925387557</v>
      </c>
      <c r="AK375" s="61">
        <v>1.5919818145092635</v>
      </c>
      <c r="AL375" s="61">
        <v>1</v>
      </c>
      <c r="AM375" s="63">
        <f t="shared" si="72"/>
        <v>0.62814787888029688</v>
      </c>
      <c r="AN375" s="61">
        <v>1.4425090153871452</v>
      </c>
      <c r="AO375" s="61">
        <v>1</v>
      </c>
      <c r="AP375" s="63">
        <f t="shared" si="73"/>
        <v>0.69323656859892613</v>
      </c>
      <c r="AQ375" s="61">
        <v>5.3766352216317301</v>
      </c>
      <c r="AR375" s="61">
        <v>1</v>
      </c>
      <c r="AS375" s="63">
        <f t="shared" si="74"/>
        <v>0.18598992841781717</v>
      </c>
      <c r="AT375" s="61">
        <v>1</v>
      </c>
      <c r="AU375" s="61">
        <v>1</v>
      </c>
      <c r="AV375" s="63">
        <f t="shared" si="75"/>
        <v>1</v>
      </c>
      <c r="AW375" s="61">
        <v>1.7761993401722898</v>
      </c>
      <c r="AX375" s="61">
        <v>0</v>
      </c>
      <c r="AY375" s="63">
        <f t="shared" si="76"/>
        <v>0</v>
      </c>
      <c r="AZ375" s="61">
        <v>3</v>
      </c>
      <c r="BA375" s="61">
        <v>9</v>
      </c>
      <c r="BB375" s="63">
        <f t="shared" si="77"/>
        <v>3</v>
      </c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</row>
    <row r="376" spans="1:87" x14ac:dyDescent="0.25">
      <c r="A376" s="207">
        <v>10626</v>
      </c>
      <c r="B376" s="207">
        <v>21610</v>
      </c>
      <c r="C376" s="207">
        <v>1055300030</v>
      </c>
      <c r="D376" s="207" t="s">
        <v>574</v>
      </c>
      <c r="E376" s="207" t="s">
        <v>546</v>
      </c>
      <c r="F376" s="207" t="s">
        <v>546</v>
      </c>
      <c r="G376" s="207" t="s">
        <v>303</v>
      </c>
      <c r="H376" s="207" t="s">
        <v>303</v>
      </c>
      <c r="I376" s="207" t="s">
        <v>1218</v>
      </c>
      <c r="J376" s="207" t="s">
        <v>221</v>
      </c>
      <c r="K376" s="207" t="s">
        <v>542</v>
      </c>
      <c r="L376" s="207">
        <v>23012</v>
      </c>
      <c r="M376" s="207" t="s">
        <v>1222</v>
      </c>
      <c r="N376" s="207"/>
      <c r="O376" s="229"/>
      <c r="P376" s="230">
        <v>51917</v>
      </c>
      <c r="Q376" s="61">
        <v>56204.359999999993</v>
      </c>
      <c r="R376" s="63">
        <f t="shared" si="65"/>
        <v>1.0825810428183444</v>
      </c>
      <c r="S376" s="61">
        <v>4387</v>
      </c>
      <c r="T376" s="61">
        <v>3216.52</v>
      </c>
      <c r="U376" s="63">
        <f t="shared" si="66"/>
        <v>0.73319352632778667</v>
      </c>
      <c r="V376" s="61">
        <v>22958.067553203397</v>
      </c>
      <c r="W376" s="61">
        <v>8173.4700000000012</v>
      </c>
      <c r="X376" s="63">
        <f t="shared" si="67"/>
        <v>0.35601733382213768</v>
      </c>
      <c r="Y376" s="61">
        <v>1779</v>
      </c>
      <c r="Z376" s="102">
        <v>954</v>
      </c>
      <c r="AA376" s="63">
        <f t="shared" si="68"/>
        <v>0.53625632377740307</v>
      </c>
      <c r="AB376" s="61">
        <v>15</v>
      </c>
      <c r="AC376" s="61">
        <v>9</v>
      </c>
      <c r="AD376" s="63">
        <f t="shared" si="69"/>
        <v>0.6</v>
      </c>
      <c r="AE376" s="61">
        <v>2</v>
      </c>
      <c r="AF376" s="61">
        <v>1</v>
      </c>
      <c r="AG376" s="63">
        <f t="shared" si="70"/>
        <v>0.5</v>
      </c>
      <c r="AH376" s="61">
        <v>75.430942270108289</v>
      </c>
      <c r="AI376" s="61">
        <v>106</v>
      </c>
      <c r="AJ376" s="63">
        <f t="shared" si="71"/>
        <v>1.4052588607527656</v>
      </c>
      <c r="AK376" s="61">
        <v>3.1839636290185269</v>
      </c>
      <c r="AL376" s="61">
        <v>3</v>
      </c>
      <c r="AM376" s="63">
        <f t="shared" si="72"/>
        <v>0.94222181832044527</v>
      </c>
      <c r="AN376" s="61">
        <v>11.540072123097161</v>
      </c>
      <c r="AO376" s="61">
        <v>5</v>
      </c>
      <c r="AP376" s="63">
        <f t="shared" si="73"/>
        <v>0.4332728553743288</v>
      </c>
      <c r="AQ376" s="61">
        <v>10.75327044326346</v>
      </c>
      <c r="AR376" s="61">
        <v>5</v>
      </c>
      <c r="AS376" s="63">
        <f t="shared" si="74"/>
        <v>0.46497482104454291</v>
      </c>
      <c r="AT376" s="61">
        <v>2</v>
      </c>
      <c r="AU376" s="61">
        <v>0</v>
      </c>
      <c r="AV376" s="63">
        <f t="shared" si="75"/>
        <v>0</v>
      </c>
      <c r="AW376" s="61">
        <v>1.5194421015607968</v>
      </c>
      <c r="AX376" s="61">
        <v>0</v>
      </c>
      <c r="AY376" s="63">
        <f t="shared" si="76"/>
        <v>0</v>
      </c>
      <c r="AZ376" s="61">
        <v>7</v>
      </c>
      <c r="BA376" s="61">
        <v>5</v>
      </c>
      <c r="BB376" s="63">
        <f t="shared" si="77"/>
        <v>0.7142857142857143</v>
      </c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</row>
    <row r="377" spans="1:87" x14ac:dyDescent="0.25">
      <c r="A377" s="128">
        <v>10651</v>
      </c>
      <c r="B377" s="128">
        <v>12886</v>
      </c>
      <c r="C377" s="128">
        <v>1076339744</v>
      </c>
      <c r="D377" s="128" t="s">
        <v>595</v>
      </c>
      <c r="E377" s="128" t="s">
        <v>541</v>
      </c>
      <c r="F377" s="128" t="s">
        <v>541</v>
      </c>
      <c r="G377" s="128" t="s">
        <v>271</v>
      </c>
      <c r="H377" s="128" t="s">
        <v>271</v>
      </c>
      <c r="I377" s="128" t="s">
        <v>1218</v>
      </c>
      <c r="J377" s="128" t="s">
        <v>221</v>
      </c>
      <c r="K377" s="128" t="s">
        <v>561</v>
      </c>
      <c r="L377" s="128">
        <v>23015</v>
      </c>
      <c r="M377" s="128"/>
      <c r="N377" s="128"/>
      <c r="O377" s="156"/>
      <c r="P377" s="157">
        <v>356957</v>
      </c>
      <c r="Q377" s="61">
        <v>5303.48</v>
      </c>
      <c r="R377" s="63">
        <f t="shared" si="65"/>
        <v>1.485747583042215E-2</v>
      </c>
      <c r="S377" s="61">
        <v>33684</v>
      </c>
      <c r="T377" s="61">
        <v>0</v>
      </c>
      <c r="U377" s="63">
        <f t="shared" si="66"/>
        <v>0</v>
      </c>
      <c r="V377" s="61">
        <v>88800.866945195085</v>
      </c>
      <c r="W377" s="61">
        <v>0</v>
      </c>
      <c r="X377" s="63">
        <f t="shared" si="67"/>
        <v>0</v>
      </c>
      <c r="Y377" s="61">
        <v>3135</v>
      </c>
      <c r="Z377" s="102">
        <v>0</v>
      </c>
      <c r="AA377" s="63">
        <f t="shared" si="68"/>
        <v>0</v>
      </c>
      <c r="AB377" s="61">
        <v>51</v>
      </c>
      <c r="AC377" s="61">
        <v>0</v>
      </c>
      <c r="AD377" s="63">
        <f t="shared" si="69"/>
        <v>0</v>
      </c>
      <c r="AE377" s="61">
        <v>6</v>
      </c>
      <c r="AF377" s="61">
        <v>0</v>
      </c>
      <c r="AG377" s="63">
        <f t="shared" si="70"/>
        <v>0</v>
      </c>
      <c r="AH377" s="61">
        <v>250.19240485799105</v>
      </c>
      <c r="AI377" s="61">
        <v>1</v>
      </c>
      <c r="AJ377" s="63">
        <f t="shared" si="71"/>
        <v>3.9969238897064E-3</v>
      </c>
      <c r="AK377" s="61">
        <v>16.715809052347268</v>
      </c>
      <c r="AL377" s="61">
        <v>0</v>
      </c>
      <c r="AM377" s="63">
        <f t="shared" si="72"/>
        <v>0</v>
      </c>
      <c r="AN377" s="61">
        <v>18.031362692339314</v>
      </c>
      <c r="AO377" s="61">
        <v>4</v>
      </c>
      <c r="AP377" s="63">
        <f t="shared" si="73"/>
        <v>0.22183570195165636</v>
      </c>
      <c r="AQ377" s="61">
        <v>27.779281978430603</v>
      </c>
      <c r="AR377" s="61">
        <v>0</v>
      </c>
      <c r="AS377" s="63">
        <f t="shared" si="74"/>
        <v>0</v>
      </c>
      <c r="AT377" s="61">
        <v>21</v>
      </c>
      <c r="AU377" s="61">
        <v>0</v>
      </c>
      <c r="AV377" s="63">
        <f t="shared" si="75"/>
        <v>0</v>
      </c>
      <c r="AW377" s="61">
        <v>10.446972942327896</v>
      </c>
      <c r="AX377" s="61">
        <v>0</v>
      </c>
      <c r="AY377" s="63">
        <f t="shared" si="76"/>
        <v>0</v>
      </c>
      <c r="AZ377" s="61">
        <v>23</v>
      </c>
      <c r="BA377" s="61">
        <v>0</v>
      </c>
      <c r="BB377" s="63">
        <f t="shared" si="77"/>
        <v>0</v>
      </c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</row>
    <row r="378" spans="1:87" x14ac:dyDescent="0.25">
      <c r="A378" s="128">
        <v>21565</v>
      </c>
      <c r="B378" s="128">
        <v>10651</v>
      </c>
      <c r="C378" s="128">
        <v>1019390226</v>
      </c>
      <c r="D378" s="128" t="s">
        <v>563</v>
      </c>
      <c r="E378" s="128" t="s">
        <v>544</v>
      </c>
      <c r="F378" s="128" t="s">
        <v>544</v>
      </c>
      <c r="G378" s="128" t="s">
        <v>242</v>
      </c>
      <c r="H378" s="128" t="s">
        <v>242</v>
      </c>
      <c r="I378" s="128" t="s">
        <v>1218</v>
      </c>
      <c r="J378" s="128" t="s">
        <v>221</v>
      </c>
      <c r="K378" s="128" t="s">
        <v>561</v>
      </c>
      <c r="L378" s="128">
        <v>23015</v>
      </c>
      <c r="M378" s="128"/>
      <c r="N378" s="128"/>
      <c r="O378" s="156"/>
      <c r="P378" s="157">
        <v>356957</v>
      </c>
      <c r="Q378" s="61">
        <v>0</v>
      </c>
      <c r="R378" s="63">
        <f t="shared" si="65"/>
        <v>0</v>
      </c>
      <c r="S378" s="61">
        <v>33684</v>
      </c>
      <c r="T378" s="61">
        <v>0</v>
      </c>
      <c r="U378" s="63">
        <f t="shared" si="66"/>
        <v>0</v>
      </c>
      <c r="V378" s="61">
        <v>88800.866945195085</v>
      </c>
      <c r="W378" s="61">
        <v>0</v>
      </c>
      <c r="X378" s="63">
        <f t="shared" si="67"/>
        <v>0</v>
      </c>
      <c r="Y378" s="61">
        <v>3135</v>
      </c>
      <c r="Z378" s="102">
        <v>0</v>
      </c>
      <c r="AA378" s="63">
        <f t="shared" si="68"/>
        <v>0</v>
      </c>
      <c r="AB378" s="61">
        <v>51</v>
      </c>
      <c r="AC378" s="61">
        <v>0</v>
      </c>
      <c r="AD378" s="63">
        <f t="shared" si="69"/>
        <v>0</v>
      </c>
      <c r="AE378" s="61">
        <v>6</v>
      </c>
      <c r="AF378" s="61">
        <v>0</v>
      </c>
      <c r="AG378" s="63">
        <f t="shared" si="70"/>
        <v>0</v>
      </c>
      <c r="AH378" s="61">
        <v>250.19240485799105</v>
      </c>
      <c r="AI378" s="61">
        <v>0</v>
      </c>
      <c r="AJ378" s="63">
        <f t="shared" si="71"/>
        <v>0</v>
      </c>
      <c r="AK378" s="61">
        <v>16.715809052347268</v>
      </c>
      <c r="AL378" s="61">
        <v>0</v>
      </c>
      <c r="AM378" s="63">
        <f t="shared" si="72"/>
        <v>0</v>
      </c>
      <c r="AN378" s="61">
        <v>18.031362692339314</v>
      </c>
      <c r="AO378" s="61">
        <v>0</v>
      </c>
      <c r="AP378" s="63">
        <f t="shared" si="73"/>
        <v>0</v>
      </c>
      <c r="AQ378" s="61">
        <v>27.779281978430603</v>
      </c>
      <c r="AR378" s="61">
        <v>0</v>
      </c>
      <c r="AS378" s="63">
        <f t="shared" si="74"/>
        <v>0</v>
      </c>
      <c r="AT378" s="61">
        <v>21</v>
      </c>
      <c r="AU378" s="61">
        <v>0</v>
      </c>
      <c r="AV378" s="63">
        <f t="shared" si="75"/>
        <v>0</v>
      </c>
      <c r="AW378" s="61">
        <v>10.446972942327896</v>
      </c>
      <c r="AX378" s="61">
        <v>0</v>
      </c>
      <c r="AY378" s="63">
        <f t="shared" si="76"/>
        <v>0</v>
      </c>
      <c r="AZ378" s="61">
        <v>23</v>
      </c>
      <c r="BA378" s="61">
        <v>0</v>
      </c>
      <c r="BB378" s="63">
        <f t="shared" si="77"/>
        <v>0</v>
      </c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</row>
    <row r="379" spans="1:87" x14ac:dyDescent="0.25">
      <c r="A379" s="128">
        <v>10646</v>
      </c>
      <c r="B379" s="128">
        <v>21565</v>
      </c>
      <c r="C379" s="128">
        <v>1083220317</v>
      </c>
      <c r="D379" s="128" t="s">
        <v>1194</v>
      </c>
      <c r="E379" s="128" t="s">
        <v>546</v>
      </c>
      <c r="F379" s="128" t="s">
        <v>546</v>
      </c>
      <c r="G379" s="128" t="s">
        <v>240</v>
      </c>
      <c r="H379" s="128" t="s">
        <v>241</v>
      </c>
      <c r="I379" s="128" t="s">
        <v>1218</v>
      </c>
      <c r="J379" s="128" t="s">
        <v>221</v>
      </c>
      <c r="K379" s="128" t="s">
        <v>561</v>
      </c>
      <c r="L379" s="128">
        <v>23015</v>
      </c>
      <c r="M379" s="128" t="s">
        <v>1215</v>
      </c>
      <c r="N379" s="128"/>
      <c r="O379" s="156"/>
      <c r="P379" s="157">
        <v>131966</v>
      </c>
      <c r="Q379" s="61">
        <v>160504.38999999996</v>
      </c>
      <c r="R379" s="63">
        <f t="shared" si="65"/>
        <v>1.2162556264492366</v>
      </c>
      <c r="S379" s="61">
        <v>10750</v>
      </c>
      <c r="T379" s="61">
        <v>4672.75</v>
      </c>
      <c r="U379" s="63">
        <f t="shared" si="66"/>
        <v>0.43467441860465117</v>
      </c>
      <c r="V379" s="61">
        <v>30436.139001664753</v>
      </c>
      <c r="W379" s="61">
        <v>29329.729999999992</v>
      </c>
      <c r="X379" s="63">
        <f t="shared" si="67"/>
        <v>0.96364818147254994</v>
      </c>
      <c r="Y379" s="61">
        <v>753</v>
      </c>
      <c r="Z379" s="102">
        <v>952</v>
      </c>
      <c r="AA379" s="63">
        <f t="shared" si="68"/>
        <v>1.2642762284196547</v>
      </c>
      <c r="AB379" s="61">
        <v>21</v>
      </c>
      <c r="AC379" s="61">
        <v>20</v>
      </c>
      <c r="AD379" s="63">
        <f t="shared" si="69"/>
        <v>0.95238095238095233</v>
      </c>
      <c r="AE379" s="61">
        <v>2</v>
      </c>
      <c r="AF379" s="61">
        <v>1</v>
      </c>
      <c r="AG379" s="63">
        <f t="shared" si="70"/>
        <v>0.5</v>
      </c>
      <c r="AH379" s="61">
        <v>85.363994301885739</v>
      </c>
      <c r="AI379" s="61">
        <v>70</v>
      </c>
      <c r="AJ379" s="63">
        <f t="shared" si="71"/>
        <v>0.82001786083777084</v>
      </c>
      <c r="AK379" s="61">
        <v>6.3679272580370538</v>
      </c>
      <c r="AL379" s="61">
        <v>3</v>
      </c>
      <c r="AM379" s="63">
        <f t="shared" si="72"/>
        <v>0.47111090916022264</v>
      </c>
      <c r="AN379" s="61">
        <v>9.3763086000164435</v>
      </c>
      <c r="AO379" s="61">
        <v>15</v>
      </c>
      <c r="AP379" s="63">
        <f t="shared" si="73"/>
        <v>1.5997766967667526</v>
      </c>
      <c r="AQ379" s="61">
        <v>12.545482183807369</v>
      </c>
      <c r="AR379" s="61">
        <v>7</v>
      </c>
      <c r="AS379" s="63">
        <f t="shared" si="74"/>
        <v>0.55796978525345153</v>
      </c>
      <c r="AT379" s="61">
        <v>7</v>
      </c>
      <c r="AU379" s="61">
        <v>5</v>
      </c>
      <c r="AV379" s="63">
        <f t="shared" si="75"/>
        <v>0.7142857142857143</v>
      </c>
      <c r="AW379" s="61">
        <v>3.8622165451503774</v>
      </c>
      <c r="AX379" s="61">
        <v>1</v>
      </c>
      <c r="AY379" s="63">
        <f t="shared" si="76"/>
        <v>0.25891867747696795</v>
      </c>
      <c r="AZ379" s="61">
        <v>8</v>
      </c>
      <c r="BA379" s="61">
        <v>8</v>
      </c>
      <c r="BB379" s="63">
        <f t="shared" si="77"/>
        <v>1</v>
      </c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</row>
    <row r="380" spans="1:87" x14ac:dyDescent="0.25">
      <c r="A380" s="128">
        <v>3577</v>
      </c>
      <c r="B380" s="128">
        <v>21565</v>
      </c>
      <c r="C380" s="128">
        <v>1071212201</v>
      </c>
      <c r="D380" s="128" t="s">
        <v>562</v>
      </c>
      <c r="E380" s="128" t="s">
        <v>546</v>
      </c>
      <c r="F380" s="128" t="s">
        <v>546</v>
      </c>
      <c r="G380" s="128" t="s">
        <v>243</v>
      </c>
      <c r="H380" s="128" t="s">
        <v>244</v>
      </c>
      <c r="I380" s="128" t="s">
        <v>1218</v>
      </c>
      <c r="J380" s="128" t="s">
        <v>221</v>
      </c>
      <c r="K380" s="128" t="s">
        <v>561</v>
      </c>
      <c r="L380" s="128">
        <v>23015</v>
      </c>
      <c r="M380" s="128" t="s">
        <v>1146</v>
      </c>
      <c r="N380" s="128">
        <v>5</v>
      </c>
      <c r="O380" s="156">
        <v>0.1</v>
      </c>
      <c r="P380" s="157">
        <v>121611</v>
      </c>
      <c r="Q380" s="61">
        <v>33666.979999999996</v>
      </c>
      <c r="R380" s="63">
        <f t="shared" si="65"/>
        <v>0.27684156860810283</v>
      </c>
      <c r="S380" s="61">
        <v>13713</v>
      </c>
      <c r="T380" s="61">
        <v>7389.5599999999995</v>
      </c>
      <c r="U380" s="63">
        <f t="shared" si="66"/>
        <v>0.53887260263983083</v>
      </c>
      <c r="V380" s="61">
        <v>29846.005333958401</v>
      </c>
      <c r="W380" s="61">
        <v>10643.05</v>
      </c>
      <c r="X380" s="63">
        <f t="shared" si="67"/>
        <v>0.35659881049108016</v>
      </c>
      <c r="Y380" s="61">
        <v>1863</v>
      </c>
      <c r="Z380" s="102">
        <v>714</v>
      </c>
      <c r="AA380" s="63">
        <f t="shared" si="68"/>
        <v>0.38325281803542671</v>
      </c>
      <c r="AB380" s="61">
        <v>18</v>
      </c>
      <c r="AC380" s="61">
        <v>3</v>
      </c>
      <c r="AD380" s="63">
        <f t="shared" si="69"/>
        <v>0.16666666666666666</v>
      </c>
      <c r="AE380" s="61">
        <v>2</v>
      </c>
      <c r="AF380" s="61">
        <v>1</v>
      </c>
      <c r="AG380" s="63">
        <f t="shared" si="70"/>
        <v>0.5</v>
      </c>
      <c r="AH380" s="61">
        <v>95.464416254219572</v>
      </c>
      <c r="AI380" s="61">
        <v>38</v>
      </c>
      <c r="AJ380" s="63">
        <f t="shared" si="71"/>
        <v>0.39805407596906961</v>
      </c>
      <c r="AK380" s="61">
        <v>6.3679272580370538</v>
      </c>
      <c r="AL380" s="61">
        <v>2</v>
      </c>
      <c r="AM380" s="63">
        <f t="shared" si="72"/>
        <v>0.31407393944014844</v>
      </c>
      <c r="AN380" s="61">
        <v>3.6062725384678629</v>
      </c>
      <c r="AO380" s="61">
        <v>0</v>
      </c>
      <c r="AP380" s="63">
        <f t="shared" si="73"/>
        <v>0</v>
      </c>
      <c r="AQ380" s="61">
        <v>8.9610587027195496</v>
      </c>
      <c r="AR380" s="61">
        <v>3</v>
      </c>
      <c r="AS380" s="63">
        <f t="shared" si="74"/>
        <v>0.33478187115207092</v>
      </c>
      <c r="AT380" s="61">
        <v>7</v>
      </c>
      <c r="AU380" s="61">
        <v>2</v>
      </c>
      <c r="AV380" s="63">
        <f t="shared" si="75"/>
        <v>0.2857142857142857</v>
      </c>
      <c r="AW380" s="61">
        <v>3.5591593006704949</v>
      </c>
      <c r="AX380" s="61">
        <v>0</v>
      </c>
      <c r="AY380" s="63">
        <f t="shared" si="76"/>
        <v>0</v>
      </c>
      <c r="AZ380" s="61">
        <v>7</v>
      </c>
      <c r="BA380" s="61">
        <v>2</v>
      </c>
      <c r="BB380" s="63">
        <f t="shared" si="77"/>
        <v>0.2857142857142857</v>
      </c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</row>
    <row r="381" spans="1:87" x14ac:dyDescent="0.25">
      <c r="A381" s="128">
        <v>894</v>
      </c>
      <c r="B381" s="128">
        <v>21565</v>
      </c>
      <c r="C381" s="128">
        <v>1071143844</v>
      </c>
      <c r="D381" s="128" t="s">
        <v>564</v>
      </c>
      <c r="E381" s="128" t="s">
        <v>546</v>
      </c>
      <c r="F381" s="128" t="s">
        <v>546</v>
      </c>
      <c r="G381" s="128" t="s">
        <v>245</v>
      </c>
      <c r="H381" s="128" t="s">
        <v>246</v>
      </c>
      <c r="I381" s="128" t="s">
        <v>1218</v>
      </c>
      <c r="J381" s="128" t="s">
        <v>221</v>
      </c>
      <c r="K381" s="128" t="s">
        <v>561</v>
      </c>
      <c r="L381" s="128">
        <v>23015</v>
      </c>
      <c r="M381" s="128"/>
      <c r="N381" s="128"/>
      <c r="O381" s="156"/>
      <c r="P381" s="157">
        <v>103380</v>
      </c>
      <c r="Q381" s="61">
        <v>73464.350000000006</v>
      </c>
      <c r="R381" s="63">
        <f t="shared" si="65"/>
        <v>0.71062439543431999</v>
      </c>
      <c r="S381" s="61">
        <v>9221</v>
      </c>
      <c r="T381" s="61">
        <v>0</v>
      </c>
      <c r="U381" s="63">
        <f t="shared" si="66"/>
        <v>0</v>
      </c>
      <c r="V381" s="61">
        <v>28518.722609571923</v>
      </c>
      <c r="W381" s="61">
        <v>21924.79</v>
      </c>
      <c r="X381" s="63">
        <f t="shared" si="67"/>
        <v>0.76878583589298777</v>
      </c>
      <c r="Y381" s="61">
        <v>519</v>
      </c>
      <c r="Z381" s="102">
        <v>714</v>
      </c>
      <c r="AA381" s="63">
        <f t="shared" si="68"/>
        <v>1.3757225433526012</v>
      </c>
      <c r="AB381" s="61">
        <v>12</v>
      </c>
      <c r="AC381" s="61">
        <v>8</v>
      </c>
      <c r="AD381" s="63">
        <f t="shared" si="69"/>
        <v>0.66666666666666663</v>
      </c>
      <c r="AE381" s="61">
        <v>2</v>
      </c>
      <c r="AF381" s="61">
        <v>1</v>
      </c>
      <c r="AG381" s="63">
        <f t="shared" si="70"/>
        <v>0.5</v>
      </c>
      <c r="AH381" s="61">
        <v>69.363994301885739</v>
      </c>
      <c r="AI381" s="61">
        <v>53</v>
      </c>
      <c r="AJ381" s="63">
        <f t="shared" si="71"/>
        <v>0.76408517896667805</v>
      </c>
      <c r="AK381" s="61">
        <v>3.9799545362731585</v>
      </c>
      <c r="AL381" s="61">
        <v>5</v>
      </c>
      <c r="AM381" s="63">
        <f t="shared" si="72"/>
        <v>1.2562957577605938</v>
      </c>
      <c r="AN381" s="61">
        <v>5.048781553855008</v>
      </c>
      <c r="AO381" s="61">
        <v>16</v>
      </c>
      <c r="AP381" s="63">
        <f t="shared" si="73"/>
        <v>3.1690814564522336</v>
      </c>
      <c r="AQ381" s="61">
        <v>6.2727410919036846</v>
      </c>
      <c r="AR381" s="61">
        <v>6</v>
      </c>
      <c r="AS381" s="63">
        <f t="shared" si="74"/>
        <v>0.95651963186305977</v>
      </c>
      <c r="AT381" s="61">
        <v>7</v>
      </c>
      <c r="AU381" s="61">
        <v>5</v>
      </c>
      <c r="AV381" s="63">
        <f t="shared" si="75"/>
        <v>0.7142857142857143</v>
      </c>
      <c r="AW381" s="61">
        <v>3.0255970965070245</v>
      </c>
      <c r="AX381" s="61">
        <v>0</v>
      </c>
      <c r="AY381" s="63">
        <f t="shared" si="76"/>
        <v>0</v>
      </c>
      <c r="AZ381" s="61">
        <v>8</v>
      </c>
      <c r="BA381" s="61">
        <v>1</v>
      </c>
      <c r="BB381" s="63">
        <f t="shared" si="77"/>
        <v>0.125</v>
      </c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</row>
    <row r="382" spans="1:87" x14ac:dyDescent="0.25">
      <c r="A382" s="128">
        <v>21683</v>
      </c>
      <c r="B382" s="128">
        <v>12886</v>
      </c>
      <c r="C382" s="128">
        <v>1020480669</v>
      </c>
      <c r="D382" s="128" t="s">
        <v>565</v>
      </c>
      <c r="E382" s="128" t="s">
        <v>541</v>
      </c>
      <c r="F382" s="128" t="s">
        <v>541</v>
      </c>
      <c r="G382" s="128" t="s">
        <v>257</v>
      </c>
      <c r="H382" s="128" t="s">
        <v>257</v>
      </c>
      <c r="I382" s="128" t="s">
        <v>1218</v>
      </c>
      <c r="J382" s="128" t="s">
        <v>221</v>
      </c>
      <c r="K382" s="128" t="s">
        <v>566</v>
      </c>
      <c r="L382" s="128">
        <v>33027</v>
      </c>
      <c r="M382" s="128" t="s">
        <v>1211</v>
      </c>
      <c r="N382" s="128"/>
      <c r="O382" s="156"/>
      <c r="P382" s="157">
        <v>693646</v>
      </c>
      <c r="Q382" s="61">
        <v>0</v>
      </c>
      <c r="R382" s="63">
        <f t="shared" si="65"/>
        <v>0</v>
      </c>
      <c r="S382" s="61">
        <v>41135</v>
      </c>
      <c r="T382" s="61">
        <v>0</v>
      </c>
      <c r="U382" s="63">
        <f t="shared" si="66"/>
        <v>0</v>
      </c>
      <c r="V382" s="61">
        <v>238650.37003640391</v>
      </c>
      <c r="W382" s="61">
        <v>0</v>
      </c>
      <c r="X382" s="63">
        <f t="shared" si="67"/>
        <v>0</v>
      </c>
      <c r="Y382" s="61">
        <v>8457</v>
      </c>
      <c r="Z382" s="102">
        <v>0</v>
      </c>
      <c r="AA382" s="63">
        <f t="shared" si="68"/>
        <v>0</v>
      </c>
      <c r="AB382" s="61">
        <v>207</v>
      </c>
      <c r="AC382" s="61">
        <v>0</v>
      </c>
      <c r="AD382" s="63">
        <f t="shared" si="69"/>
        <v>0</v>
      </c>
      <c r="AE382" s="61">
        <v>24</v>
      </c>
      <c r="AF382" s="61">
        <v>0</v>
      </c>
      <c r="AG382" s="63">
        <f t="shared" si="70"/>
        <v>0</v>
      </c>
      <c r="AH382" s="61">
        <v>669.58143409731144</v>
      </c>
      <c r="AI382" s="61">
        <v>0</v>
      </c>
      <c r="AJ382" s="63">
        <f t="shared" si="71"/>
        <v>0</v>
      </c>
      <c r="AK382" s="61">
        <v>35.81959082645843</v>
      </c>
      <c r="AL382" s="61">
        <v>0</v>
      </c>
      <c r="AM382" s="63">
        <f t="shared" si="72"/>
        <v>0</v>
      </c>
      <c r="AN382" s="61">
        <v>25.24390776927504</v>
      </c>
      <c r="AO382" s="61">
        <v>0</v>
      </c>
      <c r="AP382" s="63">
        <f t="shared" si="73"/>
        <v>0</v>
      </c>
      <c r="AQ382" s="61">
        <v>96.779433989371142</v>
      </c>
      <c r="AR382" s="61">
        <v>0</v>
      </c>
      <c r="AS382" s="63">
        <f t="shared" si="74"/>
        <v>0</v>
      </c>
      <c r="AT382" s="61">
        <v>48</v>
      </c>
      <c r="AU382" s="61">
        <v>0</v>
      </c>
      <c r="AV382" s="63">
        <f t="shared" si="75"/>
        <v>0</v>
      </c>
      <c r="AW382" s="61">
        <v>20.300767301254705</v>
      </c>
      <c r="AX382" s="61">
        <v>0</v>
      </c>
      <c r="AY382" s="63">
        <f t="shared" si="76"/>
        <v>0</v>
      </c>
      <c r="AZ382" s="61">
        <v>81</v>
      </c>
      <c r="BA382" s="61">
        <v>0</v>
      </c>
      <c r="BB382" s="63">
        <f t="shared" si="77"/>
        <v>0</v>
      </c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</row>
    <row r="383" spans="1:87" x14ac:dyDescent="0.25">
      <c r="A383" s="128">
        <v>21142</v>
      </c>
      <c r="B383" s="128">
        <v>21683</v>
      </c>
      <c r="C383" s="128">
        <v>1015062647</v>
      </c>
      <c r="D383" s="128" t="s">
        <v>571</v>
      </c>
      <c r="E383" s="128" t="s">
        <v>544</v>
      </c>
      <c r="F383" s="128" t="s">
        <v>544</v>
      </c>
      <c r="G383" s="128" t="s">
        <v>118</v>
      </c>
      <c r="H383" s="128" t="s">
        <v>118</v>
      </c>
      <c r="I383" s="128" t="s">
        <v>1218</v>
      </c>
      <c r="J383" s="128" t="s">
        <v>221</v>
      </c>
      <c r="K383" s="128" t="s">
        <v>566</v>
      </c>
      <c r="L383" s="128">
        <v>33027</v>
      </c>
      <c r="M383" s="128"/>
      <c r="N383" s="128"/>
      <c r="O383" s="156"/>
      <c r="P383" s="157">
        <v>335376</v>
      </c>
      <c r="Q383" s="61">
        <v>0</v>
      </c>
      <c r="R383" s="63">
        <f t="shared" si="65"/>
        <v>0</v>
      </c>
      <c r="S383" s="61">
        <v>23430</v>
      </c>
      <c r="T383" s="61">
        <v>0</v>
      </c>
      <c r="U383" s="63">
        <f t="shared" si="66"/>
        <v>0</v>
      </c>
      <c r="V383" s="61">
        <v>130786.3056031606</v>
      </c>
      <c r="W383" s="61">
        <v>0</v>
      </c>
      <c r="X383" s="63">
        <f t="shared" si="67"/>
        <v>0</v>
      </c>
      <c r="Y383" s="61">
        <v>6652</v>
      </c>
      <c r="Z383" s="102">
        <v>0</v>
      </c>
      <c r="AA383" s="63">
        <f t="shared" si="68"/>
        <v>0</v>
      </c>
      <c r="AB383" s="61">
        <v>107</v>
      </c>
      <c r="AC383" s="61">
        <v>2</v>
      </c>
      <c r="AD383" s="63">
        <f t="shared" si="69"/>
        <v>1.8691588785046728E-2</v>
      </c>
      <c r="AE383" s="61">
        <v>13</v>
      </c>
      <c r="AF383" s="61">
        <v>0</v>
      </c>
      <c r="AG383" s="63">
        <f t="shared" si="70"/>
        <v>0</v>
      </c>
      <c r="AH383" s="61">
        <v>320.82419103276703</v>
      </c>
      <c r="AI383" s="61">
        <v>1</v>
      </c>
      <c r="AJ383" s="63">
        <f t="shared" si="71"/>
        <v>3.1169719365017148E-3</v>
      </c>
      <c r="AK383" s="61">
        <v>15.919818145092634</v>
      </c>
      <c r="AL383" s="61">
        <v>0</v>
      </c>
      <c r="AM383" s="63">
        <f t="shared" si="72"/>
        <v>0</v>
      </c>
      <c r="AN383" s="61">
        <v>11.540072123097161</v>
      </c>
      <c r="AO383" s="61">
        <v>1</v>
      </c>
      <c r="AP383" s="63">
        <f t="shared" si="73"/>
        <v>8.6654571074865766E-2</v>
      </c>
      <c r="AQ383" s="61">
        <v>44.805293513597746</v>
      </c>
      <c r="AR383" s="61">
        <v>0</v>
      </c>
      <c r="AS383" s="63">
        <f t="shared" si="74"/>
        <v>0</v>
      </c>
      <c r="AT383" s="61">
        <v>17</v>
      </c>
      <c r="AU383" s="61">
        <v>0</v>
      </c>
      <c r="AV383" s="63">
        <f t="shared" si="75"/>
        <v>0</v>
      </c>
      <c r="AW383" s="61">
        <v>9.8153671100613256</v>
      </c>
      <c r="AX383" s="61">
        <v>0</v>
      </c>
      <c r="AY383" s="63">
        <f t="shared" si="76"/>
        <v>0</v>
      </c>
      <c r="AZ383" s="61">
        <v>40</v>
      </c>
      <c r="BA383" s="61">
        <v>0</v>
      </c>
      <c r="BB383" s="63">
        <f t="shared" si="77"/>
        <v>0</v>
      </c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</row>
    <row r="384" spans="1:87" x14ac:dyDescent="0.25">
      <c r="A384" s="128">
        <v>904</v>
      </c>
      <c r="B384" s="128">
        <v>21142</v>
      </c>
      <c r="C384" s="128">
        <v>1013150469</v>
      </c>
      <c r="D384" s="128" t="s">
        <v>577</v>
      </c>
      <c r="E384" s="128" t="s">
        <v>546</v>
      </c>
      <c r="F384" s="128" t="s">
        <v>546</v>
      </c>
      <c r="G384" s="128" t="s">
        <v>407</v>
      </c>
      <c r="H384" s="128" t="s">
        <v>408</v>
      </c>
      <c r="I384" s="128" t="s">
        <v>1218</v>
      </c>
      <c r="J384" s="128" t="s">
        <v>221</v>
      </c>
      <c r="K384" s="128" t="s">
        <v>566</v>
      </c>
      <c r="L384" s="128">
        <v>33027</v>
      </c>
      <c r="M384" s="128" t="s">
        <v>1147</v>
      </c>
      <c r="N384" s="128">
        <v>5</v>
      </c>
      <c r="O384" s="156">
        <v>0.5</v>
      </c>
      <c r="P384" s="157">
        <v>30098</v>
      </c>
      <c r="Q384" s="61">
        <v>19206.079999999998</v>
      </c>
      <c r="R384" s="63">
        <f t="shared" si="65"/>
        <v>0.63811814738520822</v>
      </c>
      <c r="S384" s="61">
        <v>1617</v>
      </c>
      <c r="T384" s="61">
        <v>0</v>
      </c>
      <c r="U384" s="63">
        <f t="shared" si="66"/>
        <v>0</v>
      </c>
      <c r="V384" s="61">
        <v>10370.897893780982</v>
      </c>
      <c r="W384" s="61">
        <v>2515.65</v>
      </c>
      <c r="X384" s="63">
        <f t="shared" si="67"/>
        <v>0.2425681966754813</v>
      </c>
      <c r="Y384" s="61">
        <v>142</v>
      </c>
      <c r="Z384" s="102">
        <v>0</v>
      </c>
      <c r="AA384" s="63">
        <f t="shared" si="68"/>
        <v>0</v>
      </c>
      <c r="AB384" s="61">
        <v>11</v>
      </c>
      <c r="AC384" s="61">
        <v>2</v>
      </c>
      <c r="AD384" s="63">
        <f t="shared" si="69"/>
        <v>0.18181818181818182</v>
      </c>
      <c r="AE384" s="61">
        <v>1</v>
      </c>
      <c r="AF384" s="61">
        <v>0</v>
      </c>
      <c r="AG384" s="63">
        <f t="shared" si="70"/>
        <v>0</v>
      </c>
      <c r="AH384" s="61">
        <v>18.765682111221064</v>
      </c>
      <c r="AI384" s="61">
        <v>9</v>
      </c>
      <c r="AJ384" s="63">
        <f t="shared" si="71"/>
        <v>0.47959887344667262</v>
      </c>
      <c r="AK384" s="61">
        <v>1.5919818145092635</v>
      </c>
      <c r="AL384" s="61">
        <v>0</v>
      </c>
      <c r="AM384" s="63">
        <f t="shared" si="72"/>
        <v>0</v>
      </c>
      <c r="AN384" s="61">
        <v>0.72125450769357258</v>
      </c>
      <c r="AO384" s="61">
        <v>0</v>
      </c>
      <c r="AP384" s="63">
        <f t="shared" si="73"/>
        <v>0</v>
      </c>
      <c r="AQ384" s="61">
        <v>5.3766352216317301</v>
      </c>
      <c r="AR384" s="61">
        <v>0</v>
      </c>
      <c r="AS384" s="63">
        <f t="shared" si="74"/>
        <v>0</v>
      </c>
      <c r="AT384" s="61">
        <v>2</v>
      </c>
      <c r="AU384" s="61">
        <v>5</v>
      </c>
      <c r="AV384" s="63">
        <f t="shared" si="75"/>
        <v>2.5</v>
      </c>
      <c r="AW384" s="61">
        <v>0.88087078168570732</v>
      </c>
      <c r="AX384" s="61">
        <v>0</v>
      </c>
      <c r="AY384" s="63">
        <f t="shared" si="76"/>
        <v>0</v>
      </c>
      <c r="AZ384" s="61">
        <v>4</v>
      </c>
      <c r="BA384" s="61">
        <v>0</v>
      </c>
      <c r="BB384" s="63">
        <f t="shared" si="77"/>
        <v>0</v>
      </c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</row>
    <row r="385" spans="1:87" x14ac:dyDescent="0.25">
      <c r="A385" s="128">
        <v>10129</v>
      </c>
      <c r="B385" s="128">
        <v>21142</v>
      </c>
      <c r="C385" s="128">
        <v>1028736880</v>
      </c>
      <c r="D385" s="128" t="s">
        <v>568</v>
      </c>
      <c r="E385" s="128" t="s">
        <v>546</v>
      </c>
      <c r="F385" s="128" t="s">
        <v>546</v>
      </c>
      <c r="G385" s="128" t="s">
        <v>405</v>
      </c>
      <c r="H385" s="128" t="s">
        <v>406</v>
      </c>
      <c r="I385" s="128" t="s">
        <v>1218</v>
      </c>
      <c r="J385" s="128" t="s">
        <v>221</v>
      </c>
      <c r="K385" s="128" t="s">
        <v>566</v>
      </c>
      <c r="L385" s="128">
        <v>33027</v>
      </c>
      <c r="M385" s="128"/>
      <c r="N385" s="128"/>
      <c r="O385" s="156"/>
      <c r="P385" s="157">
        <v>66706</v>
      </c>
      <c r="Q385" s="61">
        <v>62797.4</v>
      </c>
      <c r="R385" s="63">
        <f t="shared" si="65"/>
        <v>0.94140557071327924</v>
      </c>
      <c r="S385" s="61">
        <v>4335</v>
      </c>
      <c r="T385" s="61">
        <v>0</v>
      </c>
      <c r="U385" s="63">
        <f t="shared" si="66"/>
        <v>0</v>
      </c>
      <c r="V385" s="61">
        <v>22255.060082087635</v>
      </c>
      <c r="W385" s="61">
        <v>7660.44</v>
      </c>
      <c r="X385" s="63">
        <f t="shared" si="67"/>
        <v>0.34421115790047385</v>
      </c>
      <c r="Y385" s="61">
        <v>196</v>
      </c>
      <c r="Z385" s="102">
        <v>0</v>
      </c>
      <c r="AA385" s="63">
        <f t="shared" si="68"/>
        <v>0</v>
      </c>
      <c r="AB385" s="61">
        <v>13</v>
      </c>
      <c r="AC385" s="61">
        <v>8</v>
      </c>
      <c r="AD385" s="63">
        <f t="shared" si="69"/>
        <v>0.61538461538461542</v>
      </c>
      <c r="AE385" s="61">
        <v>1</v>
      </c>
      <c r="AF385" s="61">
        <v>1</v>
      </c>
      <c r="AG385" s="63">
        <f t="shared" si="70"/>
        <v>1</v>
      </c>
      <c r="AH385" s="61">
        <v>51.464416254219572</v>
      </c>
      <c r="AI385" s="61">
        <v>21</v>
      </c>
      <c r="AJ385" s="63">
        <f t="shared" si="71"/>
        <v>0.40804893027963196</v>
      </c>
      <c r="AK385" s="61">
        <v>3.9799545362731585</v>
      </c>
      <c r="AL385" s="61">
        <v>0</v>
      </c>
      <c r="AM385" s="63">
        <f t="shared" si="72"/>
        <v>0</v>
      </c>
      <c r="AN385" s="61">
        <v>1.4425090153871452</v>
      </c>
      <c r="AO385" s="61">
        <v>2</v>
      </c>
      <c r="AP385" s="63">
        <f t="shared" si="73"/>
        <v>1.3864731371978523</v>
      </c>
      <c r="AQ385" s="61">
        <v>8.0649528324475952</v>
      </c>
      <c r="AR385" s="61">
        <v>2</v>
      </c>
      <c r="AS385" s="63">
        <f t="shared" si="74"/>
        <v>0.24798657122375622</v>
      </c>
      <c r="AT385" s="61">
        <v>2</v>
      </c>
      <c r="AU385" s="61">
        <v>7</v>
      </c>
      <c r="AV385" s="63">
        <f t="shared" si="75"/>
        <v>3.5</v>
      </c>
      <c r="AW385" s="61">
        <v>1.9522681361926637</v>
      </c>
      <c r="AX385" s="61">
        <v>0</v>
      </c>
      <c r="AY385" s="63">
        <f t="shared" si="76"/>
        <v>0</v>
      </c>
      <c r="AZ385" s="61">
        <v>10</v>
      </c>
      <c r="BA385" s="61">
        <v>1</v>
      </c>
      <c r="BB385" s="63">
        <f t="shared" si="77"/>
        <v>0.1</v>
      </c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</row>
    <row r="386" spans="1:87" x14ac:dyDescent="0.25">
      <c r="A386" s="207">
        <v>2303</v>
      </c>
      <c r="B386" s="207">
        <v>21142</v>
      </c>
      <c r="C386" s="207">
        <v>1045949573</v>
      </c>
      <c r="D386" s="207" t="s">
        <v>572</v>
      </c>
      <c r="E386" s="207" t="s">
        <v>546</v>
      </c>
      <c r="F386" s="207" t="s">
        <v>546</v>
      </c>
      <c r="G386" s="207" t="s">
        <v>248</v>
      </c>
      <c r="H386" s="207" t="s">
        <v>527</v>
      </c>
      <c r="I386" s="207" t="s">
        <v>1218</v>
      </c>
      <c r="J386" s="207" t="s">
        <v>221</v>
      </c>
      <c r="K386" s="207" t="s">
        <v>566</v>
      </c>
      <c r="L386" s="207">
        <v>33027</v>
      </c>
      <c r="M386" s="207" t="s">
        <v>1195</v>
      </c>
      <c r="N386" s="207"/>
      <c r="O386" s="229">
        <v>0.25</v>
      </c>
      <c r="P386" s="230">
        <v>26614</v>
      </c>
      <c r="Q386" s="61">
        <v>52562.630000000005</v>
      </c>
      <c r="R386" s="63">
        <f t="shared" si="65"/>
        <v>1.974999248515819</v>
      </c>
      <c r="S386" s="61">
        <v>1501</v>
      </c>
      <c r="T386" s="61">
        <v>6816.52</v>
      </c>
      <c r="U386" s="63">
        <f t="shared" si="66"/>
        <v>4.5413191205862757</v>
      </c>
      <c r="V386" s="61">
        <v>13430.326451493325</v>
      </c>
      <c r="W386" s="61">
        <v>4165.21</v>
      </c>
      <c r="X386" s="63">
        <f t="shared" si="67"/>
        <v>0.31013468027330549</v>
      </c>
      <c r="Y386" s="61">
        <v>403</v>
      </c>
      <c r="Z386" s="102">
        <v>0</v>
      </c>
      <c r="AA386" s="63">
        <f t="shared" si="68"/>
        <v>0</v>
      </c>
      <c r="AB386" s="61">
        <v>11</v>
      </c>
      <c r="AC386" s="61">
        <v>6</v>
      </c>
      <c r="AD386" s="63">
        <f t="shared" si="69"/>
        <v>0.54545454545454541</v>
      </c>
      <c r="AE386" s="61">
        <v>2</v>
      </c>
      <c r="AF386" s="61">
        <v>0</v>
      </c>
      <c r="AG386" s="63">
        <f t="shared" si="70"/>
        <v>0</v>
      </c>
      <c r="AH386" s="61">
        <v>41.665260158887236</v>
      </c>
      <c r="AI386" s="61">
        <v>28</v>
      </c>
      <c r="AJ386" s="63">
        <f t="shared" si="71"/>
        <v>0.67202268492322315</v>
      </c>
      <c r="AK386" s="61">
        <v>2.3879727217638953</v>
      </c>
      <c r="AL386" s="61">
        <v>0</v>
      </c>
      <c r="AM386" s="63">
        <f t="shared" si="72"/>
        <v>0</v>
      </c>
      <c r="AN386" s="61">
        <v>2.1637635230807177</v>
      </c>
      <c r="AO386" s="61">
        <v>1</v>
      </c>
      <c r="AP386" s="63">
        <f t="shared" si="73"/>
        <v>0.46215771239928405</v>
      </c>
      <c r="AQ386" s="61">
        <v>5.3766352216317301</v>
      </c>
      <c r="AR386" s="61">
        <v>2</v>
      </c>
      <c r="AS386" s="63">
        <f t="shared" si="74"/>
        <v>0.37197985683563434</v>
      </c>
      <c r="AT386" s="61">
        <v>2</v>
      </c>
      <c r="AU386" s="61">
        <v>6</v>
      </c>
      <c r="AV386" s="63">
        <f t="shared" si="75"/>
        <v>3</v>
      </c>
      <c r="AW386" s="61">
        <v>0.77890540845848277</v>
      </c>
      <c r="AX386" s="61">
        <v>0</v>
      </c>
      <c r="AY386" s="63">
        <f t="shared" si="76"/>
        <v>0</v>
      </c>
      <c r="AZ386" s="61">
        <v>6</v>
      </c>
      <c r="BA386" s="61">
        <v>1</v>
      </c>
      <c r="BB386" s="63">
        <f t="shared" si="77"/>
        <v>0.16666666666666666</v>
      </c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</row>
    <row r="387" spans="1:87" x14ac:dyDescent="0.25">
      <c r="A387" s="128">
        <v>10417</v>
      </c>
      <c r="B387" s="128">
        <v>21142</v>
      </c>
      <c r="C387" s="128">
        <v>1080862376</v>
      </c>
      <c r="D387" s="128" t="s">
        <v>575</v>
      </c>
      <c r="E387" s="128" t="s">
        <v>546</v>
      </c>
      <c r="F387" s="128" t="s">
        <v>546</v>
      </c>
      <c r="G387" s="128" t="s">
        <v>255</v>
      </c>
      <c r="H387" s="128" t="s">
        <v>256</v>
      </c>
      <c r="I387" s="128" t="s">
        <v>1218</v>
      </c>
      <c r="J387" s="128" t="s">
        <v>221</v>
      </c>
      <c r="K387" s="128" t="s">
        <v>566</v>
      </c>
      <c r="L387" s="128">
        <v>33027</v>
      </c>
      <c r="M387" s="128" t="s">
        <v>1238</v>
      </c>
      <c r="N387" s="128"/>
      <c r="O387" s="156"/>
      <c r="P387" s="157">
        <v>101186</v>
      </c>
      <c r="Q387" s="61">
        <v>69074.8</v>
      </c>
      <c r="R387" s="63">
        <f t="shared" si="65"/>
        <v>0.68265175024212843</v>
      </c>
      <c r="S387" s="61">
        <v>8593</v>
      </c>
      <c r="T387" s="61">
        <v>12537.21</v>
      </c>
      <c r="U387" s="63">
        <f t="shared" si="66"/>
        <v>1.4590026765972302</v>
      </c>
      <c r="V387" s="61">
        <v>44254.54340003278</v>
      </c>
      <c r="W387" s="61">
        <v>26238.45</v>
      </c>
      <c r="X387" s="63">
        <f t="shared" si="67"/>
        <v>0.59289844576682638</v>
      </c>
      <c r="Y387" s="61">
        <v>4465</v>
      </c>
      <c r="Z387" s="102">
        <v>120</v>
      </c>
      <c r="AA387" s="63">
        <f t="shared" si="68"/>
        <v>2.6875699888017916E-2</v>
      </c>
      <c r="AB387" s="61">
        <v>43</v>
      </c>
      <c r="AC387" s="61">
        <v>19</v>
      </c>
      <c r="AD387" s="63">
        <f t="shared" si="69"/>
        <v>0.44186046511627908</v>
      </c>
      <c r="AE387" s="61">
        <v>5</v>
      </c>
      <c r="AF387" s="61">
        <v>0</v>
      </c>
      <c r="AG387" s="63">
        <f t="shared" si="70"/>
        <v>0</v>
      </c>
      <c r="AH387" s="61">
        <v>85.464416254219572</v>
      </c>
      <c r="AI387" s="61">
        <v>46</v>
      </c>
      <c r="AJ387" s="63">
        <f t="shared" si="71"/>
        <v>0.53823570108020102</v>
      </c>
      <c r="AK387" s="61">
        <v>3.9799545362731585</v>
      </c>
      <c r="AL387" s="61">
        <v>2</v>
      </c>
      <c r="AM387" s="63">
        <f t="shared" si="72"/>
        <v>0.50251830310423751</v>
      </c>
      <c r="AN387" s="61">
        <v>2.8850180307742903</v>
      </c>
      <c r="AO387" s="61">
        <v>2</v>
      </c>
      <c r="AP387" s="63">
        <f t="shared" si="73"/>
        <v>0.69323656859892613</v>
      </c>
      <c r="AQ387" s="61">
        <v>14.33769392435128</v>
      </c>
      <c r="AR387" s="61">
        <v>4</v>
      </c>
      <c r="AS387" s="63">
        <f t="shared" si="74"/>
        <v>0.27898489262672577</v>
      </c>
      <c r="AT387" s="61">
        <v>6</v>
      </c>
      <c r="AU387" s="61">
        <v>4</v>
      </c>
      <c r="AV387" s="63">
        <f t="shared" si="75"/>
        <v>0.66666666666666663</v>
      </c>
      <c r="AW387" s="61">
        <v>2.9613858367881578</v>
      </c>
      <c r="AX387" s="61">
        <v>0</v>
      </c>
      <c r="AY387" s="63">
        <f t="shared" si="76"/>
        <v>0</v>
      </c>
      <c r="AZ387" s="61">
        <v>10</v>
      </c>
      <c r="BA387" s="61">
        <v>4</v>
      </c>
      <c r="BB387" s="63">
        <f t="shared" si="77"/>
        <v>0.4</v>
      </c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</row>
    <row r="388" spans="1:87" x14ac:dyDescent="0.25">
      <c r="A388" s="128">
        <v>3113</v>
      </c>
      <c r="B388" s="128">
        <v>21142</v>
      </c>
      <c r="C388" s="128">
        <v>1011825161</v>
      </c>
      <c r="D388" s="128" t="s">
        <v>589</v>
      </c>
      <c r="E388" s="128" t="s">
        <v>546</v>
      </c>
      <c r="F388" s="128" t="s">
        <v>546</v>
      </c>
      <c r="G388" s="128" t="s">
        <v>263</v>
      </c>
      <c r="H388" s="128" t="s">
        <v>264</v>
      </c>
      <c r="I388" s="128" t="s">
        <v>1218</v>
      </c>
      <c r="J388" s="128" t="s">
        <v>221</v>
      </c>
      <c r="K388" s="128" t="s">
        <v>566</v>
      </c>
      <c r="L388" s="128">
        <v>33027</v>
      </c>
      <c r="M388" s="128" t="s">
        <v>1215</v>
      </c>
      <c r="N388" s="128"/>
      <c r="O388" s="156"/>
      <c r="P388" s="157">
        <v>110772</v>
      </c>
      <c r="Q388" s="61">
        <v>130066.12999999999</v>
      </c>
      <c r="R388" s="63">
        <f t="shared" ref="R388:R448" si="78">Q388/P388</f>
        <v>1.1741787635864658</v>
      </c>
      <c r="S388" s="61">
        <v>7384</v>
      </c>
      <c r="T388" s="61">
        <v>8958.65</v>
      </c>
      <c r="U388" s="63">
        <f t="shared" ref="U388:U448" si="79">T388/S388</f>
        <v>1.2132516251354279</v>
      </c>
      <c r="V388" s="61">
        <v>40475.477775765867</v>
      </c>
      <c r="W388" s="61">
        <v>14034.360000000002</v>
      </c>
      <c r="X388" s="63">
        <f t="shared" ref="X388:X448" si="80">W388/V388</f>
        <v>0.34673735237296893</v>
      </c>
      <c r="Y388" s="61">
        <v>1446</v>
      </c>
      <c r="Z388" s="102">
        <v>0</v>
      </c>
      <c r="AA388" s="63">
        <f t="shared" ref="AA388:AA448" si="81">Z388/Y388</f>
        <v>0</v>
      </c>
      <c r="AB388" s="61">
        <v>29</v>
      </c>
      <c r="AC388" s="61">
        <v>15</v>
      </c>
      <c r="AD388" s="63">
        <f t="shared" ref="AD388:AD448" si="82">AC388/AB388</f>
        <v>0.51724137931034486</v>
      </c>
      <c r="AE388" s="61">
        <v>4</v>
      </c>
      <c r="AF388" s="61">
        <v>2</v>
      </c>
      <c r="AG388" s="63">
        <f t="shared" ref="AG388:AG448" si="83">AF388/AE388</f>
        <v>0.5</v>
      </c>
      <c r="AH388" s="61">
        <v>123.46441625421957</v>
      </c>
      <c r="AI388" s="61">
        <v>68</v>
      </c>
      <c r="AJ388" s="63">
        <f t="shared" ref="AJ388:AJ448" si="84">AI388/AH388</f>
        <v>0.55076597827170304</v>
      </c>
      <c r="AK388" s="61">
        <v>3.9799545362731585</v>
      </c>
      <c r="AL388" s="61">
        <v>4</v>
      </c>
      <c r="AM388" s="63">
        <f t="shared" ref="AM388:AM448" si="85">AL388/AK388</f>
        <v>1.005036606208475</v>
      </c>
      <c r="AN388" s="61">
        <v>4.3275270461614355</v>
      </c>
      <c r="AO388" s="61">
        <v>0</v>
      </c>
      <c r="AP388" s="63">
        <f t="shared" ref="AP388:AP448" si="86">AO388/AN388</f>
        <v>0</v>
      </c>
      <c r="AQ388" s="61">
        <v>11.649376313535415</v>
      </c>
      <c r="AR388" s="61">
        <v>6</v>
      </c>
      <c r="AS388" s="63">
        <f t="shared" ref="AS388:AS448" si="87">AR388/AQ388</f>
        <v>0.51504903254164758</v>
      </c>
      <c r="AT388" s="61">
        <v>5</v>
      </c>
      <c r="AU388" s="61">
        <v>8</v>
      </c>
      <c r="AV388" s="63">
        <f t="shared" ref="AV388:AV448" si="88">AU388/AT388</f>
        <v>1.6</v>
      </c>
      <c r="AW388" s="61">
        <v>3.2419369469363137</v>
      </c>
      <c r="AX388" s="61">
        <v>0</v>
      </c>
      <c r="AY388" s="63">
        <f t="shared" ref="AY388:AY448" si="89">AX388/AW388</f>
        <v>0</v>
      </c>
      <c r="AZ388" s="61">
        <v>10</v>
      </c>
      <c r="BA388" s="61">
        <v>1</v>
      </c>
      <c r="BB388" s="63">
        <f t="shared" ref="BB388:BB448" si="90">BA388/AZ388</f>
        <v>0.1</v>
      </c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</row>
    <row r="389" spans="1:87" x14ac:dyDescent="0.25">
      <c r="A389" s="128">
        <v>8944</v>
      </c>
      <c r="B389" s="128">
        <v>21683</v>
      </c>
      <c r="C389" s="128">
        <v>1076896412</v>
      </c>
      <c r="D389" s="128" t="s">
        <v>1168</v>
      </c>
      <c r="E389" s="128" t="s">
        <v>544</v>
      </c>
      <c r="F389" s="128" t="s">
        <v>544</v>
      </c>
      <c r="G389" s="128" t="s">
        <v>144</v>
      </c>
      <c r="H389" s="128" t="s">
        <v>145</v>
      </c>
      <c r="I389" s="128" t="s">
        <v>1218</v>
      </c>
      <c r="J389" s="128" t="s">
        <v>221</v>
      </c>
      <c r="K389" s="128" t="s">
        <v>566</v>
      </c>
      <c r="L389" s="128">
        <v>33027</v>
      </c>
      <c r="M389" s="128"/>
      <c r="N389" s="128"/>
      <c r="O389" s="156"/>
      <c r="P389" s="157">
        <v>358270</v>
      </c>
      <c r="Q389" s="61">
        <v>0</v>
      </c>
      <c r="R389" s="63">
        <f t="shared" si="78"/>
        <v>0</v>
      </c>
      <c r="S389" s="61">
        <v>17705</v>
      </c>
      <c r="T389" s="61">
        <v>0</v>
      </c>
      <c r="U389" s="63">
        <f t="shared" si="79"/>
        <v>0</v>
      </c>
      <c r="V389" s="61">
        <v>107864.06443324331</v>
      </c>
      <c r="W389" s="61">
        <v>0</v>
      </c>
      <c r="X389" s="63">
        <f t="shared" si="80"/>
        <v>0</v>
      </c>
      <c r="Y389" s="61">
        <v>1805</v>
      </c>
      <c r="Z389" s="102">
        <v>0</v>
      </c>
      <c r="AA389" s="63">
        <f t="shared" si="81"/>
        <v>0</v>
      </c>
      <c r="AB389" s="61">
        <v>100</v>
      </c>
      <c r="AC389" s="61">
        <v>2</v>
      </c>
      <c r="AD389" s="63">
        <f t="shared" si="82"/>
        <v>0.02</v>
      </c>
      <c r="AE389" s="61">
        <v>11</v>
      </c>
      <c r="AF389" s="61">
        <v>1</v>
      </c>
      <c r="AG389" s="63">
        <f t="shared" si="83"/>
        <v>9.0909090909090912E-2</v>
      </c>
      <c r="AH389" s="61">
        <v>348.75724306454447</v>
      </c>
      <c r="AI389" s="61">
        <v>10</v>
      </c>
      <c r="AJ389" s="63">
        <f t="shared" si="84"/>
        <v>2.8673239621146165E-2</v>
      </c>
      <c r="AK389" s="61">
        <v>19.899772681365793</v>
      </c>
      <c r="AL389" s="61">
        <v>0</v>
      </c>
      <c r="AM389" s="63">
        <f t="shared" si="85"/>
        <v>0</v>
      </c>
      <c r="AN389" s="61">
        <v>13.703835646177879</v>
      </c>
      <c r="AO389" s="61">
        <v>2</v>
      </c>
      <c r="AP389" s="63">
        <f t="shared" si="86"/>
        <v>0.14594454075766866</v>
      </c>
      <c r="AQ389" s="61">
        <v>51.974140475773389</v>
      </c>
      <c r="AR389" s="61">
        <v>0</v>
      </c>
      <c r="AS389" s="63">
        <f t="shared" si="87"/>
        <v>0</v>
      </c>
      <c r="AT389" s="61">
        <v>31</v>
      </c>
      <c r="AU389" s="61">
        <v>0</v>
      </c>
      <c r="AV389" s="63">
        <f t="shared" si="88"/>
        <v>0</v>
      </c>
      <c r="AW389" s="61">
        <v>10.48540019119338</v>
      </c>
      <c r="AX389" s="61">
        <v>0</v>
      </c>
      <c r="AY389" s="63">
        <f t="shared" si="89"/>
        <v>0</v>
      </c>
      <c r="AZ389" s="61">
        <v>41</v>
      </c>
      <c r="BA389" s="61">
        <v>0</v>
      </c>
      <c r="BB389" s="63">
        <f t="shared" si="90"/>
        <v>0</v>
      </c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</row>
    <row r="390" spans="1:87" x14ac:dyDescent="0.25">
      <c r="A390" s="128">
        <v>521</v>
      </c>
      <c r="B390" s="128">
        <v>8944</v>
      </c>
      <c r="C390" s="128">
        <v>1029246590</v>
      </c>
      <c r="D390" s="128" t="s">
        <v>570</v>
      </c>
      <c r="E390" s="128" t="s">
        <v>546</v>
      </c>
      <c r="F390" s="128" t="s">
        <v>546</v>
      </c>
      <c r="G390" s="128" t="s">
        <v>404</v>
      </c>
      <c r="H390" s="128" t="s">
        <v>404</v>
      </c>
      <c r="I390" s="128" t="s">
        <v>1218</v>
      </c>
      <c r="J390" s="128" t="s">
        <v>221</v>
      </c>
      <c r="K390" s="128" t="s">
        <v>566</v>
      </c>
      <c r="L390" s="128">
        <v>33027</v>
      </c>
      <c r="M390" s="128" t="s">
        <v>1143</v>
      </c>
      <c r="N390" s="128"/>
      <c r="O390" s="156">
        <v>0.5</v>
      </c>
      <c r="P390" s="157">
        <v>46349</v>
      </c>
      <c r="Q390" s="61">
        <v>36498.270000000004</v>
      </c>
      <c r="R390" s="63">
        <f t="shared" si="78"/>
        <v>0.78746618050011874</v>
      </c>
      <c r="S390" s="61">
        <v>1884</v>
      </c>
      <c r="T390" s="61">
        <v>12467.82</v>
      </c>
      <c r="U390" s="63">
        <f t="shared" si="79"/>
        <v>6.6177388535031847</v>
      </c>
      <c r="V390" s="61">
        <v>15093.860122347049</v>
      </c>
      <c r="W390" s="61">
        <v>10868.279999999999</v>
      </c>
      <c r="X390" s="63">
        <f t="shared" si="80"/>
        <v>0.72004642363878057</v>
      </c>
      <c r="Y390" s="61">
        <v>174</v>
      </c>
      <c r="Z390" s="102">
        <v>50</v>
      </c>
      <c r="AA390" s="63">
        <f t="shared" si="81"/>
        <v>0.28735632183908044</v>
      </c>
      <c r="AB390" s="61">
        <v>16</v>
      </c>
      <c r="AC390" s="61">
        <v>8</v>
      </c>
      <c r="AD390" s="63">
        <f t="shared" si="82"/>
        <v>0.5</v>
      </c>
      <c r="AE390" s="61">
        <v>2</v>
      </c>
      <c r="AF390" s="61">
        <v>1</v>
      </c>
      <c r="AG390" s="63">
        <f t="shared" si="83"/>
        <v>0.5</v>
      </c>
      <c r="AH390" s="61">
        <v>54.765682111221061</v>
      </c>
      <c r="AI390" s="61">
        <v>17</v>
      </c>
      <c r="AJ390" s="63">
        <f t="shared" si="84"/>
        <v>0.310413371013539</v>
      </c>
      <c r="AK390" s="61">
        <v>3.1839636290185269</v>
      </c>
      <c r="AL390" s="61">
        <v>3</v>
      </c>
      <c r="AM390" s="63">
        <f t="shared" si="85"/>
        <v>0.94222181832044527</v>
      </c>
      <c r="AN390" s="61">
        <v>2.1637635230807177</v>
      </c>
      <c r="AO390" s="61">
        <v>1</v>
      </c>
      <c r="AP390" s="63">
        <f t="shared" si="86"/>
        <v>0.46215771239928405</v>
      </c>
      <c r="AQ390" s="61">
        <v>8.0649528324475952</v>
      </c>
      <c r="AR390" s="61">
        <v>1</v>
      </c>
      <c r="AS390" s="63">
        <f t="shared" si="87"/>
        <v>0.12399328561187811</v>
      </c>
      <c r="AT390" s="61">
        <v>16</v>
      </c>
      <c r="AU390" s="61">
        <v>9</v>
      </c>
      <c r="AV390" s="63">
        <f t="shared" si="88"/>
        <v>0.5625</v>
      </c>
      <c r="AW390" s="61">
        <v>1.3564848116270465</v>
      </c>
      <c r="AX390" s="61">
        <v>0</v>
      </c>
      <c r="AY390" s="63">
        <f t="shared" si="89"/>
        <v>0</v>
      </c>
      <c r="AZ390" s="61">
        <v>4</v>
      </c>
      <c r="BA390" s="61">
        <v>1</v>
      </c>
      <c r="BB390" s="63">
        <f t="shared" si="90"/>
        <v>0.25</v>
      </c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</row>
    <row r="391" spans="1:87" x14ac:dyDescent="0.25">
      <c r="A391" s="128">
        <v>21612</v>
      </c>
      <c r="B391" s="128">
        <v>8944</v>
      </c>
      <c r="C391" s="128">
        <v>1009684679</v>
      </c>
      <c r="D391" s="128" t="s">
        <v>573</v>
      </c>
      <c r="E391" s="128" t="s">
        <v>546</v>
      </c>
      <c r="F391" s="128" t="s">
        <v>546</v>
      </c>
      <c r="G391" s="128" t="s">
        <v>251</v>
      </c>
      <c r="H391" s="128" t="s">
        <v>251</v>
      </c>
      <c r="I391" s="128" t="s">
        <v>1218</v>
      </c>
      <c r="J391" s="128" t="s">
        <v>221</v>
      </c>
      <c r="K391" s="128" t="s">
        <v>566</v>
      </c>
      <c r="L391" s="128">
        <v>33027</v>
      </c>
      <c r="M391" s="128"/>
      <c r="N391" s="128"/>
      <c r="O391" s="156"/>
      <c r="P391" s="157">
        <v>77957</v>
      </c>
      <c r="Q391" s="61">
        <v>44658.26</v>
      </c>
      <c r="R391" s="63">
        <f t="shared" si="78"/>
        <v>0.57285760098515848</v>
      </c>
      <c r="S391" s="61">
        <v>1723</v>
      </c>
      <c r="T391" s="61">
        <v>0</v>
      </c>
      <c r="U391" s="63">
        <f t="shared" si="79"/>
        <v>0</v>
      </c>
      <c r="V391" s="61">
        <v>23121.537789939604</v>
      </c>
      <c r="W391" s="61">
        <v>4440</v>
      </c>
      <c r="X391" s="63">
        <f t="shared" si="80"/>
        <v>0.19202875000519581</v>
      </c>
      <c r="Y391" s="61">
        <v>214</v>
      </c>
      <c r="Z391" s="102">
        <v>0</v>
      </c>
      <c r="AA391" s="63">
        <f t="shared" si="81"/>
        <v>0</v>
      </c>
      <c r="AB391" s="61">
        <v>21</v>
      </c>
      <c r="AC391" s="61">
        <v>10</v>
      </c>
      <c r="AD391" s="63">
        <f t="shared" si="82"/>
        <v>0.47619047619047616</v>
      </c>
      <c r="AE391" s="61">
        <v>2</v>
      </c>
      <c r="AF391" s="61">
        <v>1</v>
      </c>
      <c r="AG391" s="63">
        <f t="shared" si="83"/>
        <v>0.5</v>
      </c>
      <c r="AH391" s="61">
        <v>68.464416254219572</v>
      </c>
      <c r="AI391" s="61">
        <v>35</v>
      </c>
      <c r="AJ391" s="63">
        <f t="shared" si="84"/>
        <v>0.51121446606715049</v>
      </c>
      <c r="AK391" s="61">
        <v>3.9799545362731585</v>
      </c>
      <c r="AL391" s="61">
        <v>0</v>
      </c>
      <c r="AM391" s="63">
        <f t="shared" si="85"/>
        <v>0</v>
      </c>
      <c r="AN391" s="61">
        <v>0.72125450769357258</v>
      </c>
      <c r="AO391" s="61">
        <v>3</v>
      </c>
      <c r="AP391" s="63">
        <f t="shared" si="86"/>
        <v>4.1594194115935563</v>
      </c>
      <c r="AQ391" s="61">
        <v>10.75327044326346</v>
      </c>
      <c r="AR391" s="61">
        <v>4</v>
      </c>
      <c r="AS391" s="63">
        <f t="shared" si="87"/>
        <v>0.37197985683563434</v>
      </c>
      <c r="AT391" s="61">
        <v>1</v>
      </c>
      <c r="AU391" s="61">
        <v>2</v>
      </c>
      <c r="AV391" s="63">
        <f t="shared" si="88"/>
        <v>2</v>
      </c>
      <c r="AW391" s="61">
        <v>2.2815483928457931</v>
      </c>
      <c r="AX391" s="61">
        <v>0</v>
      </c>
      <c r="AY391" s="63">
        <f t="shared" si="89"/>
        <v>0</v>
      </c>
      <c r="AZ391" s="61">
        <v>10</v>
      </c>
      <c r="BA391" s="61">
        <v>1</v>
      </c>
      <c r="BB391" s="63">
        <f t="shared" si="90"/>
        <v>0.1</v>
      </c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</row>
    <row r="392" spans="1:87" x14ac:dyDescent="0.25">
      <c r="A392" s="128">
        <v>518</v>
      </c>
      <c r="B392" s="128">
        <v>8944</v>
      </c>
      <c r="C392" s="128">
        <v>1028825774</v>
      </c>
      <c r="D392" s="128" t="s">
        <v>567</v>
      </c>
      <c r="E392" s="128" t="s">
        <v>546</v>
      </c>
      <c r="F392" s="128" t="s">
        <v>546</v>
      </c>
      <c r="G392" s="128" t="s">
        <v>253</v>
      </c>
      <c r="H392" s="128" t="s">
        <v>254</v>
      </c>
      <c r="I392" s="128" t="s">
        <v>1218</v>
      </c>
      <c r="J392" s="128" t="s">
        <v>221</v>
      </c>
      <c r="K392" s="128" t="s">
        <v>566</v>
      </c>
      <c r="L392" s="128">
        <v>33027</v>
      </c>
      <c r="M392" s="128" t="s">
        <v>1215</v>
      </c>
      <c r="N392" s="128"/>
      <c r="O392" s="156"/>
      <c r="P392" s="157">
        <v>119069</v>
      </c>
      <c r="Q392" s="61">
        <v>120516.56</v>
      </c>
      <c r="R392" s="63">
        <f t="shared" si="78"/>
        <v>1.0121573205452301</v>
      </c>
      <c r="S392" s="61">
        <v>8148</v>
      </c>
      <c r="T392" s="61">
        <v>11386.09</v>
      </c>
      <c r="U392" s="63">
        <f t="shared" si="79"/>
        <v>1.3974091801669122</v>
      </c>
      <c r="V392" s="61">
        <v>31466.011691851814</v>
      </c>
      <c r="W392" s="61">
        <v>18029.98</v>
      </c>
      <c r="X392" s="63">
        <f t="shared" si="80"/>
        <v>0.57299857943766352</v>
      </c>
      <c r="Y392" s="61">
        <v>609</v>
      </c>
      <c r="Z392" s="102">
        <v>0</v>
      </c>
      <c r="AA392" s="63">
        <f t="shared" si="81"/>
        <v>0</v>
      </c>
      <c r="AB392" s="61">
        <v>28</v>
      </c>
      <c r="AC392" s="61">
        <v>27</v>
      </c>
      <c r="AD392" s="63">
        <f t="shared" si="82"/>
        <v>0.9642857142857143</v>
      </c>
      <c r="AE392" s="61">
        <v>4</v>
      </c>
      <c r="AF392" s="61">
        <v>1</v>
      </c>
      <c r="AG392" s="63">
        <f t="shared" si="83"/>
        <v>0.25</v>
      </c>
      <c r="AH392" s="61">
        <v>82.464416254219572</v>
      </c>
      <c r="AI392" s="61">
        <v>20</v>
      </c>
      <c r="AJ392" s="63">
        <f t="shared" si="84"/>
        <v>0.24252884951424891</v>
      </c>
      <c r="AK392" s="61">
        <v>4.7759454435277906</v>
      </c>
      <c r="AL392" s="61">
        <v>0</v>
      </c>
      <c r="AM392" s="63">
        <f t="shared" si="85"/>
        <v>0</v>
      </c>
      <c r="AN392" s="61">
        <v>2.1637635230807177</v>
      </c>
      <c r="AO392" s="61">
        <v>4</v>
      </c>
      <c r="AP392" s="63">
        <f t="shared" si="86"/>
        <v>1.8486308495971362</v>
      </c>
      <c r="AQ392" s="61">
        <v>17.026011535167143</v>
      </c>
      <c r="AR392" s="61">
        <v>8</v>
      </c>
      <c r="AS392" s="63">
        <f t="shared" si="87"/>
        <v>0.46986929284501183</v>
      </c>
      <c r="AT392" s="61">
        <v>9</v>
      </c>
      <c r="AU392" s="61">
        <v>8</v>
      </c>
      <c r="AV392" s="63">
        <f t="shared" si="88"/>
        <v>0.88888888888888884</v>
      </c>
      <c r="AW392" s="61">
        <v>3.4847632103307689</v>
      </c>
      <c r="AX392" s="61">
        <v>0</v>
      </c>
      <c r="AY392" s="63">
        <f t="shared" si="89"/>
        <v>0</v>
      </c>
      <c r="AZ392" s="61">
        <v>10</v>
      </c>
      <c r="BA392" s="61">
        <v>2</v>
      </c>
      <c r="BB392" s="63">
        <f t="shared" si="90"/>
        <v>0.2</v>
      </c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</row>
    <row r="393" spans="1:87" x14ac:dyDescent="0.25">
      <c r="A393" s="128">
        <v>8780</v>
      </c>
      <c r="B393" s="128">
        <v>8944</v>
      </c>
      <c r="C393" s="128">
        <v>1020548291</v>
      </c>
      <c r="D393" s="128" t="s">
        <v>569</v>
      </c>
      <c r="E393" s="128" t="s">
        <v>546</v>
      </c>
      <c r="F393" s="128" t="s">
        <v>546</v>
      </c>
      <c r="G393" s="128" t="s">
        <v>371</v>
      </c>
      <c r="H393" s="128" t="s">
        <v>371</v>
      </c>
      <c r="I393" s="128" t="s">
        <v>1218</v>
      </c>
      <c r="J393" s="128" t="s">
        <v>221</v>
      </c>
      <c r="K393" s="128" t="s">
        <v>566</v>
      </c>
      <c r="L393" s="128">
        <v>33027</v>
      </c>
      <c r="M393" s="128" t="s">
        <v>1146</v>
      </c>
      <c r="N393" s="128">
        <v>6</v>
      </c>
      <c r="O393" s="156">
        <v>0.1</v>
      </c>
      <c r="P393" s="157">
        <v>48924</v>
      </c>
      <c r="Q393" s="61">
        <v>32718.28</v>
      </c>
      <c r="R393" s="63">
        <f t="shared" si="78"/>
        <v>0.66875725615239967</v>
      </c>
      <c r="S393" s="61">
        <v>2371</v>
      </c>
      <c r="T393" s="61">
        <v>0</v>
      </c>
      <c r="U393" s="63">
        <f t="shared" si="79"/>
        <v>0</v>
      </c>
      <c r="V393" s="61">
        <v>16896.511789902746</v>
      </c>
      <c r="W393" s="61">
        <v>4089.5600000000004</v>
      </c>
      <c r="X393" s="63">
        <f t="shared" si="80"/>
        <v>0.24203575571402239</v>
      </c>
      <c r="Y393" s="61">
        <v>323</v>
      </c>
      <c r="Z393" s="102">
        <v>0</v>
      </c>
      <c r="AA393" s="63">
        <f t="shared" si="81"/>
        <v>0</v>
      </c>
      <c r="AB393" s="61">
        <v>15</v>
      </c>
      <c r="AC393" s="61">
        <v>4</v>
      </c>
      <c r="AD393" s="63">
        <f t="shared" si="82"/>
        <v>0.26666666666666666</v>
      </c>
      <c r="AE393" s="61">
        <v>1</v>
      </c>
      <c r="AF393" s="61">
        <v>1</v>
      </c>
      <c r="AG393" s="63">
        <f t="shared" si="83"/>
        <v>1</v>
      </c>
      <c r="AH393" s="61">
        <v>66.598312190664686</v>
      </c>
      <c r="AI393" s="61">
        <v>14</v>
      </c>
      <c r="AJ393" s="63">
        <f t="shared" si="84"/>
        <v>0.21021553759379549</v>
      </c>
      <c r="AK393" s="61">
        <v>3.1839636290185269</v>
      </c>
      <c r="AL393" s="61">
        <v>0</v>
      </c>
      <c r="AM393" s="63">
        <f t="shared" si="85"/>
        <v>0</v>
      </c>
      <c r="AN393" s="61">
        <v>4.3275270461614355</v>
      </c>
      <c r="AO393" s="61">
        <v>3</v>
      </c>
      <c r="AP393" s="63">
        <f t="shared" si="86"/>
        <v>0.69323656859892613</v>
      </c>
      <c r="AQ393" s="61">
        <v>5.3766352216317301</v>
      </c>
      <c r="AR393" s="61">
        <v>2</v>
      </c>
      <c r="AS393" s="63">
        <f t="shared" si="87"/>
        <v>0.37197985683563434</v>
      </c>
      <c r="AT393" s="61">
        <v>2</v>
      </c>
      <c r="AU393" s="61">
        <v>2</v>
      </c>
      <c r="AV393" s="63">
        <f t="shared" si="88"/>
        <v>1</v>
      </c>
      <c r="AW393" s="61">
        <v>1.4318467048704746</v>
      </c>
      <c r="AX393" s="61">
        <v>0</v>
      </c>
      <c r="AY393" s="63">
        <f t="shared" si="89"/>
        <v>0</v>
      </c>
      <c r="AZ393" s="61">
        <v>7</v>
      </c>
      <c r="BA393" s="61">
        <v>0</v>
      </c>
      <c r="BB393" s="63">
        <f t="shared" si="90"/>
        <v>0</v>
      </c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</row>
    <row r="394" spans="1:87" x14ac:dyDescent="0.25">
      <c r="A394" s="128">
        <v>21429</v>
      </c>
      <c r="B394" s="128">
        <v>8944</v>
      </c>
      <c r="C394" s="128">
        <v>1015071093</v>
      </c>
      <c r="D394" s="128" t="s">
        <v>576</v>
      </c>
      <c r="E394" s="128" t="s">
        <v>546</v>
      </c>
      <c r="F394" s="128" t="s">
        <v>546</v>
      </c>
      <c r="G394" s="128" t="s">
        <v>370</v>
      </c>
      <c r="H394" s="128" t="s">
        <v>370</v>
      </c>
      <c r="I394" s="128" t="s">
        <v>1218</v>
      </c>
      <c r="J394" s="128" t="s">
        <v>221</v>
      </c>
      <c r="K394" s="128" t="s">
        <v>566</v>
      </c>
      <c r="L394" s="128">
        <v>33027</v>
      </c>
      <c r="M394" s="128"/>
      <c r="N394" s="128"/>
      <c r="O394" s="156"/>
      <c r="P394" s="157">
        <v>65971</v>
      </c>
      <c r="Q394" s="61">
        <v>26170.46</v>
      </c>
      <c r="R394" s="63">
        <f t="shared" si="78"/>
        <v>0.39669642721802001</v>
      </c>
      <c r="S394" s="61">
        <v>3579</v>
      </c>
      <c r="T394" s="61">
        <v>0</v>
      </c>
      <c r="U394" s="63">
        <f t="shared" si="79"/>
        <v>0</v>
      </c>
      <c r="V394" s="61">
        <v>21286.143039202103</v>
      </c>
      <c r="W394" s="61">
        <v>12703.489999999996</v>
      </c>
      <c r="X394" s="63">
        <f t="shared" si="80"/>
        <v>0.59679623389753267</v>
      </c>
      <c r="Y394" s="61">
        <v>485</v>
      </c>
      <c r="Z394" s="102">
        <v>120</v>
      </c>
      <c r="AA394" s="63">
        <f t="shared" si="81"/>
        <v>0.24742268041237114</v>
      </c>
      <c r="AB394" s="61">
        <v>20</v>
      </c>
      <c r="AC394" s="61">
        <v>7</v>
      </c>
      <c r="AD394" s="63">
        <f t="shared" si="82"/>
        <v>0.35</v>
      </c>
      <c r="AE394" s="61">
        <v>2</v>
      </c>
      <c r="AF394" s="61">
        <v>3</v>
      </c>
      <c r="AG394" s="63">
        <f t="shared" si="83"/>
        <v>1.5</v>
      </c>
      <c r="AH394" s="61">
        <v>76.464416254219572</v>
      </c>
      <c r="AI394" s="61">
        <v>34</v>
      </c>
      <c r="AJ394" s="63">
        <f t="shared" si="84"/>
        <v>0.44465127265159449</v>
      </c>
      <c r="AK394" s="61">
        <v>4.7759454435277906</v>
      </c>
      <c r="AL394" s="61">
        <v>2</v>
      </c>
      <c r="AM394" s="63">
        <f t="shared" si="85"/>
        <v>0.41876525258686453</v>
      </c>
      <c r="AN394" s="61">
        <v>4.3275270461614355</v>
      </c>
      <c r="AO394" s="61">
        <v>2</v>
      </c>
      <c r="AP394" s="63">
        <f t="shared" si="86"/>
        <v>0.46215771239928405</v>
      </c>
      <c r="AQ394" s="61">
        <v>10.75327044326346</v>
      </c>
      <c r="AR394" s="61">
        <v>4</v>
      </c>
      <c r="AS394" s="63">
        <f t="shared" si="87"/>
        <v>0.37197985683563434</v>
      </c>
      <c r="AT394" s="61">
        <v>3</v>
      </c>
      <c r="AU394" s="61">
        <v>2</v>
      </c>
      <c r="AV394" s="63">
        <f t="shared" si="88"/>
        <v>0.66666666666666663</v>
      </c>
      <c r="AW394" s="61">
        <v>1.930757071519297</v>
      </c>
      <c r="AX394" s="61">
        <v>0</v>
      </c>
      <c r="AY394" s="63">
        <f t="shared" si="89"/>
        <v>0</v>
      </c>
      <c r="AZ394" s="61">
        <v>10</v>
      </c>
      <c r="BA394" s="61">
        <v>0</v>
      </c>
      <c r="BB394" s="63">
        <f t="shared" si="90"/>
        <v>0</v>
      </c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</row>
    <row r="395" spans="1:87" x14ac:dyDescent="0.25">
      <c r="A395" s="113">
        <v>8943</v>
      </c>
      <c r="B395" s="113">
        <v>12886</v>
      </c>
      <c r="C395" s="113">
        <v>1075914463</v>
      </c>
      <c r="D395" s="113" t="s">
        <v>553</v>
      </c>
      <c r="E395" s="113" t="s">
        <v>541</v>
      </c>
      <c r="F395" s="113" t="s">
        <v>541</v>
      </c>
      <c r="G395" s="113" t="s">
        <v>224</v>
      </c>
      <c r="H395" s="113" t="s">
        <v>224</v>
      </c>
      <c r="I395" s="113" t="s">
        <v>1218</v>
      </c>
      <c r="J395" s="113" t="s">
        <v>221</v>
      </c>
      <c r="K395" s="113" t="s">
        <v>258</v>
      </c>
      <c r="L395" s="113">
        <v>73001</v>
      </c>
      <c r="M395" s="113"/>
      <c r="N395" s="113"/>
      <c r="O395" s="114"/>
      <c r="P395" s="115">
        <v>1117666</v>
      </c>
      <c r="Q395" s="61">
        <v>0</v>
      </c>
      <c r="R395" s="63">
        <f t="shared" si="78"/>
        <v>0</v>
      </c>
      <c r="S395" s="61">
        <v>223225</v>
      </c>
      <c r="T395" s="61">
        <v>0</v>
      </c>
      <c r="U395" s="63">
        <f t="shared" si="79"/>
        <v>0</v>
      </c>
      <c r="V395" s="61">
        <v>324037.63738871086</v>
      </c>
      <c r="W395" s="61">
        <v>0</v>
      </c>
      <c r="X395" s="63">
        <f t="shared" si="80"/>
        <v>0</v>
      </c>
      <c r="Y395" s="61">
        <v>13714</v>
      </c>
      <c r="Z395" s="102">
        <v>0</v>
      </c>
      <c r="AA395" s="63">
        <f t="shared" si="81"/>
        <v>0</v>
      </c>
      <c r="AB395" s="61">
        <v>240</v>
      </c>
      <c r="AC395" s="61">
        <v>0</v>
      </c>
      <c r="AD395" s="63">
        <f t="shared" si="82"/>
        <v>0</v>
      </c>
      <c r="AE395" s="61">
        <v>37</v>
      </c>
      <c r="AF395" s="61">
        <v>0</v>
      </c>
      <c r="AG395" s="63">
        <f t="shared" si="83"/>
        <v>0</v>
      </c>
      <c r="AH395" s="61">
        <v>996.87004138429802</v>
      </c>
      <c r="AI395" s="61">
        <v>0</v>
      </c>
      <c r="AJ395" s="63">
        <f t="shared" si="84"/>
        <v>0</v>
      </c>
      <c r="AK395" s="61">
        <v>42.983508991750114</v>
      </c>
      <c r="AL395" s="61">
        <v>0</v>
      </c>
      <c r="AM395" s="63">
        <f t="shared" si="85"/>
        <v>0</v>
      </c>
      <c r="AN395" s="61">
        <v>19.47387170772646</v>
      </c>
      <c r="AO395" s="61">
        <v>0</v>
      </c>
      <c r="AP395" s="63">
        <f t="shared" si="86"/>
        <v>0</v>
      </c>
      <c r="AQ395" s="61">
        <v>71.688469621756397</v>
      </c>
      <c r="AR395" s="61">
        <v>0</v>
      </c>
      <c r="AS395" s="63">
        <f t="shared" si="87"/>
        <v>0</v>
      </c>
      <c r="AT395" s="61">
        <v>63</v>
      </c>
      <c r="AU395" s="61">
        <v>0</v>
      </c>
      <c r="AV395" s="63">
        <f t="shared" si="88"/>
        <v>0</v>
      </c>
      <c r="AW395" s="61">
        <v>32.710456611188043</v>
      </c>
      <c r="AX395" s="61">
        <v>0</v>
      </c>
      <c r="AY395" s="63">
        <f t="shared" si="89"/>
        <v>0</v>
      </c>
      <c r="AZ395" s="61">
        <v>76</v>
      </c>
      <c r="BA395" s="61">
        <v>0</v>
      </c>
      <c r="BB395" s="63">
        <f t="shared" si="90"/>
        <v>0</v>
      </c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</row>
    <row r="396" spans="1:87" x14ac:dyDescent="0.25">
      <c r="A396" s="118">
        <v>10647</v>
      </c>
      <c r="B396" s="172">
        <v>8943</v>
      </c>
      <c r="C396" s="172">
        <v>1010012886</v>
      </c>
      <c r="D396" s="173" t="s">
        <v>621</v>
      </c>
      <c r="E396" s="118" t="s">
        <v>544</v>
      </c>
      <c r="F396" s="118" t="s">
        <v>544</v>
      </c>
      <c r="G396" s="118" t="s">
        <v>142</v>
      </c>
      <c r="H396" s="118" t="s">
        <v>143</v>
      </c>
      <c r="I396" s="116" t="s">
        <v>1218</v>
      </c>
      <c r="J396" s="118" t="s">
        <v>221</v>
      </c>
      <c r="K396" s="174" t="s">
        <v>258</v>
      </c>
      <c r="L396" s="118">
        <v>73001</v>
      </c>
      <c r="M396" s="174"/>
      <c r="N396" s="118"/>
      <c r="O396" s="118"/>
      <c r="P396" s="175">
        <v>1117666</v>
      </c>
      <c r="Q396" s="61">
        <v>0</v>
      </c>
      <c r="R396" s="63">
        <f t="shared" si="78"/>
        <v>0</v>
      </c>
      <c r="S396" s="61">
        <v>223225</v>
      </c>
      <c r="T396" s="61">
        <v>0</v>
      </c>
      <c r="U396" s="63">
        <f t="shared" si="79"/>
        <v>0</v>
      </c>
      <c r="V396" s="61">
        <v>324037.63738871086</v>
      </c>
      <c r="W396" s="61">
        <v>0</v>
      </c>
      <c r="X396" s="63">
        <f t="shared" si="80"/>
        <v>0</v>
      </c>
      <c r="Y396" s="61">
        <v>13714</v>
      </c>
      <c r="Z396" s="102">
        <v>0</v>
      </c>
      <c r="AA396" s="63">
        <f t="shared" si="81"/>
        <v>0</v>
      </c>
      <c r="AB396" s="61">
        <v>240</v>
      </c>
      <c r="AC396" s="61">
        <v>0</v>
      </c>
      <c r="AD396" s="63">
        <f t="shared" si="82"/>
        <v>0</v>
      </c>
      <c r="AE396" s="61">
        <v>37</v>
      </c>
      <c r="AF396" s="61">
        <v>0</v>
      </c>
      <c r="AG396" s="63">
        <f t="shared" si="83"/>
        <v>0</v>
      </c>
      <c r="AH396" s="61">
        <v>996.87004138429802</v>
      </c>
      <c r="AI396" s="61">
        <v>0</v>
      </c>
      <c r="AJ396" s="63">
        <f t="shared" si="84"/>
        <v>0</v>
      </c>
      <c r="AK396" s="61">
        <v>42.983508991750114</v>
      </c>
      <c r="AL396" s="61">
        <v>0</v>
      </c>
      <c r="AM396" s="63">
        <f t="shared" si="85"/>
        <v>0</v>
      </c>
      <c r="AN396" s="61">
        <v>19.47387170772646</v>
      </c>
      <c r="AO396" s="61">
        <v>0</v>
      </c>
      <c r="AP396" s="63">
        <f t="shared" si="86"/>
        <v>0</v>
      </c>
      <c r="AQ396" s="61">
        <v>71.688469621756397</v>
      </c>
      <c r="AR396" s="61">
        <v>0</v>
      </c>
      <c r="AS396" s="63">
        <f t="shared" si="87"/>
        <v>0</v>
      </c>
      <c r="AT396" s="61">
        <v>63</v>
      </c>
      <c r="AU396" s="61">
        <v>0</v>
      </c>
      <c r="AV396" s="63">
        <f t="shared" si="88"/>
        <v>0</v>
      </c>
      <c r="AW396" s="61">
        <v>32.710456611188043</v>
      </c>
      <c r="AX396" s="61">
        <v>0</v>
      </c>
      <c r="AY396" s="63">
        <f t="shared" si="89"/>
        <v>0</v>
      </c>
      <c r="AZ396" s="61">
        <v>76</v>
      </c>
      <c r="BA396" s="61">
        <v>0</v>
      </c>
      <c r="BB396" s="63">
        <f t="shared" si="90"/>
        <v>0</v>
      </c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</row>
    <row r="397" spans="1:87" x14ac:dyDescent="0.25">
      <c r="A397" s="247">
        <v>27812</v>
      </c>
      <c r="B397" s="248">
        <v>10647</v>
      </c>
      <c r="C397" s="248">
        <v>1036645156</v>
      </c>
      <c r="D397" s="249" t="s">
        <v>579</v>
      </c>
      <c r="E397" s="247" t="s">
        <v>546</v>
      </c>
      <c r="F397" s="247" t="s">
        <v>546</v>
      </c>
      <c r="G397" s="247" t="s">
        <v>268</v>
      </c>
      <c r="H397" s="247" t="s">
        <v>268</v>
      </c>
      <c r="I397" s="247" t="s">
        <v>1218</v>
      </c>
      <c r="J397" s="247" t="s">
        <v>221</v>
      </c>
      <c r="K397" s="249" t="s">
        <v>258</v>
      </c>
      <c r="L397" s="247">
        <v>73001</v>
      </c>
      <c r="M397" s="249"/>
      <c r="N397" s="247"/>
      <c r="O397" s="247"/>
      <c r="P397" s="250">
        <v>112097</v>
      </c>
      <c r="Q397" s="61">
        <v>104334.15999999999</v>
      </c>
      <c r="R397" s="63">
        <f t="shared" si="78"/>
        <v>0.93074890496623452</v>
      </c>
      <c r="S397" s="61">
        <v>26320</v>
      </c>
      <c r="T397" s="61">
        <v>10546.960000000001</v>
      </c>
      <c r="U397" s="63">
        <f t="shared" si="79"/>
        <v>0.40072036474164135</v>
      </c>
      <c r="V397" s="61">
        <v>35659.582587034267</v>
      </c>
      <c r="W397" s="61">
        <v>21122.939999999995</v>
      </c>
      <c r="X397" s="63">
        <f t="shared" si="80"/>
        <v>0.59234961453755886</v>
      </c>
      <c r="Y397" s="61">
        <v>1498</v>
      </c>
      <c r="Z397" s="102">
        <v>458</v>
      </c>
      <c r="AA397" s="63">
        <f t="shared" si="81"/>
        <v>0.30574098798397864</v>
      </c>
      <c r="AB397" s="61">
        <v>21</v>
      </c>
      <c r="AC397" s="61">
        <v>12</v>
      </c>
      <c r="AD397" s="63">
        <f t="shared" si="82"/>
        <v>0.5714285714285714</v>
      </c>
      <c r="AE397" s="61">
        <v>4</v>
      </c>
      <c r="AF397" s="61">
        <v>1</v>
      </c>
      <c r="AG397" s="63">
        <f t="shared" si="83"/>
        <v>0.25</v>
      </c>
      <c r="AH397" s="61">
        <v>106.06272844488426</v>
      </c>
      <c r="AI397" s="61">
        <v>69</v>
      </c>
      <c r="AJ397" s="63">
        <f t="shared" si="84"/>
        <v>0.6505584102134051</v>
      </c>
      <c r="AK397" s="61">
        <v>4.7759454435277906</v>
      </c>
      <c r="AL397" s="61">
        <v>2</v>
      </c>
      <c r="AM397" s="63">
        <f t="shared" si="85"/>
        <v>0.41876525258686453</v>
      </c>
      <c r="AN397" s="61">
        <v>2.8850180307742903</v>
      </c>
      <c r="AO397" s="61">
        <v>2</v>
      </c>
      <c r="AP397" s="63">
        <f t="shared" si="86"/>
        <v>0.69323656859892613</v>
      </c>
      <c r="AQ397" s="61">
        <v>7.1688469621756399</v>
      </c>
      <c r="AR397" s="61">
        <v>2</v>
      </c>
      <c r="AS397" s="63">
        <f t="shared" si="87"/>
        <v>0.27898489262672577</v>
      </c>
      <c r="AT397" s="61">
        <v>5</v>
      </c>
      <c r="AU397" s="61">
        <v>4</v>
      </c>
      <c r="AV397" s="63">
        <f t="shared" si="88"/>
        <v>0.8</v>
      </c>
      <c r="AW397" s="61">
        <v>3.2807153968576892</v>
      </c>
      <c r="AX397" s="61">
        <v>0</v>
      </c>
      <c r="AY397" s="63">
        <f t="shared" si="89"/>
        <v>0</v>
      </c>
      <c r="AZ397" s="61">
        <v>10</v>
      </c>
      <c r="BA397" s="61">
        <v>3</v>
      </c>
      <c r="BB397" s="63">
        <f t="shared" si="90"/>
        <v>0.3</v>
      </c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</row>
    <row r="398" spans="1:87" x14ac:dyDescent="0.25">
      <c r="A398" s="180">
        <v>9785</v>
      </c>
      <c r="B398" s="181">
        <v>10647</v>
      </c>
      <c r="C398" s="148">
        <v>1077080297</v>
      </c>
      <c r="D398" s="182" t="s">
        <v>583</v>
      </c>
      <c r="E398" s="180" t="s">
        <v>546</v>
      </c>
      <c r="F398" s="180" t="s">
        <v>546</v>
      </c>
      <c r="G398" s="180" t="s">
        <v>409</v>
      </c>
      <c r="H398" s="180" t="s">
        <v>410</v>
      </c>
      <c r="I398" s="180" t="s">
        <v>1218</v>
      </c>
      <c r="J398" s="180" t="s">
        <v>221</v>
      </c>
      <c r="K398" s="182" t="s">
        <v>258</v>
      </c>
      <c r="L398" s="180">
        <v>73001</v>
      </c>
      <c r="M398" s="180" t="s">
        <v>1143</v>
      </c>
      <c r="N398" s="180"/>
      <c r="O398" s="180">
        <v>0.5</v>
      </c>
      <c r="P398" s="183">
        <v>145726</v>
      </c>
      <c r="Q398" s="61">
        <v>98929.599999999991</v>
      </c>
      <c r="R398" s="63">
        <f t="shared" si="78"/>
        <v>0.67887405130175804</v>
      </c>
      <c r="S398" s="61">
        <v>26573</v>
      </c>
      <c r="T398" s="61">
        <v>8572.75</v>
      </c>
      <c r="U398" s="63">
        <f t="shared" si="79"/>
        <v>0.32261129718134951</v>
      </c>
      <c r="V398" s="61">
        <v>38380.511012502619</v>
      </c>
      <c r="W398" s="61">
        <v>21012.93</v>
      </c>
      <c r="X398" s="63">
        <f t="shared" si="80"/>
        <v>0.54748958379305968</v>
      </c>
      <c r="Y398" s="61">
        <v>1825</v>
      </c>
      <c r="Z398" s="102">
        <v>476</v>
      </c>
      <c r="AA398" s="63">
        <f t="shared" si="81"/>
        <v>0.26082191780821917</v>
      </c>
      <c r="AB398" s="61">
        <v>22</v>
      </c>
      <c r="AC398" s="61">
        <v>5</v>
      </c>
      <c r="AD398" s="63">
        <f t="shared" si="82"/>
        <v>0.22727272727272727</v>
      </c>
      <c r="AE398" s="61">
        <v>3</v>
      </c>
      <c r="AF398" s="61">
        <v>1</v>
      </c>
      <c r="AG398" s="63">
        <f t="shared" si="83"/>
        <v>0.33333333333333331</v>
      </c>
      <c r="AH398" s="61">
        <v>73.598312190664686</v>
      </c>
      <c r="AI398" s="61">
        <v>12</v>
      </c>
      <c r="AJ398" s="63">
        <f t="shared" si="84"/>
        <v>0.16304721729097066</v>
      </c>
      <c r="AK398" s="61">
        <v>3.9799545362731585</v>
      </c>
      <c r="AL398" s="61">
        <v>0</v>
      </c>
      <c r="AM398" s="63">
        <f t="shared" si="85"/>
        <v>0</v>
      </c>
      <c r="AN398" s="61">
        <v>2.1637635230807177</v>
      </c>
      <c r="AO398" s="61">
        <v>1</v>
      </c>
      <c r="AP398" s="63">
        <f t="shared" si="86"/>
        <v>0.46215771239928405</v>
      </c>
      <c r="AQ398" s="61">
        <v>5.3766352216317301</v>
      </c>
      <c r="AR398" s="61">
        <v>1</v>
      </c>
      <c r="AS398" s="63">
        <f t="shared" si="87"/>
        <v>0.18598992841781717</v>
      </c>
      <c r="AT398" s="61">
        <v>26</v>
      </c>
      <c r="AU398" s="61">
        <v>28</v>
      </c>
      <c r="AV398" s="63">
        <f t="shared" si="88"/>
        <v>1.0769230769230769</v>
      </c>
      <c r="AW398" s="61">
        <v>4.2649270892395306</v>
      </c>
      <c r="AX398" s="61">
        <v>0</v>
      </c>
      <c r="AY398" s="63">
        <f t="shared" si="89"/>
        <v>0</v>
      </c>
      <c r="AZ398" s="61">
        <v>4</v>
      </c>
      <c r="BA398" s="61">
        <v>3</v>
      </c>
      <c r="BB398" s="63">
        <f t="shared" si="90"/>
        <v>0.75</v>
      </c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</row>
    <row r="399" spans="1:87" x14ac:dyDescent="0.25">
      <c r="A399" s="180">
        <v>12172</v>
      </c>
      <c r="B399" s="181">
        <v>10647</v>
      </c>
      <c r="C399" s="148">
        <v>1095267108</v>
      </c>
      <c r="D399" s="182" t="s">
        <v>581</v>
      </c>
      <c r="E399" s="180" t="s">
        <v>546</v>
      </c>
      <c r="F399" s="180" t="s">
        <v>546</v>
      </c>
      <c r="G399" s="180" t="s">
        <v>412</v>
      </c>
      <c r="H399" s="180" t="s">
        <v>412</v>
      </c>
      <c r="I399" s="180" t="s">
        <v>1218</v>
      </c>
      <c r="J399" s="180" t="s">
        <v>221</v>
      </c>
      <c r="K399" s="182" t="s">
        <v>258</v>
      </c>
      <c r="L399" s="180">
        <v>73001</v>
      </c>
      <c r="M399" s="182"/>
      <c r="N399" s="180"/>
      <c r="O399" s="184"/>
      <c r="P399" s="183">
        <v>145726</v>
      </c>
      <c r="Q399" s="61">
        <v>146648.71999999997</v>
      </c>
      <c r="R399" s="63">
        <f t="shared" si="78"/>
        <v>1.0063318831231214</v>
      </c>
      <c r="S399" s="61">
        <v>26573</v>
      </c>
      <c r="T399" s="61">
        <v>7505.6399999999994</v>
      </c>
      <c r="U399" s="63">
        <f t="shared" si="79"/>
        <v>0.28245361833439958</v>
      </c>
      <c r="V399" s="61">
        <v>38603.893878089293</v>
      </c>
      <c r="W399" s="61">
        <v>26949.53</v>
      </c>
      <c r="X399" s="63">
        <f t="shared" si="80"/>
        <v>0.69810392923331366</v>
      </c>
      <c r="Y399" s="61">
        <v>1082</v>
      </c>
      <c r="Z399" s="102">
        <v>0</v>
      </c>
      <c r="AA399" s="63">
        <f t="shared" si="81"/>
        <v>0</v>
      </c>
      <c r="AB399" s="61">
        <v>29</v>
      </c>
      <c r="AC399" s="61">
        <v>14</v>
      </c>
      <c r="AD399" s="63">
        <f t="shared" si="82"/>
        <v>0.48275862068965519</v>
      </c>
      <c r="AE399" s="61">
        <v>4</v>
      </c>
      <c r="AF399" s="61">
        <v>2</v>
      </c>
      <c r="AG399" s="63">
        <f t="shared" si="83"/>
        <v>0.5</v>
      </c>
      <c r="AH399" s="61">
        <v>140.06272844488424</v>
      </c>
      <c r="AI399" s="61">
        <v>99</v>
      </c>
      <c r="AJ399" s="63">
        <f t="shared" si="84"/>
        <v>0.70682615638861601</v>
      </c>
      <c r="AK399" s="61">
        <v>4.7759454435277906</v>
      </c>
      <c r="AL399" s="61">
        <v>1</v>
      </c>
      <c r="AM399" s="63">
        <f t="shared" si="85"/>
        <v>0.20938262629343227</v>
      </c>
      <c r="AN399" s="61">
        <v>2.8850180307742903</v>
      </c>
      <c r="AO399" s="61">
        <v>5</v>
      </c>
      <c r="AP399" s="63">
        <f t="shared" si="86"/>
        <v>1.7330914214973152</v>
      </c>
      <c r="AQ399" s="61">
        <v>8.0649528324475952</v>
      </c>
      <c r="AR399" s="61">
        <v>5</v>
      </c>
      <c r="AS399" s="63">
        <f t="shared" si="87"/>
        <v>0.61996642805939051</v>
      </c>
      <c r="AT399" s="61">
        <v>3</v>
      </c>
      <c r="AU399" s="61">
        <v>3</v>
      </c>
      <c r="AV399" s="63">
        <f t="shared" si="88"/>
        <v>1</v>
      </c>
      <c r="AW399" s="61">
        <v>4.2649270892395306</v>
      </c>
      <c r="AX399" s="61">
        <v>0</v>
      </c>
      <c r="AY399" s="63">
        <f t="shared" si="89"/>
        <v>0</v>
      </c>
      <c r="AZ399" s="61">
        <v>10</v>
      </c>
      <c r="BA399" s="61">
        <v>11</v>
      </c>
      <c r="BB399" s="63">
        <f t="shared" si="90"/>
        <v>1.1000000000000001</v>
      </c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</row>
    <row r="400" spans="1:87" x14ac:dyDescent="0.25">
      <c r="A400" s="180">
        <v>21022</v>
      </c>
      <c r="B400" s="181">
        <v>10647</v>
      </c>
      <c r="C400" s="148">
        <v>1056084708</v>
      </c>
      <c r="D400" s="182" t="s">
        <v>584</v>
      </c>
      <c r="E400" s="180" t="s">
        <v>546</v>
      </c>
      <c r="F400" s="180" t="s">
        <v>546</v>
      </c>
      <c r="G400" s="180" t="s">
        <v>304</v>
      </c>
      <c r="H400" s="180" t="s">
        <v>304</v>
      </c>
      <c r="I400" s="180" t="s">
        <v>1218</v>
      </c>
      <c r="J400" s="180" t="s">
        <v>221</v>
      </c>
      <c r="K400" s="182" t="s">
        <v>258</v>
      </c>
      <c r="L400" s="180">
        <v>73001</v>
      </c>
      <c r="M400" s="180" t="s">
        <v>1222</v>
      </c>
      <c r="N400" s="180"/>
      <c r="O400" s="180"/>
      <c r="P400" s="183">
        <v>108794</v>
      </c>
      <c r="Q400" s="61">
        <v>97225.239999999991</v>
      </c>
      <c r="R400" s="63">
        <f t="shared" si="78"/>
        <v>0.89366362115557829</v>
      </c>
      <c r="S400" s="61">
        <v>21200</v>
      </c>
      <c r="T400" s="61">
        <v>9144.7000000000007</v>
      </c>
      <c r="U400" s="63">
        <f t="shared" si="79"/>
        <v>0.43135377358490568</v>
      </c>
      <c r="V400" s="61">
        <v>38448.422381714976</v>
      </c>
      <c r="W400" s="61">
        <v>14905.299999999997</v>
      </c>
      <c r="X400" s="63">
        <f t="shared" si="80"/>
        <v>0.38767000247813949</v>
      </c>
      <c r="Y400" s="61">
        <v>1163</v>
      </c>
      <c r="Z400" s="102">
        <v>0</v>
      </c>
      <c r="AA400" s="63">
        <f t="shared" si="81"/>
        <v>0</v>
      </c>
      <c r="AB400" s="61">
        <v>25</v>
      </c>
      <c r="AC400" s="61">
        <v>11</v>
      </c>
      <c r="AD400" s="63">
        <f t="shared" si="82"/>
        <v>0.44</v>
      </c>
      <c r="AE400" s="61">
        <v>2</v>
      </c>
      <c r="AF400" s="61">
        <v>0</v>
      </c>
      <c r="AG400" s="63">
        <f t="shared" si="83"/>
        <v>0</v>
      </c>
      <c r="AH400" s="61">
        <v>95.062728444884257</v>
      </c>
      <c r="AI400" s="61">
        <v>41</v>
      </c>
      <c r="AJ400" s="63">
        <f t="shared" si="84"/>
        <v>0.43129416408209975</v>
      </c>
      <c r="AK400" s="61">
        <v>3.9799545362731585</v>
      </c>
      <c r="AL400" s="61">
        <v>0</v>
      </c>
      <c r="AM400" s="63">
        <f t="shared" si="85"/>
        <v>0</v>
      </c>
      <c r="AN400" s="61">
        <v>0.72125450769357258</v>
      </c>
      <c r="AO400" s="61">
        <v>0</v>
      </c>
      <c r="AP400" s="63">
        <f t="shared" si="86"/>
        <v>0</v>
      </c>
      <c r="AQ400" s="61">
        <v>11.649376313535415</v>
      </c>
      <c r="AR400" s="61">
        <v>3</v>
      </c>
      <c r="AS400" s="63">
        <f t="shared" si="87"/>
        <v>0.25752451627082379</v>
      </c>
      <c r="AT400" s="61">
        <v>3</v>
      </c>
      <c r="AU400" s="61">
        <v>2</v>
      </c>
      <c r="AV400" s="63">
        <f t="shared" si="88"/>
        <v>0.66666666666666663</v>
      </c>
      <c r="AW400" s="61">
        <v>3.1840473062234977</v>
      </c>
      <c r="AX400" s="61">
        <v>1</v>
      </c>
      <c r="AY400" s="63">
        <f t="shared" si="89"/>
        <v>0.31406568553344449</v>
      </c>
      <c r="AZ400" s="61">
        <v>10</v>
      </c>
      <c r="BA400" s="61">
        <v>6</v>
      </c>
      <c r="BB400" s="63">
        <f t="shared" si="90"/>
        <v>0.6</v>
      </c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</row>
    <row r="401" spans="1:87" x14ac:dyDescent="0.25">
      <c r="A401" s="180">
        <v>27815</v>
      </c>
      <c r="B401" s="181">
        <v>10647</v>
      </c>
      <c r="C401" s="148">
        <v>1002767141</v>
      </c>
      <c r="D401" s="182" t="s">
        <v>582</v>
      </c>
      <c r="E401" s="180" t="s">
        <v>546</v>
      </c>
      <c r="F401" s="180" t="s">
        <v>546</v>
      </c>
      <c r="G401" s="128" t="s">
        <v>269</v>
      </c>
      <c r="H401" s="128" t="s">
        <v>269</v>
      </c>
      <c r="I401" s="180" t="s">
        <v>1218</v>
      </c>
      <c r="J401" s="180" t="s">
        <v>221</v>
      </c>
      <c r="K401" s="182" t="s">
        <v>258</v>
      </c>
      <c r="L401" s="180">
        <v>73001</v>
      </c>
      <c r="M401" s="180"/>
      <c r="N401" s="180"/>
      <c r="O401" s="180"/>
      <c r="P401" s="183">
        <v>134516</v>
      </c>
      <c r="Q401" s="61">
        <v>135953.07</v>
      </c>
      <c r="R401" s="63">
        <f t="shared" si="78"/>
        <v>1.0106832644443784</v>
      </c>
      <c r="S401" s="61">
        <v>20020</v>
      </c>
      <c r="T401" s="61">
        <v>14293.04</v>
      </c>
      <c r="U401" s="63">
        <f t="shared" si="79"/>
        <v>0.71393806193806197</v>
      </c>
      <c r="V401" s="61">
        <v>37036.422381714976</v>
      </c>
      <c r="W401" s="61">
        <v>12920.44</v>
      </c>
      <c r="X401" s="63">
        <f t="shared" si="80"/>
        <v>0.348857669535027</v>
      </c>
      <c r="Y401" s="61">
        <v>1206</v>
      </c>
      <c r="Z401" s="102">
        <v>476</v>
      </c>
      <c r="AA401" s="63">
        <f t="shared" si="81"/>
        <v>0.3946932006633499</v>
      </c>
      <c r="AB401" s="61">
        <v>29</v>
      </c>
      <c r="AC401" s="61">
        <v>16</v>
      </c>
      <c r="AD401" s="63">
        <f t="shared" si="82"/>
        <v>0.55172413793103448</v>
      </c>
      <c r="AE401" s="61">
        <v>8</v>
      </c>
      <c r="AF401" s="61">
        <v>3</v>
      </c>
      <c r="AG401" s="63">
        <f t="shared" si="83"/>
        <v>0.375</v>
      </c>
      <c r="AH401" s="61">
        <v>134.06272844488424</v>
      </c>
      <c r="AI401" s="61">
        <v>111</v>
      </c>
      <c r="AJ401" s="63">
        <f t="shared" si="84"/>
        <v>0.82797061709537134</v>
      </c>
      <c r="AK401" s="61">
        <v>7.1639181652916859</v>
      </c>
      <c r="AL401" s="61">
        <v>5</v>
      </c>
      <c r="AM401" s="63">
        <f t="shared" si="85"/>
        <v>0.69794208764477428</v>
      </c>
      <c r="AN401" s="61">
        <v>2.1637635230807177</v>
      </c>
      <c r="AO401" s="61">
        <v>1</v>
      </c>
      <c r="AP401" s="63">
        <f t="shared" si="86"/>
        <v>0.46215771239928405</v>
      </c>
      <c r="AQ401" s="61">
        <v>8.0649528324475952</v>
      </c>
      <c r="AR401" s="61">
        <v>9</v>
      </c>
      <c r="AS401" s="63">
        <f t="shared" si="87"/>
        <v>1.1159395705069031</v>
      </c>
      <c r="AT401" s="61">
        <v>3</v>
      </c>
      <c r="AU401" s="61">
        <v>6</v>
      </c>
      <c r="AV401" s="63">
        <f t="shared" si="88"/>
        <v>2</v>
      </c>
      <c r="AW401" s="61">
        <v>3.9368467695273641</v>
      </c>
      <c r="AX401" s="61">
        <v>0</v>
      </c>
      <c r="AY401" s="63">
        <f t="shared" si="89"/>
        <v>0</v>
      </c>
      <c r="AZ401" s="61">
        <v>10</v>
      </c>
      <c r="BA401" s="61">
        <v>4</v>
      </c>
      <c r="BB401" s="63">
        <f t="shared" si="90"/>
        <v>0.4</v>
      </c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</row>
    <row r="402" spans="1:87" x14ac:dyDescent="0.25">
      <c r="A402" s="180">
        <v>3588</v>
      </c>
      <c r="B402" s="181">
        <v>10647</v>
      </c>
      <c r="C402" s="148">
        <v>1012742050</v>
      </c>
      <c r="D402" s="182" t="s">
        <v>580</v>
      </c>
      <c r="E402" s="180" t="s">
        <v>546</v>
      </c>
      <c r="F402" s="180" t="s">
        <v>546</v>
      </c>
      <c r="G402" s="180" t="s">
        <v>265</v>
      </c>
      <c r="H402" s="180" t="s">
        <v>266</v>
      </c>
      <c r="I402" s="180" t="s">
        <v>1218</v>
      </c>
      <c r="J402" s="180" t="s">
        <v>221</v>
      </c>
      <c r="K402" s="182" t="s">
        <v>258</v>
      </c>
      <c r="L402" s="180">
        <v>73001</v>
      </c>
      <c r="M402" s="180"/>
      <c r="N402" s="180"/>
      <c r="O402" s="184"/>
      <c r="P402" s="183">
        <v>123307</v>
      </c>
      <c r="Q402" s="61">
        <v>22623.48</v>
      </c>
      <c r="R402" s="63">
        <f t="shared" si="78"/>
        <v>0.18347279554283211</v>
      </c>
      <c r="S402" s="61">
        <v>18625</v>
      </c>
      <c r="T402" s="61">
        <v>1730.1100000000001</v>
      </c>
      <c r="U402" s="63">
        <f t="shared" si="79"/>
        <v>9.2891812080536915E-2</v>
      </c>
      <c r="V402" s="61">
        <v>29119.422381714976</v>
      </c>
      <c r="W402" s="61">
        <v>11584.6</v>
      </c>
      <c r="X402" s="63">
        <f t="shared" si="80"/>
        <v>0.39783069348498973</v>
      </c>
      <c r="Y402" s="61">
        <v>379</v>
      </c>
      <c r="Z402" s="102">
        <v>0</v>
      </c>
      <c r="AA402" s="63">
        <f t="shared" si="81"/>
        <v>0</v>
      </c>
      <c r="AB402" s="61">
        <v>20</v>
      </c>
      <c r="AC402" s="61">
        <v>7</v>
      </c>
      <c r="AD402" s="63">
        <f t="shared" si="82"/>
        <v>0.35</v>
      </c>
      <c r="AE402" s="61">
        <v>2</v>
      </c>
      <c r="AF402" s="61">
        <v>0</v>
      </c>
      <c r="AG402" s="63">
        <f t="shared" si="83"/>
        <v>0</v>
      </c>
      <c r="AH402" s="61">
        <v>67.062728444884257</v>
      </c>
      <c r="AI402" s="61">
        <v>29</v>
      </c>
      <c r="AJ402" s="63">
        <f t="shared" si="84"/>
        <v>0.43243095937907977</v>
      </c>
      <c r="AK402" s="61">
        <v>2.3879727217638953</v>
      </c>
      <c r="AL402" s="61">
        <v>1</v>
      </c>
      <c r="AM402" s="63">
        <f t="shared" si="85"/>
        <v>0.41876525258686453</v>
      </c>
      <c r="AN402" s="61">
        <v>0.72125450769357258</v>
      </c>
      <c r="AO402" s="61">
        <v>0</v>
      </c>
      <c r="AP402" s="63">
        <f t="shared" si="86"/>
        <v>0</v>
      </c>
      <c r="AQ402" s="61">
        <v>6.2727410919036846</v>
      </c>
      <c r="AR402" s="61">
        <v>3</v>
      </c>
      <c r="AS402" s="63">
        <f t="shared" si="87"/>
        <v>0.47825981593152989</v>
      </c>
      <c r="AT402" s="61">
        <v>2</v>
      </c>
      <c r="AU402" s="61">
        <v>0</v>
      </c>
      <c r="AV402" s="63">
        <f t="shared" si="88"/>
        <v>0</v>
      </c>
      <c r="AW402" s="61">
        <v>3.6087957165698556</v>
      </c>
      <c r="AX402" s="61">
        <v>0</v>
      </c>
      <c r="AY402" s="63">
        <f t="shared" si="89"/>
        <v>0</v>
      </c>
      <c r="AZ402" s="61">
        <v>10</v>
      </c>
      <c r="BA402" s="61">
        <v>2</v>
      </c>
      <c r="BB402" s="63">
        <f t="shared" si="90"/>
        <v>0.2</v>
      </c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</row>
    <row r="403" spans="1:87" x14ac:dyDescent="0.25">
      <c r="A403" s="180">
        <v>10418</v>
      </c>
      <c r="B403" s="181">
        <v>10647</v>
      </c>
      <c r="C403" s="148">
        <v>1034936144</v>
      </c>
      <c r="D403" s="182" t="s">
        <v>588</v>
      </c>
      <c r="E403" s="180" t="s">
        <v>546</v>
      </c>
      <c r="F403" s="180" t="s">
        <v>546</v>
      </c>
      <c r="G403" s="180" t="s">
        <v>305</v>
      </c>
      <c r="H403" s="180" t="s">
        <v>306</v>
      </c>
      <c r="I403" s="180" t="s">
        <v>1218</v>
      </c>
      <c r="J403" s="180" t="s">
        <v>221</v>
      </c>
      <c r="K403" s="182" t="s">
        <v>258</v>
      </c>
      <c r="L403" s="180">
        <v>73001</v>
      </c>
      <c r="M403" s="182" t="s">
        <v>1215</v>
      </c>
      <c r="N403" s="180"/>
      <c r="O403" s="184"/>
      <c r="P403" s="183">
        <v>134516</v>
      </c>
      <c r="Q403" s="61">
        <v>57780.89</v>
      </c>
      <c r="R403" s="63">
        <f t="shared" si="78"/>
        <v>0.42954659668738293</v>
      </c>
      <c r="S403" s="61">
        <v>28384</v>
      </c>
      <c r="T403" s="61">
        <v>11171.3</v>
      </c>
      <c r="U403" s="63">
        <f t="shared" si="79"/>
        <v>0.39357736753100336</v>
      </c>
      <c r="V403" s="61">
        <v>48136.20697329774</v>
      </c>
      <c r="W403" s="61">
        <v>36542.679999999993</v>
      </c>
      <c r="X403" s="63">
        <f t="shared" si="80"/>
        <v>0.75915163029507204</v>
      </c>
      <c r="Y403" s="61">
        <v>3526</v>
      </c>
      <c r="Z403" s="102">
        <v>389</v>
      </c>
      <c r="AA403" s="63">
        <f t="shared" si="81"/>
        <v>0.11032331253545094</v>
      </c>
      <c r="AB403" s="61">
        <v>39</v>
      </c>
      <c r="AC403" s="61">
        <v>14</v>
      </c>
      <c r="AD403" s="63">
        <f t="shared" si="82"/>
        <v>0.35897435897435898</v>
      </c>
      <c r="AE403" s="61">
        <v>5</v>
      </c>
      <c r="AF403" s="61">
        <v>1</v>
      </c>
      <c r="AG403" s="63">
        <f t="shared" si="83"/>
        <v>0.2</v>
      </c>
      <c r="AH403" s="61">
        <v>163.06272844488424</v>
      </c>
      <c r="AI403" s="61">
        <v>93</v>
      </c>
      <c r="AJ403" s="63">
        <f t="shared" si="84"/>
        <v>0.57033266208000633</v>
      </c>
      <c r="AK403" s="61">
        <v>5.5719363507824218</v>
      </c>
      <c r="AL403" s="61">
        <v>1</v>
      </c>
      <c r="AM403" s="63">
        <f t="shared" si="85"/>
        <v>0.17947082253722768</v>
      </c>
      <c r="AN403" s="61">
        <v>3.6062725384678629</v>
      </c>
      <c r="AO403" s="61">
        <v>3</v>
      </c>
      <c r="AP403" s="63">
        <f t="shared" si="86"/>
        <v>0.83188388231871135</v>
      </c>
      <c r="AQ403" s="61">
        <v>8.0649528324475952</v>
      </c>
      <c r="AR403" s="61">
        <v>4</v>
      </c>
      <c r="AS403" s="63">
        <f t="shared" si="87"/>
        <v>0.49597314244751245</v>
      </c>
      <c r="AT403" s="61">
        <v>4</v>
      </c>
      <c r="AU403" s="61">
        <v>3</v>
      </c>
      <c r="AV403" s="63">
        <f t="shared" si="88"/>
        <v>0.75</v>
      </c>
      <c r="AW403" s="61">
        <v>3.9368467695273641</v>
      </c>
      <c r="AX403" s="61">
        <v>0</v>
      </c>
      <c r="AY403" s="63">
        <f t="shared" si="89"/>
        <v>0</v>
      </c>
      <c r="AZ403" s="61">
        <v>10</v>
      </c>
      <c r="BA403" s="61">
        <v>0</v>
      </c>
      <c r="BB403" s="63">
        <f t="shared" si="90"/>
        <v>0</v>
      </c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</row>
    <row r="404" spans="1:87" x14ac:dyDescent="0.25">
      <c r="A404" s="180">
        <v>27817</v>
      </c>
      <c r="B404" s="181">
        <v>10647</v>
      </c>
      <c r="C404" s="148">
        <v>1050458908</v>
      </c>
      <c r="D404" s="182" t="s">
        <v>585</v>
      </c>
      <c r="E404" s="180" t="s">
        <v>546</v>
      </c>
      <c r="F404" s="180" t="s">
        <v>546</v>
      </c>
      <c r="G404" s="180" t="s">
        <v>259</v>
      </c>
      <c r="H404" s="180" t="s">
        <v>259</v>
      </c>
      <c r="I404" s="180" t="s">
        <v>1218</v>
      </c>
      <c r="J404" s="180" t="s">
        <v>221</v>
      </c>
      <c r="K404" s="182" t="s">
        <v>258</v>
      </c>
      <c r="L404" s="180">
        <v>73001</v>
      </c>
      <c r="M404" s="182" t="s">
        <v>1146</v>
      </c>
      <c r="N404" s="180">
        <v>5</v>
      </c>
      <c r="O404" s="184">
        <v>0.1</v>
      </c>
      <c r="P404" s="183">
        <v>112097</v>
      </c>
      <c r="Q404" s="61">
        <v>46080.03</v>
      </c>
      <c r="R404" s="63">
        <f t="shared" si="78"/>
        <v>0.41107282086050473</v>
      </c>
      <c r="S404" s="61">
        <v>30214</v>
      </c>
      <c r="T404" s="61">
        <v>3216.52</v>
      </c>
      <c r="U404" s="63">
        <f t="shared" si="79"/>
        <v>0.10645793340835374</v>
      </c>
      <c r="V404" s="61">
        <v>31237.900528326572</v>
      </c>
      <c r="W404" s="61">
        <v>18994.769999999997</v>
      </c>
      <c r="X404" s="63">
        <f t="shared" si="80"/>
        <v>0.60806807367785531</v>
      </c>
      <c r="Y404" s="61">
        <v>1006</v>
      </c>
      <c r="Z404" s="102">
        <v>240</v>
      </c>
      <c r="AA404" s="63">
        <f t="shared" si="81"/>
        <v>0.23856858846918488</v>
      </c>
      <c r="AB404" s="61">
        <v>29</v>
      </c>
      <c r="AC404" s="61">
        <v>3</v>
      </c>
      <c r="AD404" s="63">
        <f t="shared" si="82"/>
        <v>0.10344827586206896</v>
      </c>
      <c r="AE404" s="61">
        <v>4</v>
      </c>
      <c r="AF404" s="61">
        <v>2</v>
      </c>
      <c r="AG404" s="63">
        <f t="shared" si="83"/>
        <v>0.5</v>
      </c>
      <c r="AH404" s="61">
        <v>135.29704633366319</v>
      </c>
      <c r="AI404" s="61">
        <v>66</v>
      </c>
      <c r="AJ404" s="63">
        <f t="shared" si="84"/>
        <v>0.4878155273045201</v>
      </c>
      <c r="AK404" s="61">
        <v>5.5719363507824218</v>
      </c>
      <c r="AL404" s="61">
        <v>0</v>
      </c>
      <c r="AM404" s="63">
        <f t="shared" si="85"/>
        <v>0</v>
      </c>
      <c r="AN404" s="61">
        <v>1.4425090153871452</v>
      </c>
      <c r="AO404" s="61">
        <v>1</v>
      </c>
      <c r="AP404" s="63">
        <f t="shared" si="86"/>
        <v>0.69323656859892613</v>
      </c>
      <c r="AQ404" s="61">
        <v>9.8571645729915041</v>
      </c>
      <c r="AR404" s="61">
        <v>7</v>
      </c>
      <c r="AS404" s="63">
        <f t="shared" si="87"/>
        <v>0.71014336304984749</v>
      </c>
      <c r="AT404" s="61">
        <v>14</v>
      </c>
      <c r="AU404" s="61">
        <v>8</v>
      </c>
      <c r="AV404" s="63">
        <f t="shared" si="88"/>
        <v>0.5714285714285714</v>
      </c>
      <c r="AW404" s="61">
        <v>3.2807153968576892</v>
      </c>
      <c r="AX404" s="61">
        <v>0</v>
      </c>
      <c r="AY404" s="63">
        <f t="shared" si="89"/>
        <v>0</v>
      </c>
      <c r="AZ404" s="61">
        <v>8</v>
      </c>
      <c r="BA404" s="61">
        <v>1</v>
      </c>
      <c r="BB404" s="63">
        <f t="shared" si="90"/>
        <v>0.125</v>
      </c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</row>
    <row r="405" spans="1:87" x14ac:dyDescent="0.25">
      <c r="A405" s="251">
        <v>10434</v>
      </c>
      <c r="B405" s="252">
        <v>10647</v>
      </c>
      <c r="C405" s="253">
        <v>1077952503</v>
      </c>
      <c r="D405" s="254" t="s">
        <v>586</v>
      </c>
      <c r="E405" s="247" t="s">
        <v>546</v>
      </c>
      <c r="F405" s="247" t="s">
        <v>546</v>
      </c>
      <c r="G405" s="251" t="s">
        <v>260</v>
      </c>
      <c r="H405" s="251" t="s">
        <v>261</v>
      </c>
      <c r="I405" s="251" t="s">
        <v>1218</v>
      </c>
      <c r="J405" s="251" t="s">
        <v>221</v>
      </c>
      <c r="K405" s="249" t="s">
        <v>258</v>
      </c>
      <c r="L405" s="247">
        <v>73001</v>
      </c>
      <c r="M405" s="255" t="s">
        <v>1143</v>
      </c>
      <c r="N405" s="247">
        <v>5</v>
      </c>
      <c r="O405" s="247">
        <v>0.5</v>
      </c>
      <c r="P405" s="250">
        <v>100887</v>
      </c>
      <c r="Q405" s="61">
        <v>152692.21000000002</v>
      </c>
      <c r="R405" s="63">
        <f t="shared" si="78"/>
        <v>1.5134973782548795</v>
      </c>
      <c r="S405" s="61">
        <v>25316</v>
      </c>
      <c r="T405" s="61">
        <v>11389.990000000002</v>
      </c>
      <c r="U405" s="63">
        <f t="shared" si="79"/>
        <v>0.4499127034286618</v>
      </c>
      <c r="V405" s="61">
        <v>27415.27526431546</v>
      </c>
      <c r="W405" s="61">
        <v>19622.179999999997</v>
      </c>
      <c r="X405" s="63">
        <f t="shared" si="80"/>
        <v>0.71573893790301679</v>
      </c>
      <c r="Y405" s="61">
        <v>2029</v>
      </c>
      <c r="Z405" s="102">
        <v>779</v>
      </c>
      <c r="AA405" s="63">
        <f t="shared" si="81"/>
        <v>0.38393297190734355</v>
      </c>
      <c r="AB405" s="61">
        <v>26</v>
      </c>
      <c r="AC405" s="61">
        <v>9</v>
      </c>
      <c r="AD405" s="63">
        <f t="shared" si="82"/>
        <v>0.34615384615384615</v>
      </c>
      <c r="AE405" s="61">
        <v>5</v>
      </c>
      <c r="AF405" s="61">
        <v>1</v>
      </c>
      <c r="AG405" s="63">
        <f t="shared" si="83"/>
        <v>0.2</v>
      </c>
      <c r="AH405" s="61">
        <v>82.598312190664686</v>
      </c>
      <c r="AI405" s="61">
        <v>67</v>
      </c>
      <c r="AJ405" s="63">
        <f t="shared" si="84"/>
        <v>0.81115458927709638</v>
      </c>
      <c r="AK405" s="61">
        <v>4.7759454435277906</v>
      </c>
      <c r="AL405" s="61">
        <v>2</v>
      </c>
      <c r="AM405" s="63">
        <f t="shared" si="85"/>
        <v>0.41876525258686453</v>
      </c>
      <c r="AN405" s="61">
        <v>2.8850180307742903</v>
      </c>
      <c r="AO405" s="61">
        <v>0</v>
      </c>
      <c r="AP405" s="63">
        <f t="shared" si="86"/>
        <v>0</v>
      </c>
      <c r="AQ405" s="61">
        <v>7.1688469621756399</v>
      </c>
      <c r="AR405" s="61">
        <v>2</v>
      </c>
      <c r="AS405" s="63">
        <f t="shared" si="87"/>
        <v>0.27898489262672577</v>
      </c>
      <c r="AT405" s="61">
        <v>3</v>
      </c>
      <c r="AU405" s="61">
        <v>1</v>
      </c>
      <c r="AV405" s="63">
        <f t="shared" si="88"/>
        <v>0.33333333333333331</v>
      </c>
      <c r="AW405" s="61">
        <v>2.9526350771455232</v>
      </c>
      <c r="AX405" s="61">
        <v>0</v>
      </c>
      <c r="AY405" s="63">
        <f t="shared" si="89"/>
        <v>0</v>
      </c>
      <c r="AZ405" s="61">
        <v>4</v>
      </c>
      <c r="BA405" s="61">
        <v>7</v>
      </c>
      <c r="BB405" s="63">
        <f t="shared" si="90"/>
        <v>1.75</v>
      </c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</row>
    <row r="406" spans="1:87" x14ac:dyDescent="0.25">
      <c r="A406" s="180">
        <v>21123</v>
      </c>
      <c r="B406" s="181">
        <v>12886</v>
      </c>
      <c r="C406" s="148">
        <v>1005206576</v>
      </c>
      <c r="D406" s="182" t="s">
        <v>626</v>
      </c>
      <c r="E406" s="180" t="s">
        <v>541</v>
      </c>
      <c r="F406" s="180" t="s">
        <v>541</v>
      </c>
      <c r="G406" s="180" t="s">
        <v>277</v>
      </c>
      <c r="H406" s="180" t="s">
        <v>277</v>
      </c>
      <c r="I406" s="180" t="s">
        <v>1218</v>
      </c>
      <c r="J406" s="180" t="s">
        <v>221</v>
      </c>
      <c r="K406" s="182" t="s">
        <v>270</v>
      </c>
      <c r="L406" s="180">
        <v>73004</v>
      </c>
      <c r="M406" s="180"/>
      <c r="N406" s="180"/>
      <c r="O406" s="184"/>
      <c r="P406" s="183">
        <v>587542</v>
      </c>
      <c r="Q406" s="61">
        <v>0</v>
      </c>
      <c r="R406" s="63">
        <f t="shared" si="78"/>
        <v>0</v>
      </c>
      <c r="S406" s="61">
        <v>80315</v>
      </c>
      <c r="T406" s="61">
        <v>0</v>
      </c>
      <c r="U406" s="63">
        <f t="shared" si="79"/>
        <v>0</v>
      </c>
      <c r="V406" s="61">
        <v>137897.0746312541</v>
      </c>
      <c r="W406" s="61">
        <v>0</v>
      </c>
      <c r="X406" s="63">
        <f t="shared" si="80"/>
        <v>0</v>
      </c>
      <c r="Y406" s="61">
        <v>6954</v>
      </c>
      <c r="Z406" s="102">
        <v>0</v>
      </c>
      <c r="AA406" s="63">
        <f t="shared" si="81"/>
        <v>0</v>
      </c>
      <c r="AB406" s="61">
        <v>73</v>
      </c>
      <c r="AC406" s="61">
        <v>0</v>
      </c>
      <c r="AD406" s="63">
        <f t="shared" si="82"/>
        <v>0</v>
      </c>
      <c r="AE406" s="61">
        <v>7</v>
      </c>
      <c r="AF406" s="61">
        <v>0</v>
      </c>
      <c r="AG406" s="63">
        <f t="shared" si="83"/>
        <v>0</v>
      </c>
      <c r="AH406" s="61">
        <v>343.92461298510085</v>
      </c>
      <c r="AI406" s="61">
        <v>0</v>
      </c>
      <c r="AJ406" s="63">
        <f t="shared" si="84"/>
        <v>0</v>
      </c>
      <c r="AK406" s="61">
        <v>14.327836330583372</v>
      </c>
      <c r="AL406" s="61">
        <v>0</v>
      </c>
      <c r="AM406" s="63">
        <f t="shared" si="85"/>
        <v>0</v>
      </c>
      <c r="AN406" s="61">
        <v>10.818817615403589</v>
      </c>
      <c r="AO406" s="61">
        <v>0</v>
      </c>
      <c r="AP406" s="63">
        <f t="shared" si="86"/>
        <v>0</v>
      </c>
      <c r="AQ406" s="61">
        <v>66.311834400124667</v>
      </c>
      <c r="AR406" s="61">
        <v>0</v>
      </c>
      <c r="AS406" s="63">
        <f t="shared" si="87"/>
        <v>0</v>
      </c>
      <c r="AT406" s="61">
        <v>26</v>
      </c>
      <c r="AU406" s="61">
        <v>0</v>
      </c>
      <c r="AV406" s="63">
        <f t="shared" si="88"/>
        <v>0</v>
      </c>
      <c r="AW406" s="61">
        <v>17.195447565060263</v>
      </c>
      <c r="AX406" s="61">
        <v>0</v>
      </c>
      <c r="AY406" s="63">
        <f t="shared" si="89"/>
        <v>0</v>
      </c>
      <c r="AZ406" s="61">
        <v>33</v>
      </c>
      <c r="BA406" s="61">
        <v>0</v>
      </c>
      <c r="BB406" s="63">
        <f t="shared" si="90"/>
        <v>0</v>
      </c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</row>
    <row r="407" spans="1:87" x14ac:dyDescent="0.25">
      <c r="A407" s="180">
        <v>12152</v>
      </c>
      <c r="B407" s="181">
        <v>21123</v>
      </c>
      <c r="C407" s="148">
        <v>1081870956</v>
      </c>
      <c r="D407" s="182" t="s">
        <v>691</v>
      </c>
      <c r="E407" s="180" t="s">
        <v>544</v>
      </c>
      <c r="F407" s="180" t="s">
        <v>544</v>
      </c>
      <c r="G407" s="180" t="s">
        <v>185</v>
      </c>
      <c r="H407" s="180" t="s">
        <v>185</v>
      </c>
      <c r="I407" s="180" t="s">
        <v>1218</v>
      </c>
      <c r="J407" s="180" t="s">
        <v>221</v>
      </c>
      <c r="K407" s="182" t="s">
        <v>270</v>
      </c>
      <c r="L407" s="180">
        <v>73004</v>
      </c>
      <c r="M407" s="180"/>
      <c r="N407" s="180"/>
      <c r="O407" s="184"/>
      <c r="P407" s="183">
        <v>270269</v>
      </c>
      <c r="Q407" s="61">
        <v>0</v>
      </c>
      <c r="R407" s="63">
        <f t="shared" si="78"/>
        <v>0</v>
      </c>
      <c r="S407" s="61">
        <v>42696</v>
      </c>
      <c r="T407" s="61">
        <v>0</v>
      </c>
      <c r="U407" s="63">
        <f t="shared" si="79"/>
        <v>0</v>
      </c>
      <c r="V407" s="61">
        <v>54037.641670925113</v>
      </c>
      <c r="W407" s="61">
        <v>0</v>
      </c>
      <c r="X407" s="63">
        <f t="shared" si="80"/>
        <v>0</v>
      </c>
      <c r="Y407" s="61">
        <v>3410</v>
      </c>
      <c r="Z407" s="102">
        <v>0</v>
      </c>
      <c r="AA407" s="63">
        <f t="shared" si="81"/>
        <v>0</v>
      </c>
      <c r="AB407" s="61">
        <v>27</v>
      </c>
      <c r="AC407" s="61">
        <v>4</v>
      </c>
      <c r="AD407" s="63">
        <f t="shared" si="82"/>
        <v>0.14814814814814814</v>
      </c>
      <c r="AE407" s="61">
        <v>3</v>
      </c>
      <c r="AF407" s="61">
        <v>0</v>
      </c>
      <c r="AG407" s="63">
        <f t="shared" si="83"/>
        <v>0</v>
      </c>
      <c r="AH407" s="61">
        <v>121.06272844488426</v>
      </c>
      <c r="AI407" s="61">
        <v>4</v>
      </c>
      <c r="AJ407" s="63">
        <f t="shared" si="84"/>
        <v>3.3040722370808483E-2</v>
      </c>
      <c r="AK407" s="61">
        <v>8.7558999798009491</v>
      </c>
      <c r="AL407" s="61">
        <v>0</v>
      </c>
      <c r="AM407" s="63">
        <f t="shared" si="85"/>
        <v>0</v>
      </c>
      <c r="AN407" s="61">
        <v>8.6550540923228709</v>
      </c>
      <c r="AO407" s="61">
        <v>0</v>
      </c>
      <c r="AP407" s="63">
        <f t="shared" si="86"/>
        <v>0</v>
      </c>
      <c r="AQ407" s="61">
        <v>43.013081773053841</v>
      </c>
      <c r="AR407" s="61">
        <v>0</v>
      </c>
      <c r="AS407" s="63">
        <f t="shared" si="87"/>
        <v>0</v>
      </c>
      <c r="AT407" s="61">
        <v>7</v>
      </c>
      <c r="AU407" s="61">
        <v>0</v>
      </c>
      <c r="AV407" s="63">
        <f t="shared" si="88"/>
        <v>0</v>
      </c>
      <c r="AW407" s="61">
        <v>7.9098965145662312</v>
      </c>
      <c r="AX407" s="61">
        <v>0</v>
      </c>
      <c r="AY407" s="63">
        <f t="shared" si="89"/>
        <v>0</v>
      </c>
      <c r="AZ407" s="61">
        <v>15</v>
      </c>
      <c r="BA407" s="61">
        <v>0</v>
      </c>
      <c r="BB407" s="63">
        <f t="shared" si="90"/>
        <v>0</v>
      </c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</row>
    <row r="408" spans="1:87" x14ac:dyDescent="0.25">
      <c r="A408" s="180">
        <v>21571</v>
      </c>
      <c r="B408" s="181">
        <v>12152</v>
      </c>
      <c r="C408" s="148">
        <v>1016508358</v>
      </c>
      <c r="D408" s="182" t="s">
        <v>593</v>
      </c>
      <c r="E408" s="180" t="s">
        <v>546</v>
      </c>
      <c r="F408" s="180" t="s">
        <v>546</v>
      </c>
      <c r="G408" s="180" t="s">
        <v>417</v>
      </c>
      <c r="H408" s="180" t="s">
        <v>417</v>
      </c>
      <c r="I408" s="180" t="s">
        <v>1218</v>
      </c>
      <c r="J408" s="180" t="s">
        <v>221</v>
      </c>
      <c r="K408" s="182" t="s">
        <v>270</v>
      </c>
      <c r="L408" s="180">
        <v>73004</v>
      </c>
      <c r="M408" s="180" t="s">
        <v>1143</v>
      </c>
      <c r="N408" s="180">
        <v>10</v>
      </c>
      <c r="O408" s="180">
        <v>0.3</v>
      </c>
      <c r="P408" s="183">
        <v>129259</v>
      </c>
      <c r="Q408" s="61">
        <v>16841.739999999998</v>
      </c>
      <c r="R408" s="63">
        <f t="shared" si="78"/>
        <v>0.13029452494603855</v>
      </c>
      <c r="S408" s="61">
        <v>18468</v>
      </c>
      <c r="T408" s="61">
        <v>3912.17</v>
      </c>
      <c r="U408" s="63">
        <f t="shared" si="79"/>
        <v>0.21183506606021227</v>
      </c>
      <c r="V408" s="61">
        <v>29984.684384456501</v>
      </c>
      <c r="W408" s="61">
        <v>3107.39</v>
      </c>
      <c r="X408" s="63">
        <f t="shared" si="80"/>
        <v>0.10363257322164153</v>
      </c>
      <c r="Y408" s="61">
        <v>853</v>
      </c>
      <c r="Z408" s="102">
        <v>0</v>
      </c>
      <c r="AA408" s="63">
        <f t="shared" si="81"/>
        <v>0</v>
      </c>
      <c r="AB408" s="61">
        <v>11</v>
      </c>
      <c r="AC408" s="61">
        <v>0</v>
      </c>
      <c r="AD408" s="63">
        <f t="shared" si="82"/>
        <v>0</v>
      </c>
      <c r="AE408" s="61">
        <v>1</v>
      </c>
      <c r="AF408" s="61">
        <v>0</v>
      </c>
      <c r="AG408" s="63">
        <f t="shared" si="83"/>
        <v>0</v>
      </c>
      <c r="AH408" s="61">
        <v>80.631786174775954</v>
      </c>
      <c r="AI408" s="61">
        <v>0</v>
      </c>
      <c r="AJ408" s="63">
        <f t="shared" si="84"/>
        <v>0</v>
      </c>
      <c r="AK408" s="61">
        <v>3.9799545362731585</v>
      </c>
      <c r="AL408" s="61">
        <v>0</v>
      </c>
      <c r="AM408" s="63">
        <f t="shared" si="85"/>
        <v>0</v>
      </c>
      <c r="AN408" s="61">
        <v>1.4425090153871452</v>
      </c>
      <c r="AO408" s="61">
        <v>0</v>
      </c>
      <c r="AP408" s="63">
        <f t="shared" si="86"/>
        <v>0</v>
      </c>
      <c r="AQ408" s="61">
        <v>8.9610587027195496</v>
      </c>
      <c r="AR408" s="61">
        <v>1</v>
      </c>
      <c r="AS408" s="63">
        <f t="shared" si="87"/>
        <v>0.11159395705069031</v>
      </c>
      <c r="AT408" s="61">
        <v>7</v>
      </c>
      <c r="AU408" s="61">
        <v>1</v>
      </c>
      <c r="AV408" s="63">
        <f t="shared" si="88"/>
        <v>0.14285714285714285</v>
      </c>
      <c r="AW408" s="61">
        <v>3.7829914402921405</v>
      </c>
      <c r="AX408" s="61">
        <v>0</v>
      </c>
      <c r="AY408" s="63">
        <f t="shared" si="89"/>
        <v>0</v>
      </c>
      <c r="AZ408" s="61">
        <v>6</v>
      </c>
      <c r="BA408" s="61">
        <v>3</v>
      </c>
      <c r="BB408" s="63">
        <f t="shared" si="90"/>
        <v>0.5</v>
      </c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</row>
    <row r="409" spans="1:87" x14ac:dyDescent="0.25">
      <c r="A409" s="180">
        <v>10818</v>
      </c>
      <c r="B409" s="181">
        <v>12152</v>
      </c>
      <c r="C409" s="181">
        <v>1073381533</v>
      </c>
      <c r="D409" s="182" t="s">
        <v>594</v>
      </c>
      <c r="E409" s="180" t="s">
        <v>546</v>
      </c>
      <c r="F409" s="180" t="s">
        <v>546</v>
      </c>
      <c r="G409" s="180" t="s">
        <v>272</v>
      </c>
      <c r="H409" s="180" t="s">
        <v>272</v>
      </c>
      <c r="I409" s="180" t="s">
        <v>1218</v>
      </c>
      <c r="J409" s="180" t="s">
        <v>221</v>
      </c>
      <c r="K409" s="182" t="s">
        <v>270</v>
      </c>
      <c r="L409" s="180">
        <v>73004</v>
      </c>
      <c r="M409" s="180" t="s">
        <v>1222</v>
      </c>
      <c r="N409" s="180"/>
      <c r="O409" s="184"/>
      <c r="P409" s="183">
        <v>141010</v>
      </c>
      <c r="Q409" s="61">
        <v>0</v>
      </c>
      <c r="R409" s="63">
        <f t="shared" si="78"/>
        <v>0</v>
      </c>
      <c r="S409" s="61">
        <v>24228</v>
      </c>
      <c r="T409" s="61">
        <v>564.35</v>
      </c>
      <c r="U409" s="63">
        <f t="shared" si="79"/>
        <v>2.3293297011721975E-2</v>
      </c>
      <c r="V409" s="61">
        <v>24052.957286468602</v>
      </c>
      <c r="W409" s="61">
        <v>2610</v>
      </c>
      <c r="X409" s="63">
        <f t="shared" si="80"/>
        <v>0.10851056562048192</v>
      </c>
      <c r="Y409" s="61">
        <v>2557</v>
      </c>
      <c r="Z409" s="102">
        <v>149</v>
      </c>
      <c r="AA409" s="63">
        <f t="shared" si="81"/>
        <v>5.8271411810715684E-2</v>
      </c>
      <c r="AB409" s="61">
        <v>16</v>
      </c>
      <c r="AC409" s="61">
        <v>4</v>
      </c>
      <c r="AD409" s="63">
        <f t="shared" si="82"/>
        <v>0.25</v>
      </c>
      <c r="AE409" s="61">
        <v>2</v>
      </c>
      <c r="AF409" s="61">
        <v>1</v>
      </c>
      <c r="AG409" s="63">
        <f t="shared" si="83"/>
        <v>0.5</v>
      </c>
      <c r="AH409" s="61">
        <v>40.430942270108297</v>
      </c>
      <c r="AI409" s="61">
        <v>0</v>
      </c>
      <c r="AJ409" s="63">
        <f t="shared" si="84"/>
        <v>0</v>
      </c>
      <c r="AK409" s="61">
        <v>4.7759454435277906</v>
      </c>
      <c r="AL409" s="61">
        <v>0</v>
      </c>
      <c r="AM409" s="63">
        <f t="shared" si="85"/>
        <v>0</v>
      </c>
      <c r="AN409" s="61">
        <v>7.2125450769357258</v>
      </c>
      <c r="AO409" s="61">
        <v>0</v>
      </c>
      <c r="AP409" s="63">
        <f t="shared" si="86"/>
        <v>0</v>
      </c>
      <c r="AQ409" s="61">
        <v>34.052023070334286</v>
      </c>
      <c r="AR409" s="61">
        <v>4</v>
      </c>
      <c r="AS409" s="63">
        <f t="shared" si="87"/>
        <v>0.11746732321125296</v>
      </c>
      <c r="AT409" s="61">
        <v>0</v>
      </c>
      <c r="AU409" s="61">
        <v>0</v>
      </c>
      <c r="AV409" s="63" t="e">
        <f t="shared" si="88"/>
        <v>#DIV/0!</v>
      </c>
      <c r="AW409" s="61">
        <v>4.1269050742740907</v>
      </c>
      <c r="AX409" s="61">
        <v>0</v>
      </c>
      <c r="AY409" s="63">
        <f t="shared" si="89"/>
        <v>0</v>
      </c>
      <c r="AZ409" s="61">
        <v>9</v>
      </c>
      <c r="BA409" s="61">
        <v>0</v>
      </c>
      <c r="BB409" s="63">
        <f t="shared" si="90"/>
        <v>0</v>
      </c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</row>
    <row r="410" spans="1:87" x14ac:dyDescent="0.25">
      <c r="A410" s="180">
        <v>10618</v>
      </c>
      <c r="B410" s="181">
        <v>21123</v>
      </c>
      <c r="C410" s="148">
        <v>1067976447</v>
      </c>
      <c r="D410" s="182" t="s">
        <v>578</v>
      </c>
      <c r="E410" s="180" t="s">
        <v>544</v>
      </c>
      <c r="F410" s="180" t="s">
        <v>544</v>
      </c>
      <c r="G410" s="180" t="s">
        <v>267</v>
      </c>
      <c r="H410" s="180" t="s">
        <v>267</v>
      </c>
      <c r="I410" s="180" t="s">
        <v>1218</v>
      </c>
      <c r="J410" s="180" t="s">
        <v>221</v>
      </c>
      <c r="K410" s="182" t="s">
        <v>270</v>
      </c>
      <c r="L410" s="180">
        <v>73004</v>
      </c>
      <c r="M410" s="180"/>
      <c r="N410" s="180"/>
      <c r="O410" s="180"/>
      <c r="P410" s="183">
        <v>317273</v>
      </c>
      <c r="Q410" s="61">
        <v>0</v>
      </c>
      <c r="R410" s="63">
        <f t="shared" si="78"/>
        <v>0</v>
      </c>
      <c r="S410" s="61">
        <v>37619</v>
      </c>
      <c r="T410" s="61">
        <v>3738.26</v>
      </c>
      <c r="U410" s="63">
        <f t="shared" si="79"/>
        <v>9.9371594141258415E-2</v>
      </c>
      <c r="V410" s="61">
        <v>83859.43296032901</v>
      </c>
      <c r="W410" s="61">
        <v>2382.17</v>
      </c>
      <c r="X410" s="63">
        <f t="shared" si="80"/>
        <v>2.8406702930210869E-2</v>
      </c>
      <c r="Y410" s="61">
        <v>3544</v>
      </c>
      <c r="Z410" s="102">
        <v>0</v>
      </c>
      <c r="AA410" s="63">
        <f t="shared" si="81"/>
        <v>0</v>
      </c>
      <c r="AB410" s="61">
        <v>46</v>
      </c>
      <c r="AC410" s="61">
        <v>11</v>
      </c>
      <c r="AD410" s="63">
        <f t="shared" si="82"/>
        <v>0.2391304347826087</v>
      </c>
      <c r="AE410" s="61">
        <v>4</v>
      </c>
      <c r="AF410" s="61">
        <v>1</v>
      </c>
      <c r="AG410" s="63">
        <f t="shared" si="83"/>
        <v>0.25</v>
      </c>
      <c r="AH410" s="61">
        <v>222.86188454021658</v>
      </c>
      <c r="AI410" s="61">
        <v>0</v>
      </c>
      <c r="AJ410" s="63">
        <f t="shared" si="84"/>
        <v>0</v>
      </c>
      <c r="AK410" s="61">
        <v>5.5719363507824218</v>
      </c>
      <c r="AL410" s="61">
        <v>0</v>
      </c>
      <c r="AM410" s="63">
        <f t="shared" si="85"/>
        <v>0</v>
      </c>
      <c r="AN410" s="61">
        <v>2.1637635230807177</v>
      </c>
      <c r="AO410" s="61">
        <v>0</v>
      </c>
      <c r="AP410" s="63">
        <f t="shared" si="86"/>
        <v>0</v>
      </c>
      <c r="AQ410" s="61">
        <v>23.298752627070829</v>
      </c>
      <c r="AR410" s="61">
        <v>1</v>
      </c>
      <c r="AS410" s="63">
        <f t="shared" si="87"/>
        <v>4.2920752711803963E-2</v>
      </c>
      <c r="AT410" s="61">
        <v>19</v>
      </c>
      <c r="AU410" s="61">
        <v>0</v>
      </c>
      <c r="AV410" s="63">
        <f t="shared" si="88"/>
        <v>0</v>
      </c>
      <c r="AW410" s="61">
        <v>9.2855510504940337</v>
      </c>
      <c r="AX410" s="61">
        <v>0</v>
      </c>
      <c r="AY410" s="63">
        <f t="shared" si="89"/>
        <v>0</v>
      </c>
      <c r="AZ410" s="61">
        <v>18</v>
      </c>
      <c r="BA410" s="61">
        <v>0</v>
      </c>
      <c r="BB410" s="63">
        <f t="shared" si="90"/>
        <v>0</v>
      </c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</row>
    <row r="411" spans="1:87" x14ac:dyDescent="0.25">
      <c r="A411" s="180">
        <v>10221</v>
      </c>
      <c r="B411" s="181">
        <v>10618</v>
      </c>
      <c r="C411" s="187">
        <v>1078994207</v>
      </c>
      <c r="D411" s="182" t="s">
        <v>596</v>
      </c>
      <c r="E411" s="180" t="s">
        <v>546</v>
      </c>
      <c r="F411" s="180" t="s">
        <v>546</v>
      </c>
      <c r="G411" s="180" t="s">
        <v>415</v>
      </c>
      <c r="H411" s="180" t="s">
        <v>416</v>
      </c>
      <c r="I411" s="180" t="s">
        <v>1218</v>
      </c>
      <c r="J411" s="180" t="s">
        <v>221</v>
      </c>
      <c r="K411" s="182" t="s">
        <v>270</v>
      </c>
      <c r="L411" s="180">
        <v>73004</v>
      </c>
      <c r="M411" s="180" t="s">
        <v>1215</v>
      </c>
      <c r="N411" s="180"/>
      <c r="O411" s="180"/>
      <c r="P411" s="183">
        <v>141010</v>
      </c>
      <c r="Q411" s="61">
        <v>86903.5</v>
      </c>
      <c r="R411" s="63">
        <f t="shared" si="78"/>
        <v>0.61629317069711365</v>
      </c>
      <c r="S411" s="61">
        <v>19948</v>
      </c>
      <c r="T411" s="61">
        <v>12134.77</v>
      </c>
      <c r="U411" s="63">
        <f t="shared" si="79"/>
        <v>0.60832013234409466</v>
      </c>
      <c r="V411" s="61">
        <v>41696.362458375072</v>
      </c>
      <c r="W411" s="61">
        <v>20942.21</v>
      </c>
      <c r="X411" s="63">
        <f t="shared" si="80"/>
        <v>0.50225508330388124</v>
      </c>
      <c r="Y411" s="61">
        <v>848</v>
      </c>
      <c r="Z411" s="102">
        <v>0</v>
      </c>
      <c r="AA411" s="63">
        <f t="shared" si="81"/>
        <v>0</v>
      </c>
      <c r="AB411" s="61">
        <v>20</v>
      </c>
      <c r="AC411" s="61">
        <v>4</v>
      </c>
      <c r="AD411" s="63">
        <f t="shared" si="82"/>
        <v>0.2</v>
      </c>
      <c r="AE411" s="61">
        <v>1</v>
      </c>
      <c r="AF411" s="61">
        <v>1</v>
      </c>
      <c r="AG411" s="63">
        <f t="shared" si="83"/>
        <v>1</v>
      </c>
      <c r="AH411" s="61">
        <v>82.430942270108289</v>
      </c>
      <c r="AI411" s="61">
        <v>3</v>
      </c>
      <c r="AJ411" s="63">
        <f t="shared" si="84"/>
        <v>3.6394100532900035E-2</v>
      </c>
      <c r="AK411" s="61">
        <v>2.3879727217638953</v>
      </c>
      <c r="AL411" s="61">
        <v>0</v>
      </c>
      <c r="AM411" s="63">
        <f t="shared" si="85"/>
        <v>0</v>
      </c>
      <c r="AN411" s="61">
        <v>0.72125450769357258</v>
      </c>
      <c r="AO411" s="61">
        <v>0</v>
      </c>
      <c r="AP411" s="63">
        <f t="shared" si="86"/>
        <v>0</v>
      </c>
      <c r="AQ411" s="61">
        <v>8.9610587027195496</v>
      </c>
      <c r="AR411" s="61">
        <v>6</v>
      </c>
      <c r="AS411" s="63">
        <f t="shared" si="87"/>
        <v>0.66956374230414184</v>
      </c>
      <c r="AT411" s="61">
        <v>8</v>
      </c>
      <c r="AU411" s="61">
        <v>3</v>
      </c>
      <c r="AV411" s="63">
        <f t="shared" si="88"/>
        <v>0.375</v>
      </c>
      <c r="AW411" s="61">
        <v>4.1269050742740907</v>
      </c>
      <c r="AX411" s="61">
        <v>0</v>
      </c>
      <c r="AY411" s="63">
        <f t="shared" si="89"/>
        <v>0</v>
      </c>
      <c r="AZ411" s="61">
        <v>9</v>
      </c>
      <c r="BA411" s="61">
        <v>1</v>
      </c>
      <c r="BB411" s="63">
        <f t="shared" si="90"/>
        <v>0.1111111111111111</v>
      </c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</row>
    <row r="412" spans="1:87" x14ac:dyDescent="0.25">
      <c r="A412" s="180">
        <v>10822</v>
      </c>
      <c r="B412" s="181">
        <v>10618</v>
      </c>
      <c r="C412" s="148">
        <v>1073315655</v>
      </c>
      <c r="D412" s="182" t="s">
        <v>587</v>
      </c>
      <c r="E412" s="180" t="s">
        <v>546</v>
      </c>
      <c r="F412" s="180" t="s">
        <v>546</v>
      </c>
      <c r="G412" s="180" t="s">
        <v>262</v>
      </c>
      <c r="H412" s="180" t="s">
        <v>262</v>
      </c>
      <c r="I412" s="180" t="s">
        <v>1218</v>
      </c>
      <c r="J412" s="180" t="s">
        <v>221</v>
      </c>
      <c r="K412" s="182" t="s">
        <v>270</v>
      </c>
      <c r="L412" s="180">
        <v>73004</v>
      </c>
      <c r="M412" s="182"/>
      <c r="N412" s="180"/>
      <c r="O412" s="184"/>
      <c r="P412" s="183">
        <v>176263</v>
      </c>
      <c r="Q412" s="61">
        <v>36167.839999999997</v>
      </c>
      <c r="R412" s="63">
        <f t="shared" si="78"/>
        <v>0.20519246807327685</v>
      </c>
      <c r="S412" s="61">
        <v>17671</v>
      </c>
      <c r="T412" s="61">
        <v>3042.61</v>
      </c>
      <c r="U412" s="63">
        <f t="shared" si="79"/>
        <v>0.17218097447795824</v>
      </c>
      <c r="V412" s="61">
        <v>42163.070501953938</v>
      </c>
      <c r="W412" s="61">
        <v>8453.0399999999991</v>
      </c>
      <c r="X412" s="63">
        <f t="shared" si="80"/>
        <v>0.20048445000247941</v>
      </c>
      <c r="Y412" s="61">
        <v>2696</v>
      </c>
      <c r="Z412" s="102">
        <v>2380</v>
      </c>
      <c r="AA412" s="63">
        <f t="shared" si="81"/>
        <v>0.8827893175074184</v>
      </c>
      <c r="AB412" s="61">
        <v>26</v>
      </c>
      <c r="AC412" s="61">
        <v>12</v>
      </c>
      <c r="AD412" s="63">
        <f t="shared" si="82"/>
        <v>0.46153846153846156</v>
      </c>
      <c r="AE412" s="61">
        <v>3</v>
      </c>
      <c r="AF412" s="61">
        <v>1</v>
      </c>
      <c r="AG412" s="63">
        <f t="shared" si="83"/>
        <v>0.33333333333333331</v>
      </c>
      <c r="AH412" s="61">
        <v>140.43094227010829</v>
      </c>
      <c r="AI412" s="61">
        <v>17</v>
      </c>
      <c r="AJ412" s="63">
        <f t="shared" si="84"/>
        <v>0.12105594198251399</v>
      </c>
      <c r="AK412" s="61">
        <v>3.1839636290185269</v>
      </c>
      <c r="AL412" s="61">
        <v>0</v>
      </c>
      <c r="AM412" s="63">
        <f t="shared" si="85"/>
        <v>0</v>
      </c>
      <c r="AN412" s="61">
        <v>1.4425090153871452</v>
      </c>
      <c r="AO412" s="61">
        <v>0</v>
      </c>
      <c r="AP412" s="63">
        <f t="shared" si="86"/>
        <v>0</v>
      </c>
      <c r="AQ412" s="61">
        <v>14.33769392435128</v>
      </c>
      <c r="AR412" s="61">
        <v>6</v>
      </c>
      <c r="AS412" s="63">
        <f t="shared" si="87"/>
        <v>0.41847733894008865</v>
      </c>
      <c r="AT412" s="61">
        <v>11</v>
      </c>
      <c r="AU412" s="61">
        <v>3</v>
      </c>
      <c r="AV412" s="63">
        <f t="shared" si="88"/>
        <v>0.27272727272727271</v>
      </c>
      <c r="AW412" s="61">
        <v>5.1586459762199421</v>
      </c>
      <c r="AX412" s="61">
        <v>0</v>
      </c>
      <c r="AY412" s="63">
        <f t="shared" si="89"/>
        <v>0</v>
      </c>
      <c r="AZ412" s="61">
        <v>9</v>
      </c>
      <c r="BA412" s="61">
        <v>0</v>
      </c>
      <c r="BB412" s="63">
        <f t="shared" si="90"/>
        <v>0</v>
      </c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</row>
    <row r="413" spans="1:87" x14ac:dyDescent="0.25">
      <c r="A413" s="118">
        <v>0</v>
      </c>
      <c r="B413" s="172">
        <v>0</v>
      </c>
      <c r="C413" s="172" t="s">
        <v>972</v>
      </c>
      <c r="D413" s="174" t="s">
        <v>973</v>
      </c>
      <c r="E413" s="118" t="s">
        <v>541</v>
      </c>
      <c r="F413" s="118" t="s">
        <v>541</v>
      </c>
      <c r="G413" s="118">
        <v>0</v>
      </c>
      <c r="H413" s="118">
        <v>0</v>
      </c>
      <c r="I413" s="116" t="s">
        <v>1218</v>
      </c>
      <c r="J413" s="118" t="s">
        <v>221</v>
      </c>
      <c r="K413" s="174" t="s">
        <v>278</v>
      </c>
      <c r="L413" s="118">
        <v>73030</v>
      </c>
      <c r="M413" s="188"/>
      <c r="N413" s="189"/>
      <c r="O413" s="189"/>
      <c r="P413" s="190">
        <v>192009</v>
      </c>
      <c r="Q413" s="61">
        <v>0</v>
      </c>
      <c r="R413" s="63">
        <f t="shared" si="78"/>
        <v>0</v>
      </c>
      <c r="S413" s="61">
        <v>25214</v>
      </c>
      <c r="T413" s="61">
        <v>0</v>
      </c>
      <c r="U413" s="63">
        <f t="shared" si="79"/>
        <v>0</v>
      </c>
      <c r="V413" s="61">
        <v>55654.47596232716</v>
      </c>
      <c r="W413" s="61">
        <v>0</v>
      </c>
      <c r="X413" s="63">
        <f t="shared" si="80"/>
        <v>0</v>
      </c>
      <c r="Y413" s="61">
        <v>0</v>
      </c>
      <c r="Z413" s="102">
        <v>0</v>
      </c>
      <c r="AA413" s="63" t="e">
        <f t="shared" si="81"/>
        <v>#DIV/0!</v>
      </c>
      <c r="AB413" s="61">
        <v>70</v>
      </c>
      <c r="AC413" s="61">
        <v>0</v>
      </c>
      <c r="AD413" s="63">
        <f t="shared" si="82"/>
        <v>0</v>
      </c>
      <c r="AE413" s="61">
        <v>15</v>
      </c>
      <c r="AF413" s="61">
        <v>0</v>
      </c>
      <c r="AG413" s="63">
        <f t="shared" si="83"/>
        <v>0</v>
      </c>
      <c r="AH413" s="61">
        <v>636.97046333663184</v>
      </c>
      <c r="AI413" s="61">
        <v>0</v>
      </c>
      <c r="AJ413" s="63">
        <f t="shared" si="84"/>
        <v>0</v>
      </c>
      <c r="AK413" s="61">
        <v>11.939863608819476</v>
      </c>
      <c r="AL413" s="61">
        <v>0</v>
      </c>
      <c r="AM413" s="63">
        <f t="shared" si="85"/>
        <v>0</v>
      </c>
      <c r="AN413" s="61">
        <v>343.31714566214055</v>
      </c>
      <c r="AO413" s="61">
        <v>0</v>
      </c>
      <c r="AP413" s="63">
        <f t="shared" si="86"/>
        <v>0</v>
      </c>
      <c r="AQ413" s="61">
        <v>37.636446551422111</v>
      </c>
      <c r="AR413" s="61">
        <v>0</v>
      </c>
      <c r="AS413" s="63">
        <f t="shared" si="87"/>
        <v>0</v>
      </c>
      <c r="AT413" s="61">
        <v>133</v>
      </c>
      <c r="AU413" s="61">
        <v>0</v>
      </c>
      <c r="AV413" s="63">
        <f t="shared" si="88"/>
        <v>0</v>
      </c>
      <c r="AW413" s="61">
        <v>5.6194802950591729</v>
      </c>
      <c r="AX413" s="61">
        <v>0</v>
      </c>
      <c r="AY413" s="63">
        <f t="shared" si="89"/>
        <v>0</v>
      </c>
      <c r="AZ413" s="61">
        <v>49</v>
      </c>
      <c r="BA413" s="61">
        <v>0</v>
      </c>
      <c r="BB413" s="63">
        <f t="shared" si="90"/>
        <v>0</v>
      </c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</row>
    <row r="414" spans="1:87" x14ac:dyDescent="0.25">
      <c r="A414" s="176">
        <v>21631</v>
      </c>
      <c r="B414" s="177">
        <v>12886</v>
      </c>
      <c r="C414" s="185">
        <v>1063514036</v>
      </c>
      <c r="D414" s="191" t="s">
        <v>597</v>
      </c>
      <c r="E414" s="176" t="s">
        <v>544</v>
      </c>
      <c r="F414" s="176" t="s">
        <v>541</v>
      </c>
      <c r="G414" s="176" t="s">
        <v>252</v>
      </c>
      <c r="H414" s="176" t="s">
        <v>252</v>
      </c>
      <c r="I414" s="176" t="s">
        <v>1218</v>
      </c>
      <c r="J414" s="176" t="s">
        <v>221</v>
      </c>
      <c r="K414" s="178" t="s">
        <v>278</v>
      </c>
      <c r="L414" s="176">
        <v>73030</v>
      </c>
      <c r="M414" s="186"/>
      <c r="N414" s="192"/>
      <c r="O414" s="192"/>
      <c r="P414" s="193">
        <v>192009</v>
      </c>
      <c r="Q414" s="61">
        <v>0</v>
      </c>
      <c r="R414" s="63">
        <f t="shared" si="78"/>
        <v>0</v>
      </c>
      <c r="S414" s="61">
        <v>25214</v>
      </c>
      <c r="T414" s="61">
        <v>0</v>
      </c>
      <c r="U414" s="63">
        <f t="shared" si="79"/>
        <v>0</v>
      </c>
      <c r="V414" s="61">
        <v>55654.47596232716</v>
      </c>
      <c r="W414" s="61">
        <v>0</v>
      </c>
      <c r="X414" s="63">
        <f t="shared" si="80"/>
        <v>0</v>
      </c>
      <c r="Y414" s="61">
        <v>0</v>
      </c>
      <c r="Z414" s="102">
        <v>0</v>
      </c>
      <c r="AA414" s="63" t="e">
        <f t="shared" si="81"/>
        <v>#DIV/0!</v>
      </c>
      <c r="AB414" s="61">
        <v>70</v>
      </c>
      <c r="AC414" s="61">
        <v>0</v>
      </c>
      <c r="AD414" s="63">
        <f t="shared" si="82"/>
        <v>0</v>
      </c>
      <c r="AE414" s="61">
        <v>15</v>
      </c>
      <c r="AF414" s="61">
        <v>0</v>
      </c>
      <c r="AG414" s="63">
        <f t="shared" si="83"/>
        <v>0</v>
      </c>
      <c r="AH414" s="61">
        <v>636.97046333663184</v>
      </c>
      <c r="AI414" s="61">
        <v>0</v>
      </c>
      <c r="AJ414" s="63">
        <f t="shared" si="84"/>
        <v>0</v>
      </c>
      <c r="AK414" s="61">
        <v>11.939863608819476</v>
      </c>
      <c r="AL414" s="61">
        <v>0</v>
      </c>
      <c r="AM414" s="63">
        <f t="shared" si="85"/>
        <v>0</v>
      </c>
      <c r="AN414" s="61">
        <v>343.31714566214055</v>
      </c>
      <c r="AO414" s="61">
        <v>0</v>
      </c>
      <c r="AP414" s="63">
        <f t="shared" si="86"/>
        <v>0</v>
      </c>
      <c r="AQ414" s="61">
        <v>37.636446551422111</v>
      </c>
      <c r="AR414" s="61">
        <v>0</v>
      </c>
      <c r="AS414" s="63">
        <f t="shared" si="87"/>
        <v>0</v>
      </c>
      <c r="AT414" s="61">
        <v>133</v>
      </c>
      <c r="AU414" s="61">
        <v>0</v>
      </c>
      <c r="AV414" s="63">
        <f t="shared" si="88"/>
        <v>0</v>
      </c>
      <c r="AW414" s="61">
        <v>5.6194802950591729</v>
      </c>
      <c r="AX414" s="61">
        <v>0</v>
      </c>
      <c r="AY414" s="63">
        <f t="shared" si="89"/>
        <v>0</v>
      </c>
      <c r="AZ414" s="61">
        <v>49</v>
      </c>
      <c r="BA414" s="61">
        <v>0</v>
      </c>
      <c r="BB414" s="63">
        <f t="shared" si="90"/>
        <v>0</v>
      </c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</row>
    <row r="415" spans="1:87" x14ac:dyDescent="0.25">
      <c r="A415" s="180">
        <v>8868</v>
      </c>
      <c r="B415" s="181">
        <v>21631</v>
      </c>
      <c r="C415" s="148">
        <v>1085887683</v>
      </c>
      <c r="D415" s="182" t="s">
        <v>598</v>
      </c>
      <c r="E415" s="180" t="s">
        <v>546</v>
      </c>
      <c r="F415" s="180" t="s">
        <v>546</v>
      </c>
      <c r="G415" s="180" t="s">
        <v>279</v>
      </c>
      <c r="H415" s="180" t="s">
        <v>280</v>
      </c>
      <c r="I415" s="180" t="s">
        <v>1218</v>
      </c>
      <c r="J415" s="180" t="s">
        <v>221</v>
      </c>
      <c r="K415" s="182" t="s">
        <v>278</v>
      </c>
      <c r="L415" s="180">
        <v>73030</v>
      </c>
      <c r="M415" s="180"/>
      <c r="N415" s="180"/>
      <c r="O415" s="180"/>
      <c r="P415" s="183">
        <v>26018</v>
      </c>
      <c r="Q415" s="61">
        <v>10200</v>
      </c>
      <c r="R415" s="63">
        <f t="shared" si="78"/>
        <v>0.3920362825736029</v>
      </c>
      <c r="S415" s="61">
        <v>2083</v>
      </c>
      <c r="T415" s="61">
        <v>0</v>
      </c>
      <c r="U415" s="63">
        <f t="shared" si="79"/>
        <v>0</v>
      </c>
      <c r="V415" s="61">
        <v>7676.9581246304424</v>
      </c>
      <c r="W415" s="61">
        <v>870</v>
      </c>
      <c r="X415" s="63">
        <f t="shared" si="80"/>
        <v>0.11332613593510783</v>
      </c>
      <c r="Y415" s="61">
        <v>0</v>
      </c>
      <c r="Z415" s="102">
        <v>0</v>
      </c>
      <c r="AA415" s="63" t="e">
        <f t="shared" si="81"/>
        <v>#DIV/0!</v>
      </c>
      <c r="AB415" s="61">
        <v>10</v>
      </c>
      <c r="AC415" s="61">
        <v>0</v>
      </c>
      <c r="AD415" s="63">
        <f t="shared" si="82"/>
        <v>0</v>
      </c>
      <c r="AE415" s="61">
        <v>3</v>
      </c>
      <c r="AF415" s="61">
        <v>0</v>
      </c>
      <c r="AG415" s="63">
        <f t="shared" si="83"/>
        <v>0</v>
      </c>
      <c r="AH415" s="61">
        <v>95.861884540216593</v>
      </c>
      <c r="AI415" s="61">
        <v>56</v>
      </c>
      <c r="AJ415" s="63">
        <f t="shared" si="84"/>
        <v>0.58417378573969636</v>
      </c>
      <c r="AK415" s="61">
        <v>2.3879727217638953</v>
      </c>
      <c r="AL415" s="61">
        <v>4</v>
      </c>
      <c r="AM415" s="63">
        <f t="shared" si="85"/>
        <v>1.6750610103474581</v>
      </c>
      <c r="AN415" s="61">
        <v>87.993049938615854</v>
      </c>
      <c r="AO415" s="61">
        <v>28</v>
      </c>
      <c r="AP415" s="63">
        <f t="shared" si="86"/>
        <v>0.31820694952081852</v>
      </c>
      <c r="AQ415" s="61">
        <v>3.5844234810878199</v>
      </c>
      <c r="AR415" s="61">
        <v>1</v>
      </c>
      <c r="AS415" s="63">
        <f t="shared" si="87"/>
        <v>0.27898489262672577</v>
      </c>
      <c r="AT415" s="61">
        <v>20</v>
      </c>
      <c r="AU415" s="61">
        <v>1</v>
      </c>
      <c r="AV415" s="63">
        <f t="shared" si="88"/>
        <v>0.05</v>
      </c>
      <c r="AW415" s="61">
        <v>0.76146242268252817</v>
      </c>
      <c r="AX415" s="61">
        <v>0</v>
      </c>
      <c r="AY415" s="63">
        <f t="shared" si="89"/>
        <v>0</v>
      </c>
      <c r="AZ415" s="61">
        <v>8</v>
      </c>
      <c r="BA415" s="61">
        <v>0</v>
      </c>
      <c r="BB415" s="63">
        <f t="shared" si="90"/>
        <v>0</v>
      </c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</row>
    <row r="416" spans="1:87" x14ac:dyDescent="0.25">
      <c r="A416" s="180">
        <v>12171</v>
      </c>
      <c r="B416" s="181">
        <v>21631</v>
      </c>
      <c r="C416" s="148">
        <v>1060037437</v>
      </c>
      <c r="D416" s="182" t="s">
        <v>599</v>
      </c>
      <c r="E416" s="180" t="s">
        <v>546</v>
      </c>
      <c r="F416" s="180" t="s">
        <v>546</v>
      </c>
      <c r="G416" s="180" t="s">
        <v>281</v>
      </c>
      <c r="H416" s="180" t="s">
        <v>281</v>
      </c>
      <c r="I416" s="180" t="s">
        <v>1218</v>
      </c>
      <c r="J416" s="180" t="s">
        <v>221</v>
      </c>
      <c r="K416" s="182" t="s">
        <v>278</v>
      </c>
      <c r="L416" s="180">
        <v>73030</v>
      </c>
      <c r="M416" s="180"/>
      <c r="N416" s="180"/>
      <c r="O416" s="180"/>
      <c r="P416" s="183">
        <v>36647</v>
      </c>
      <c r="Q416" s="61">
        <v>34867.83</v>
      </c>
      <c r="R416" s="63">
        <f t="shared" si="78"/>
        <v>0.95145114197615088</v>
      </c>
      <c r="S416" s="61">
        <v>2717</v>
      </c>
      <c r="T416" s="61">
        <v>0</v>
      </c>
      <c r="U416" s="63">
        <f t="shared" si="79"/>
        <v>0</v>
      </c>
      <c r="V416" s="61">
        <v>10082.287951301967</v>
      </c>
      <c r="W416" s="61">
        <v>1310.4299999999998</v>
      </c>
      <c r="X416" s="63">
        <f t="shared" si="80"/>
        <v>0.12997347490266617</v>
      </c>
      <c r="Y416" s="61">
        <v>0</v>
      </c>
      <c r="Z416" s="102">
        <v>0</v>
      </c>
      <c r="AA416" s="63" t="e">
        <f t="shared" si="81"/>
        <v>#DIV/0!</v>
      </c>
      <c r="AB416" s="61">
        <v>10</v>
      </c>
      <c r="AC416" s="61">
        <v>7</v>
      </c>
      <c r="AD416" s="63">
        <f t="shared" si="82"/>
        <v>0.7</v>
      </c>
      <c r="AE416" s="61">
        <v>1</v>
      </c>
      <c r="AF416" s="61">
        <v>2</v>
      </c>
      <c r="AG416" s="63">
        <f t="shared" si="83"/>
        <v>2</v>
      </c>
      <c r="AH416" s="61">
        <v>95.861884540216593</v>
      </c>
      <c r="AI416" s="61">
        <v>113</v>
      </c>
      <c r="AJ416" s="63">
        <f t="shared" si="84"/>
        <v>1.1787792462247444</v>
      </c>
      <c r="AK416" s="61">
        <v>2.3879727217638953</v>
      </c>
      <c r="AL416" s="61">
        <v>3</v>
      </c>
      <c r="AM416" s="63">
        <f t="shared" si="85"/>
        <v>1.2562957577605935</v>
      </c>
      <c r="AN416" s="61">
        <v>43.275270461614355</v>
      </c>
      <c r="AO416" s="61">
        <v>51</v>
      </c>
      <c r="AP416" s="63">
        <f t="shared" si="86"/>
        <v>1.1785021666181743</v>
      </c>
      <c r="AQ416" s="61">
        <v>7.1688469621756399</v>
      </c>
      <c r="AR416" s="61">
        <v>0</v>
      </c>
      <c r="AS416" s="63">
        <f t="shared" si="87"/>
        <v>0</v>
      </c>
      <c r="AT416" s="61">
        <v>20</v>
      </c>
      <c r="AU416" s="61">
        <v>9</v>
      </c>
      <c r="AV416" s="63">
        <f t="shared" si="88"/>
        <v>0.45</v>
      </c>
      <c r="AW416" s="61">
        <v>1.0725387579386045</v>
      </c>
      <c r="AX416" s="61">
        <v>0</v>
      </c>
      <c r="AY416" s="63">
        <f t="shared" si="89"/>
        <v>0</v>
      </c>
      <c r="AZ416" s="61">
        <v>8</v>
      </c>
      <c r="BA416" s="61">
        <v>0</v>
      </c>
      <c r="BB416" s="63">
        <f t="shared" si="90"/>
        <v>0</v>
      </c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</row>
    <row r="417" spans="1:87" x14ac:dyDescent="0.25">
      <c r="A417" s="180">
        <v>3100</v>
      </c>
      <c r="B417" s="181">
        <v>21631</v>
      </c>
      <c r="C417" s="148">
        <v>1056862608</v>
      </c>
      <c r="D417" s="182" t="s">
        <v>600</v>
      </c>
      <c r="E417" s="180" t="s">
        <v>546</v>
      </c>
      <c r="F417" s="180" t="s">
        <v>546</v>
      </c>
      <c r="G417" s="180" t="s">
        <v>282</v>
      </c>
      <c r="H417" s="180" t="s">
        <v>283</v>
      </c>
      <c r="I417" s="180" t="s">
        <v>1218</v>
      </c>
      <c r="J417" s="180" t="s">
        <v>221</v>
      </c>
      <c r="K417" s="182" t="s">
        <v>278</v>
      </c>
      <c r="L417" s="180">
        <v>73030</v>
      </c>
      <c r="M417" s="182"/>
      <c r="N417" s="180"/>
      <c r="O417" s="184"/>
      <c r="P417" s="183">
        <v>27516</v>
      </c>
      <c r="Q417" s="61">
        <v>11128.7</v>
      </c>
      <c r="R417" s="63">
        <f t="shared" si="78"/>
        <v>0.4044446867277221</v>
      </c>
      <c r="S417" s="61">
        <v>4148</v>
      </c>
      <c r="T417" s="61">
        <v>1724.35</v>
      </c>
      <c r="U417" s="63">
        <f t="shared" si="79"/>
        <v>0.41570636451301829</v>
      </c>
      <c r="V417" s="61">
        <v>8922.9581246304424</v>
      </c>
      <c r="W417" s="61">
        <v>1017.8199999999999</v>
      </c>
      <c r="X417" s="63">
        <f t="shared" si="80"/>
        <v>0.11406755313470156</v>
      </c>
      <c r="Y417" s="61">
        <v>0</v>
      </c>
      <c r="Z417" s="102">
        <v>0</v>
      </c>
      <c r="AA417" s="63" t="e">
        <f t="shared" si="81"/>
        <v>#DIV/0!</v>
      </c>
      <c r="AB417" s="61">
        <v>11</v>
      </c>
      <c r="AC417" s="61">
        <v>4</v>
      </c>
      <c r="AD417" s="63">
        <f t="shared" si="82"/>
        <v>0.36363636363636365</v>
      </c>
      <c r="AE417" s="61">
        <v>3</v>
      </c>
      <c r="AF417" s="61">
        <v>0</v>
      </c>
      <c r="AG417" s="63">
        <f t="shared" si="83"/>
        <v>0</v>
      </c>
      <c r="AH417" s="61">
        <v>96.861884540216593</v>
      </c>
      <c r="AI417" s="61">
        <v>77</v>
      </c>
      <c r="AJ417" s="63">
        <f t="shared" si="84"/>
        <v>0.79494633379789303</v>
      </c>
      <c r="AK417" s="61">
        <v>0.79599090725463173</v>
      </c>
      <c r="AL417" s="61">
        <v>1</v>
      </c>
      <c r="AM417" s="63">
        <f t="shared" si="85"/>
        <v>1.2562957577605938</v>
      </c>
      <c r="AN417" s="61">
        <v>41.832761446227209</v>
      </c>
      <c r="AO417" s="61">
        <v>0</v>
      </c>
      <c r="AP417" s="63">
        <f t="shared" si="86"/>
        <v>0</v>
      </c>
      <c r="AQ417" s="61">
        <v>4.4805293513597748</v>
      </c>
      <c r="AR417" s="61">
        <v>1</v>
      </c>
      <c r="AS417" s="63">
        <f t="shared" si="87"/>
        <v>0.22318791410138061</v>
      </c>
      <c r="AT417" s="61">
        <v>28</v>
      </c>
      <c r="AU417" s="61">
        <v>17</v>
      </c>
      <c r="AV417" s="63">
        <f t="shared" si="88"/>
        <v>0.6071428571428571</v>
      </c>
      <c r="AW417" s="61">
        <v>0.80530402115967581</v>
      </c>
      <c r="AX417" s="61">
        <v>0</v>
      </c>
      <c r="AY417" s="63">
        <f t="shared" si="89"/>
        <v>0</v>
      </c>
      <c r="AZ417" s="61">
        <v>8</v>
      </c>
      <c r="BA417" s="61">
        <v>0</v>
      </c>
      <c r="BB417" s="63">
        <f t="shared" si="90"/>
        <v>0</v>
      </c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</row>
    <row r="418" spans="1:87" x14ac:dyDescent="0.25">
      <c r="A418" s="180">
        <v>10827</v>
      </c>
      <c r="B418" s="181">
        <v>21631</v>
      </c>
      <c r="C418" s="181">
        <v>1073356626</v>
      </c>
      <c r="D418" s="182" t="s">
        <v>601</v>
      </c>
      <c r="E418" s="180" t="s">
        <v>546</v>
      </c>
      <c r="F418" s="180" t="s">
        <v>546</v>
      </c>
      <c r="G418" s="180" t="s">
        <v>284</v>
      </c>
      <c r="H418" s="180" t="s">
        <v>285</v>
      </c>
      <c r="I418" s="180" t="s">
        <v>1218</v>
      </c>
      <c r="J418" s="180" t="s">
        <v>221</v>
      </c>
      <c r="K418" s="182" t="s">
        <v>278</v>
      </c>
      <c r="L418" s="180">
        <v>73030</v>
      </c>
      <c r="M418" s="180"/>
      <c r="N418" s="180"/>
      <c r="O418" s="180"/>
      <c r="P418" s="183">
        <v>28847</v>
      </c>
      <c r="Q418" s="61">
        <v>3825.22</v>
      </c>
      <c r="R418" s="63">
        <f t="shared" si="78"/>
        <v>0.13260373695704925</v>
      </c>
      <c r="S418" s="61">
        <v>8803</v>
      </c>
      <c r="T418" s="61">
        <v>0</v>
      </c>
      <c r="U418" s="63">
        <f t="shared" si="79"/>
        <v>0</v>
      </c>
      <c r="V418" s="61">
        <v>7513.9581246304424</v>
      </c>
      <c r="W418" s="61">
        <v>68.7</v>
      </c>
      <c r="X418" s="63">
        <f t="shared" si="80"/>
        <v>9.1429841450412479E-3</v>
      </c>
      <c r="Y418" s="61">
        <v>0</v>
      </c>
      <c r="Z418" s="102">
        <v>0</v>
      </c>
      <c r="AA418" s="63" t="e">
        <f t="shared" si="81"/>
        <v>#DIV/0!</v>
      </c>
      <c r="AB418" s="61">
        <v>12</v>
      </c>
      <c r="AC418" s="61">
        <v>1</v>
      </c>
      <c r="AD418" s="63">
        <f t="shared" si="82"/>
        <v>8.3333333333333329E-2</v>
      </c>
      <c r="AE418" s="61">
        <v>4</v>
      </c>
      <c r="AF418" s="61">
        <v>0</v>
      </c>
      <c r="AG418" s="63">
        <f t="shared" si="83"/>
        <v>0</v>
      </c>
      <c r="AH418" s="61">
        <v>95.861884540216593</v>
      </c>
      <c r="AI418" s="61">
        <v>39</v>
      </c>
      <c r="AJ418" s="63">
        <f t="shared" si="84"/>
        <v>0.40683531506871712</v>
      </c>
      <c r="AK418" s="61">
        <v>3.1839636290185269</v>
      </c>
      <c r="AL418" s="61">
        <v>4</v>
      </c>
      <c r="AM418" s="63">
        <f t="shared" si="85"/>
        <v>1.2562957577605938</v>
      </c>
      <c r="AN418" s="61">
        <v>44.7177794770015</v>
      </c>
      <c r="AO418" s="61">
        <v>29</v>
      </c>
      <c r="AP418" s="63">
        <f t="shared" si="86"/>
        <v>0.648511628689318</v>
      </c>
      <c r="AQ418" s="61">
        <v>6.2727410919036846</v>
      </c>
      <c r="AR418" s="61">
        <v>0</v>
      </c>
      <c r="AS418" s="63">
        <f t="shared" si="87"/>
        <v>0</v>
      </c>
      <c r="AT418" s="61">
        <v>13</v>
      </c>
      <c r="AU418" s="61">
        <v>17</v>
      </c>
      <c r="AV418" s="63">
        <f t="shared" si="88"/>
        <v>1.3076923076923077</v>
      </c>
      <c r="AW418" s="61">
        <v>0.84425807160899724</v>
      </c>
      <c r="AX418" s="61">
        <v>0</v>
      </c>
      <c r="AY418" s="63">
        <f t="shared" si="89"/>
        <v>0</v>
      </c>
      <c r="AZ418" s="61">
        <v>8</v>
      </c>
      <c r="BA418" s="61">
        <v>0</v>
      </c>
      <c r="BB418" s="63">
        <f t="shared" si="90"/>
        <v>0</v>
      </c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</row>
    <row r="419" spans="1:87" x14ac:dyDescent="0.25">
      <c r="A419" s="180">
        <v>10433</v>
      </c>
      <c r="B419" s="181">
        <v>21631</v>
      </c>
      <c r="C419" s="148">
        <v>1077980843</v>
      </c>
      <c r="D419" s="182" t="s">
        <v>602</v>
      </c>
      <c r="E419" s="180" t="s">
        <v>546</v>
      </c>
      <c r="F419" s="180" t="s">
        <v>546</v>
      </c>
      <c r="G419" s="180" t="s">
        <v>286</v>
      </c>
      <c r="H419" s="180" t="s">
        <v>287</v>
      </c>
      <c r="I419" s="180" t="s">
        <v>1218</v>
      </c>
      <c r="J419" s="180" t="s">
        <v>221</v>
      </c>
      <c r="K419" s="182" t="s">
        <v>278</v>
      </c>
      <c r="L419" s="180">
        <v>73030</v>
      </c>
      <c r="M419" s="180" t="s">
        <v>1143</v>
      </c>
      <c r="N419" s="180"/>
      <c r="O419" s="180">
        <v>0.5</v>
      </c>
      <c r="P419" s="183">
        <v>23430</v>
      </c>
      <c r="Q419" s="61">
        <v>17511.309999999998</v>
      </c>
      <c r="R419" s="63">
        <f t="shared" si="78"/>
        <v>0.74738839095177112</v>
      </c>
      <c r="S419" s="61">
        <v>3217</v>
      </c>
      <c r="T419" s="61">
        <v>0</v>
      </c>
      <c r="U419" s="63">
        <f t="shared" si="79"/>
        <v>0</v>
      </c>
      <c r="V419" s="61">
        <v>7956.3000085913291</v>
      </c>
      <c r="W419" s="61">
        <v>589.57000000000005</v>
      </c>
      <c r="X419" s="63">
        <f t="shared" si="80"/>
        <v>7.4101026779203119E-2</v>
      </c>
      <c r="Y419" s="61">
        <v>0</v>
      </c>
      <c r="Z419" s="102">
        <v>0</v>
      </c>
      <c r="AA419" s="63" t="e">
        <f t="shared" si="81"/>
        <v>#DIV/0!</v>
      </c>
      <c r="AB419" s="61">
        <v>6</v>
      </c>
      <c r="AC419" s="61">
        <v>9</v>
      </c>
      <c r="AD419" s="63">
        <f t="shared" si="82"/>
        <v>1.5</v>
      </c>
      <c r="AE419" s="61">
        <v>1</v>
      </c>
      <c r="AF419" s="61">
        <v>0</v>
      </c>
      <c r="AG419" s="63">
        <f t="shared" si="83"/>
        <v>0</v>
      </c>
      <c r="AH419" s="61">
        <v>76.497890238330854</v>
      </c>
      <c r="AI419" s="61">
        <v>112</v>
      </c>
      <c r="AJ419" s="63">
        <f t="shared" si="84"/>
        <v>1.4640926651841188</v>
      </c>
      <c r="AK419" s="61">
        <v>1.5919818145092635</v>
      </c>
      <c r="AL419" s="61">
        <v>3</v>
      </c>
      <c r="AM419" s="63">
        <f t="shared" si="85"/>
        <v>1.8844436366408905</v>
      </c>
      <c r="AN419" s="61">
        <v>41.111506938533637</v>
      </c>
      <c r="AO419" s="61">
        <v>14</v>
      </c>
      <c r="AP419" s="63">
        <f t="shared" si="86"/>
        <v>0.34053726176789351</v>
      </c>
      <c r="AQ419" s="61">
        <v>10.75327044326346</v>
      </c>
      <c r="AR419" s="61">
        <v>0</v>
      </c>
      <c r="AS419" s="63">
        <f t="shared" si="87"/>
        <v>0</v>
      </c>
      <c r="AT419" s="61">
        <v>10</v>
      </c>
      <c r="AU419" s="61">
        <v>5</v>
      </c>
      <c r="AV419" s="63">
        <f t="shared" si="88"/>
        <v>0.5</v>
      </c>
      <c r="AW419" s="61">
        <v>0.68572006162855081</v>
      </c>
      <c r="AX419" s="61">
        <v>0</v>
      </c>
      <c r="AY419" s="63">
        <f t="shared" si="89"/>
        <v>0</v>
      </c>
      <c r="AZ419" s="61">
        <v>3</v>
      </c>
      <c r="BA419" s="61">
        <v>0</v>
      </c>
      <c r="BB419" s="63">
        <f t="shared" si="90"/>
        <v>0</v>
      </c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</row>
    <row r="420" spans="1:87" x14ac:dyDescent="0.25">
      <c r="A420" s="180">
        <v>9815</v>
      </c>
      <c r="B420" s="181">
        <v>21631</v>
      </c>
      <c r="C420" s="148">
        <v>1052165170</v>
      </c>
      <c r="D420" s="182" t="s">
        <v>603</v>
      </c>
      <c r="E420" s="180" t="s">
        <v>546</v>
      </c>
      <c r="F420" s="180" t="s">
        <v>546</v>
      </c>
      <c r="G420" s="180" t="s">
        <v>288</v>
      </c>
      <c r="H420" s="180" t="s">
        <v>288</v>
      </c>
      <c r="I420" s="180" t="s">
        <v>1218</v>
      </c>
      <c r="J420" s="180" t="s">
        <v>221</v>
      </c>
      <c r="K420" s="182" t="s">
        <v>278</v>
      </c>
      <c r="L420" s="180">
        <v>73030</v>
      </c>
      <c r="M420" s="180" t="s">
        <v>1146</v>
      </c>
      <c r="N420" s="180">
        <v>7</v>
      </c>
      <c r="O420" s="184">
        <v>0.1</v>
      </c>
      <c r="P420" s="183">
        <v>23397</v>
      </c>
      <c r="Q420" s="61">
        <v>21667.83</v>
      </c>
      <c r="R420" s="63">
        <f t="shared" si="78"/>
        <v>0.92609437107321457</v>
      </c>
      <c r="S420" s="61">
        <v>3135</v>
      </c>
      <c r="T420" s="61">
        <v>0</v>
      </c>
      <c r="U420" s="63">
        <f t="shared" si="79"/>
        <v>0</v>
      </c>
      <c r="V420" s="61">
        <v>6454.0338625567692</v>
      </c>
      <c r="W420" s="61">
        <v>0</v>
      </c>
      <c r="X420" s="63">
        <f t="shared" si="80"/>
        <v>0</v>
      </c>
      <c r="Y420" s="61">
        <v>0</v>
      </c>
      <c r="Z420" s="102">
        <v>0</v>
      </c>
      <c r="AA420" s="63" t="e">
        <f t="shared" si="81"/>
        <v>#DIV/0!</v>
      </c>
      <c r="AB420" s="61">
        <v>10</v>
      </c>
      <c r="AC420" s="61">
        <v>0</v>
      </c>
      <c r="AD420" s="63">
        <f t="shared" si="82"/>
        <v>0</v>
      </c>
      <c r="AE420" s="61">
        <v>2</v>
      </c>
      <c r="AF420" s="61">
        <v>0</v>
      </c>
      <c r="AG420" s="63">
        <f t="shared" si="83"/>
        <v>0</v>
      </c>
      <c r="AH420" s="61">
        <v>83.163150397218089</v>
      </c>
      <c r="AI420" s="61">
        <v>21</v>
      </c>
      <c r="AJ420" s="63">
        <f t="shared" si="84"/>
        <v>0.25251568633097954</v>
      </c>
      <c r="AK420" s="61">
        <v>0.79599090725463173</v>
      </c>
      <c r="AL420" s="61">
        <v>1</v>
      </c>
      <c r="AM420" s="63">
        <f t="shared" si="85"/>
        <v>1.2562957577605938</v>
      </c>
      <c r="AN420" s="61">
        <v>42.554015953920782</v>
      </c>
      <c r="AO420" s="61">
        <v>34</v>
      </c>
      <c r="AP420" s="63">
        <f t="shared" si="86"/>
        <v>0.79898451974113516</v>
      </c>
      <c r="AQ420" s="61">
        <v>2.6883176108158651</v>
      </c>
      <c r="AR420" s="61">
        <v>0</v>
      </c>
      <c r="AS420" s="63">
        <f t="shared" si="87"/>
        <v>0</v>
      </c>
      <c r="AT420" s="61">
        <v>22</v>
      </c>
      <c r="AU420" s="61">
        <v>5</v>
      </c>
      <c r="AV420" s="63">
        <f t="shared" si="88"/>
        <v>0.22727272727272727</v>
      </c>
      <c r="AW420" s="61">
        <v>0.68475425872484863</v>
      </c>
      <c r="AX420" s="61">
        <v>0</v>
      </c>
      <c r="AY420" s="63">
        <f t="shared" si="89"/>
        <v>0</v>
      </c>
      <c r="AZ420" s="61">
        <v>6</v>
      </c>
      <c r="BA420" s="61">
        <v>0</v>
      </c>
      <c r="BB420" s="63">
        <f t="shared" si="90"/>
        <v>0</v>
      </c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</row>
    <row r="421" spans="1:87" x14ac:dyDescent="0.25">
      <c r="A421" s="180">
        <v>3683</v>
      </c>
      <c r="B421" s="181">
        <v>21631</v>
      </c>
      <c r="C421" s="148">
        <v>1068661113</v>
      </c>
      <c r="D421" s="182" t="s">
        <v>604</v>
      </c>
      <c r="E421" s="180" t="s">
        <v>546</v>
      </c>
      <c r="F421" s="180" t="s">
        <v>546</v>
      </c>
      <c r="G421" s="180" t="s">
        <v>418</v>
      </c>
      <c r="H421" s="180" t="s">
        <v>419</v>
      </c>
      <c r="I421" s="180" t="s">
        <v>1218</v>
      </c>
      <c r="J421" s="180" t="s">
        <v>221</v>
      </c>
      <c r="K421" s="182" t="s">
        <v>278</v>
      </c>
      <c r="L421" s="180">
        <v>73030</v>
      </c>
      <c r="M421" s="182"/>
      <c r="N421" s="180"/>
      <c r="O421" s="184"/>
      <c r="P421" s="194">
        <v>26154</v>
      </c>
      <c r="Q421" s="61">
        <v>20643.48</v>
      </c>
      <c r="R421" s="63">
        <f t="shared" si="78"/>
        <v>0.78930488644184449</v>
      </c>
      <c r="S421" s="61">
        <v>1111</v>
      </c>
      <c r="T421" s="61">
        <v>0</v>
      </c>
      <c r="U421" s="63">
        <f t="shared" si="79"/>
        <v>0</v>
      </c>
      <c r="V421" s="61">
        <v>7047.9797659857686</v>
      </c>
      <c r="W421" s="61">
        <v>520.87</v>
      </c>
      <c r="X421" s="63">
        <f t="shared" si="80"/>
        <v>7.3903447128745886E-2</v>
      </c>
      <c r="Y421" s="61">
        <v>0</v>
      </c>
      <c r="Z421" s="102">
        <v>0</v>
      </c>
      <c r="AA421" s="63" t="e">
        <f t="shared" si="81"/>
        <v>#DIV/0!</v>
      </c>
      <c r="AB421" s="61">
        <v>11</v>
      </c>
      <c r="AC421" s="61">
        <v>3</v>
      </c>
      <c r="AD421" s="63">
        <f t="shared" si="82"/>
        <v>0.27272727272727271</v>
      </c>
      <c r="AE421" s="61">
        <v>1</v>
      </c>
      <c r="AF421" s="61">
        <v>0</v>
      </c>
      <c r="AG421" s="63">
        <f t="shared" si="83"/>
        <v>0</v>
      </c>
      <c r="AH421" s="61">
        <v>92.861884540216593</v>
      </c>
      <c r="AI421" s="61">
        <v>110</v>
      </c>
      <c r="AJ421" s="63">
        <f t="shared" si="84"/>
        <v>1.1845548961733727</v>
      </c>
      <c r="AK421" s="61">
        <v>0.79599090725463173</v>
      </c>
      <c r="AL421" s="61">
        <v>0</v>
      </c>
      <c r="AM421" s="63">
        <f t="shared" si="85"/>
        <v>0</v>
      </c>
      <c r="AN421" s="61">
        <v>41.832761446227209</v>
      </c>
      <c r="AO421" s="61">
        <v>9</v>
      </c>
      <c r="AP421" s="63">
        <f t="shared" si="86"/>
        <v>0.21514238335828742</v>
      </c>
      <c r="AQ421" s="61">
        <v>2.6883176108158651</v>
      </c>
      <c r="AR421" s="61">
        <v>0</v>
      </c>
      <c r="AS421" s="63">
        <f t="shared" si="87"/>
        <v>0</v>
      </c>
      <c r="AT421" s="61">
        <v>20</v>
      </c>
      <c r="AU421" s="61">
        <v>19</v>
      </c>
      <c r="AV421" s="63">
        <f t="shared" si="88"/>
        <v>0.95</v>
      </c>
      <c r="AW421" s="61">
        <v>0.76544270131596748</v>
      </c>
      <c r="AX421" s="61">
        <v>0</v>
      </c>
      <c r="AY421" s="63">
        <f t="shared" si="89"/>
        <v>0</v>
      </c>
      <c r="AZ421" s="61">
        <v>8</v>
      </c>
      <c r="BA421" s="61">
        <v>0</v>
      </c>
      <c r="BB421" s="63">
        <f t="shared" si="90"/>
        <v>0</v>
      </c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</row>
    <row r="422" spans="1:87" x14ac:dyDescent="0.25">
      <c r="A422" s="192">
        <v>21100</v>
      </c>
      <c r="B422" s="195">
        <v>12886</v>
      </c>
      <c r="C422" s="185">
        <v>1003003223</v>
      </c>
      <c r="D422" s="186" t="s">
        <v>611</v>
      </c>
      <c r="E422" s="192" t="s">
        <v>541</v>
      </c>
      <c r="F422" s="192" t="s">
        <v>541</v>
      </c>
      <c r="G422" s="192" t="s">
        <v>302</v>
      </c>
      <c r="H422" s="192" t="s">
        <v>302</v>
      </c>
      <c r="I422" s="192" t="s">
        <v>1218</v>
      </c>
      <c r="J422" s="192" t="s">
        <v>221</v>
      </c>
      <c r="K422" s="186" t="s">
        <v>605</v>
      </c>
      <c r="L422" s="192">
        <v>13014</v>
      </c>
      <c r="M422" s="186"/>
      <c r="N422" s="192"/>
      <c r="O422" s="192"/>
      <c r="P422" s="179">
        <v>638857</v>
      </c>
      <c r="Q422" s="61">
        <v>0</v>
      </c>
      <c r="R422" s="63">
        <f t="shared" si="78"/>
        <v>0</v>
      </c>
      <c r="S422" s="61">
        <v>83897</v>
      </c>
      <c r="T422" s="61">
        <v>0</v>
      </c>
      <c r="U422" s="63">
        <f t="shared" si="79"/>
        <v>0</v>
      </c>
      <c r="V422" s="61">
        <v>204871.64035922397</v>
      </c>
      <c r="W422" s="61">
        <v>0</v>
      </c>
      <c r="X422" s="63">
        <f t="shared" si="80"/>
        <v>0</v>
      </c>
      <c r="Y422" s="61">
        <v>10830</v>
      </c>
      <c r="Z422" s="102">
        <v>0</v>
      </c>
      <c r="AA422" s="63">
        <f t="shared" si="81"/>
        <v>0</v>
      </c>
      <c r="AB422" s="61">
        <v>114</v>
      </c>
      <c r="AC422" s="61">
        <v>0</v>
      </c>
      <c r="AD422" s="63">
        <f t="shared" si="82"/>
        <v>0</v>
      </c>
      <c r="AE422" s="61">
        <v>18</v>
      </c>
      <c r="AF422" s="61">
        <v>0</v>
      </c>
      <c r="AG422" s="63">
        <f t="shared" si="83"/>
        <v>0</v>
      </c>
      <c r="AH422" s="61">
        <v>551.74880401786788</v>
      </c>
      <c r="AI422" s="61">
        <v>0</v>
      </c>
      <c r="AJ422" s="63">
        <f t="shared" si="84"/>
        <v>0</v>
      </c>
      <c r="AK422" s="61">
        <v>23.083736310384321</v>
      </c>
      <c r="AL422" s="61">
        <v>0</v>
      </c>
      <c r="AM422" s="63">
        <f t="shared" si="85"/>
        <v>0</v>
      </c>
      <c r="AN422" s="61">
        <v>15.867599169258597</v>
      </c>
      <c r="AO422" s="61">
        <v>0</v>
      </c>
      <c r="AP422" s="63">
        <f t="shared" si="86"/>
        <v>0</v>
      </c>
      <c r="AQ422" s="61">
        <v>52.870246346045342</v>
      </c>
      <c r="AR422" s="61">
        <v>0</v>
      </c>
      <c r="AS422" s="63">
        <f t="shared" si="87"/>
        <v>0</v>
      </c>
      <c r="AT422" s="61">
        <v>37</v>
      </c>
      <c r="AU422" s="61">
        <v>0</v>
      </c>
      <c r="AV422" s="63">
        <f t="shared" si="88"/>
        <v>0</v>
      </c>
      <c r="AW422" s="61">
        <v>18.697271080317162</v>
      </c>
      <c r="AX422" s="61">
        <v>0</v>
      </c>
      <c r="AY422" s="63">
        <f t="shared" si="89"/>
        <v>0</v>
      </c>
      <c r="AZ422" s="61">
        <v>53</v>
      </c>
      <c r="BA422" s="61">
        <v>0</v>
      </c>
      <c r="BB422" s="63">
        <f t="shared" si="90"/>
        <v>0</v>
      </c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</row>
    <row r="423" spans="1:87" x14ac:dyDescent="0.25">
      <c r="A423" s="180">
        <v>21385</v>
      </c>
      <c r="B423" s="181">
        <v>21100</v>
      </c>
      <c r="C423" s="148">
        <v>1044273173</v>
      </c>
      <c r="D423" s="182" t="s">
        <v>606</v>
      </c>
      <c r="E423" s="180" t="s">
        <v>544</v>
      </c>
      <c r="F423" s="180" t="s">
        <v>544</v>
      </c>
      <c r="G423" s="180" t="s">
        <v>292</v>
      </c>
      <c r="H423" s="180" t="s">
        <v>292</v>
      </c>
      <c r="I423" s="180" t="s">
        <v>1218</v>
      </c>
      <c r="J423" s="180" t="s">
        <v>221</v>
      </c>
      <c r="K423" s="182" t="s">
        <v>605</v>
      </c>
      <c r="L423" s="180">
        <v>13014</v>
      </c>
      <c r="M423" s="182"/>
      <c r="N423" s="180">
        <v>5</v>
      </c>
      <c r="O423" s="184"/>
      <c r="P423" s="194">
        <v>345733</v>
      </c>
      <c r="Q423" s="61">
        <v>0</v>
      </c>
      <c r="R423" s="63">
        <f t="shared" si="78"/>
        <v>0</v>
      </c>
      <c r="S423" s="61">
        <v>51672</v>
      </c>
      <c r="T423" s="61">
        <v>0</v>
      </c>
      <c r="U423" s="63">
        <f t="shared" si="79"/>
        <v>0</v>
      </c>
      <c r="V423" s="61">
        <v>103673.58193311455</v>
      </c>
      <c r="W423" s="61">
        <v>0</v>
      </c>
      <c r="X423" s="63">
        <f t="shared" si="80"/>
        <v>0</v>
      </c>
      <c r="Y423" s="61">
        <v>4797</v>
      </c>
      <c r="Z423" s="102">
        <v>0</v>
      </c>
      <c r="AA423" s="63">
        <f t="shared" si="81"/>
        <v>0</v>
      </c>
      <c r="AB423" s="61">
        <v>54</v>
      </c>
      <c r="AC423" s="61">
        <v>0</v>
      </c>
      <c r="AD423" s="63">
        <f t="shared" si="82"/>
        <v>0</v>
      </c>
      <c r="AE423" s="61">
        <v>8</v>
      </c>
      <c r="AF423" s="61">
        <v>0</v>
      </c>
      <c r="AG423" s="63">
        <f t="shared" si="83"/>
        <v>0</v>
      </c>
      <c r="AH423" s="61">
        <v>297.72376908043316</v>
      </c>
      <c r="AI423" s="61">
        <v>0</v>
      </c>
      <c r="AJ423" s="63">
        <f t="shared" si="84"/>
        <v>0</v>
      </c>
      <c r="AK423" s="61">
        <v>11.939863608819476</v>
      </c>
      <c r="AL423" s="61">
        <v>0</v>
      </c>
      <c r="AM423" s="63">
        <f t="shared" si="85"/>
        <v>0</v>
      </c>
      <c r="AN423" s="61">
        <v>7.9337995846292984</v>
      </c>
      <c r="AO423" s="61">
        <v>0</v>
      </c>
      <c r="AP423" s="63">
        <f t="shared" si="86"/>
        <v>0</v>
      </c>
      <c r="AQ423" s="61">
        <v>28.67538784870256</v>
      </c>
      <c r="AR423" s="61">
        <v>0</v>
      </c>
      <c r="AS423" s="63">
        <f t="shared" si="87"/>
        <v>0</v>
      </c>
      <c r="AT423" s="61">
        <v>16</v>
      </c>
      <c r="AU423" s="61">
        <v>0</v>
      </c>
      <c r="AV423" s="63">
        <f t="shared" si="88"/>
        <v>0</v>
      </c>
      <c r="AW423" s="61">
        <v>10.118482888050524</v>
      </c>
      <c r="AX423" s="61">
        <v>0</v>
      </c>
      <c r="AY423" s="63">
        <f t="shared" si="89"/>
        <v>0</v>
      </c>
      <c r="AZ423" s="61">
        <v>28</v>
      </c>
      <c r="BA423" s="61">
        <v>0</v>
      </c>
      <c r="BB423" s="63">
        <f t="shared" si="90"/>
        <v>0</v>
      </c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</row>
    <row r="424" spans="1:87" x14ac:dyDescent="0.25">
      <c r="A424" s="180">
        <v>9868</v>
      </c>
      <c r="B424" s="181">
        <v>21385</v>
      </c>
      <c r="C424" s="181">
        <v>1029719430</v>
      </c>
      <c r="D424" s="182" t="s">
        <v>608</v>
      </c>
      <c r="E424" s="180" t="s">
        <v>546</v>
      </c>
      <c r="F424" s="180" t="s">
        <v>546</v>
      </c>
      <c r="G424" s="180" t="s">
        <v>295</v>
      </c>
      <c r="H424" s="180" t="s">
        <v>296</v>
      </c>
      <c r="I424" s="180" t="s">
        <v>1218</v>
      </c>
      <c r="J424" s="180" t="s">
        <v>221</v>
      </c>
      <c r="K424" s="182" t="s">
        <v>605</v>
      </c>
      <c r="L424" s="180">
        <v>13014</v>
      </c>
      <c r="M424" s="180" t="s">
        <v>1215</v>
      </c>
      <c r="N424" s="180"/>
      <c r="O424" s="180"/>
      <c r="P424" s="183">
        <v>115856</v>
      </c>
      <c r="Q424" s="61">
        <v>94292.19</v>
      </c>
      <c r="R424" s="63">
        <f t="shared" si="78"/>
        <v>0.81387403328269581</v>
      </c>
      <c r="S424" s="61">
        <v>22288</v>
      </c>
      <c r="T424" s="61">
        <v>3216.52</v>
      </c>
      <c r="U424" s="63">
        <f t="shared" si="79"/>
        <v>0.14431622397702801</v>
      </c>
      <c r="V424" s="61">
        <v>35213.6629664723</v>
      </c>
      <c r="W424" s="61">
        <v>16391.73</v>
      </c>
      <c r="X424" s="63">
        <f t="shared" si="80"/>
        <v>0.46549346529518743</v>
      </c>
      <c r="Y424" s="61">
        <v>2493</v>
      </c>
      <c r="Z424" s="102">
        <v>0</v>
      </c>
      <c r="AA424" s="63">
        <f t="shared" si="81"/>
        <v>0</v>
      </c>
      <c r="AB424" s="61">
        <v>20</v>
      </c>
      <c r="AC424" s="61">
        <v>12</v>
      </c>
      <c r="AD424" s="63">
        <f t="shared" si="82"/>
        <v>0.6</v>
      </c>
      <c r="AE424" s="61">
        <v>2</v>
      </c>
      <c r="AF424" s="61">
        <v>3</v>
      </c>
      <c r="AG424" s="63">
        <f t="shared" si="83"/>
        <v>1.5</v>
      </c>
      <c r="AH424" s="61">
        <v>59.430942270108297</v>
      </c>
      <c r="AI424" s="61">
        <v>25</v>
      </c>
      <c r="AJ424" s="63">
        <f t="shared" si="84"/>
        <v>0.42065629527422338</v>
      </c>
      <c r="AK424" s="61">
        <v>3.9799545362731585</v>
      </c>
      <c r="AL424" s="61">
        <v>3</v>
      </c>
      <c r="AM424" s="63">
        <f t="shared" si="85"/>
        <v>0.75377745465635626</v>
      </c>
      <c r="AN424" s="61">
        <v>0.72125450769357258</v>
      </c>
      <c r="AO424" s="61">
        <v>0</v>
      </c>
      <c r="AP424" s="63">
        <f t="shared" si="86"/>
        <v>0</v>
      </c>
      <c r="AQ424" s="61">
        <v>8.9610587027195496</v>
      </c>
      <c r="AR424" s="61">
        <v>3</v>
      </c>
      <c r="AS424" s="63">
        <f t="shared" si="87"/>
        <v>0.33478187115207092</v>
      </c>
      <c r="AT424" s="61">
        <v>5</v>
      </c>
      <c r="AU424" s="61">
        <v>4</v>
      </c>
      <c r="AV424" s="63">
        <f t="shared" si="88"/>
        <v>0.8</v>
      </c>
      <c r="AW424" s="61">
        <v>3.3907291276157654</v>
      </c>
      <c r="AX424" s="61">
        <v>1</v>
      </c>
      <c r="AY424" s="63">
        <f t="shared" si="89"/>
        <v>0.29492181839460668</v>
      </c>
      <c r="AZ424" s="61">
        <v>7</v>
      </c>
      <c r="BA424" s="61">
        <v>4</v>
      </c>
      <c r="BB424" s="63">
        <f t="shared" si="90"/>
        <v>0.5714285714285714</v>
      </c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</row>
    <row r="425" spans="1:87" x14ac:dyDescent="0.25">
      <c r="A425" s="180">
        <v>4758</v>
      </c>
      <c r="B425" s="181">
        <v>21385</v>
      </c>
      <c r="C425" s="148">
        <v>1062044688</v>
      </c>
      <c r="D425" s="182" t="s">
        <v>610</v>
      </c>
      <c r="E425" s="180" t="s">
        <v>546</v>
      </c>
      <c r="F425" s="180" t="s">
        <v>546</v>
      </c>
      <c r="G425" s="180" t="s">
        <v>293</v>
      </c>
      <c r="H425" s="180" t="s">
        <v>294</v>
      </c>
      <c r="I425" s="180" t="s">
        <v>1218</v>
      </c>
      <c r="J425" s="180" t="s">
        <v>221</v>
      </c>
      <c r="K425" s="182" t="s">
        <v>605</v>
      </c>
      <c r="L425" s="180">
        <v>13014</v>
      </c>
      <c r="M425" s="180"/>
      <c r="N425" s="180"/>
      <c r="O425" s="180"/>
      <c r="P425" s="183">
        <v>84194</v>
      </c>
      <c r="Q425" s="61">
        <v>41440.020000000004</v>
      </c>
      <c r="R425" s="63">
        <f t="shared" si="78"/>
        <v>0.49219683112810891</v>
      </c>
      <c r="S425" s="61">
        <v>11688</v>
      </c>
      <c r="T425" s="61">
        <v>6047.04</v>
      </c>
      <c r="U425" s="63">
        <f t="shared" si="79"/>
        <v>0.51737166324435313</v>
      </c>
      <c r="V425" s="61">
        <v>19605.763857818802</v>
      </c>
      <c r="W425" s="61">
        <v>12493.4</v>
      </c>
      <c r="X425" s="63">
        <f t="shared" si="80"/>
        <v>0.6372309740442792</v>
      </c>
      <c r="Y425" s="61">
        <v>816</v>
      </c>
      <c r="Z425" s="102">
        <v>0</v>
      </c>
      <c r="AA425" s="63">
        <f t="shared" si="81"/>
        <v>0</v>
      </c>
      <c r="AB425" s="61">
        <v>4</v>
      </c>
      <c r="AC425" s="61">
        <v>7</v>
      </c>
      <c r="AD425" s="63">
        <f t="shared" si="82"/>
        <v>1.75</v>
      </c>
      <c r="AE425" s="61">
        <v>1</v>
      </c>
      <c r="AF425" s="61">
        <v>3</v>
      </c>
      <c r="AG425" s="63">
        <f t="shared" si="83"/>
        <v>3</v>
      </c>
      <c r="AH425" s="61">
        <v>63.430942270108297</v>
      </c>
      <c r="AI425" s="61">
        <v>22</v>
      </c>
      <c r="AJ425" s="63">
        <f t="shared" si="84"/>
        <v>0.34683388284407457</v>
      </c>
      <c r="AK425" s="61">
        <v>2.3879727217638953</v>
      </c>
      <c r="AL425" s="61">
        <v>1</v>
      </c>
      <c r="AM425" s="63">
        <f t="shared" si="85"/>
        <v>0.41876525258686453</v>
      </c>
      <c r="AN425" s="61">
        <v>2.8850180307742903</v>
      </c>
      <c r="AO425" s="61">
        <v>2</v>
      </c>
      <c r="AP425" s="63">
        <f t="shared" si="86"/>
        <v>0.69323656859892613</v>
      </c>
      <c r="AQ425" s="61">
        <v>7.1688469621756399</v>
      </c>
      <c r="AR425" s="61">
        <v>2</v>
      </c>
      <c r="AS425" s="63">
        <f t="shared" si="87"/>
        <v>0.27898489262672577</v>
      </c>
      <c r="AT425" s="61">
        <v>4</v>
      </c>
      <c r="AU425" s="61">
        <v>1</v>
      </c>
      <c r="AV425" s="63">
        <f t="shared" si="88"/>
        <v>0.25</v>
      </c>
      <c r="AW425" s="61">
        <v>2.4640851416455058</v>
      </c>
      <c r="AX425" s="61">
        <v>0</v>
      </c>
      <c r="AY425" s="63">
        <f t="shared" si="89"/>
        <v>0</v>
      </c>
      <c r="AZ425" s="61">
        <v>7</v>
      </c>
      <c r="BA425" s="61">
        <v>1</v>
      </c>
      <c r="BB425" s="63">
        <f t="shared" si="90"/>
        <v>0.14285714285714285</v>
      </c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</row>
    <row r="426" spans="1:87" x14ac:dyDescent="0.25">
      <c r="A426" s="180">
        <v>12088</v>
      </c>
      <c r="B426" s="181">
        <v>21385</v>
      </c>
      <c r="C426" s="148">
        <v>1008876987</v>
      </c>
      <c r="D426" s="182" t="s">
        <v>623</v>
      </c>
      <c r="E426" s="180" t="s">
        <v>546</v>
      </c>
      <c r="F426" s="180" t="s">
        <v>546</v>
      </c>
      <c r="G426" s="180" t="s">
        <v>308</v>
      </c>
      <c r="H426" s="180" t="s">
        <v>308</v>
      </c>
      <c r="I426" s="180" t="s">
        <v>1218</v>
      </c>
      <c r="J426" s="180" t="s">
        <v>221</v>
      </c>
      <c r="K426" s="182" t="s">
        <v>605</v>
      </c>
      <c r="L426" s="180">
        <v>13014</v>
      </c>
      <c r="M426" s="180"/>
      <c r="N426" s="180"/>
      <c r="O426" s="180"/>
      <c r="P426" s="183">
        <v>73416</v>
      </c>
      <c r="Q426" s="61">
        <v>33864.370000000003</v>
      </c>
      <c r="R426" s="63">
        <f t="shared" si="78"/>
        <v>0.46126689005121502</v>
      </c>
      <c r="S426" s="61">
        <v>8882</v>
      </c>
      <c r="T426" s="61">
        <v>0</v>
      </c>
      <c r="U426" s="63">
        <f t="shared" si="79"/>
        <v>0</v>
      </c>
      <c r="V426" s="61">
        <v>24681.537929416136</v>
      </c>
      <c r="W426" s="61">
        <v>2387.8199999999997</v>
      </c>
      <c r="X426" s="63">
        <f t="shared" si="80"/>
        <v>9.6745186901588093E-2</v>
      </c>
      <c r="Y426" s="61">
        <v>286</v>
      </c>
      <c r="Z426" s="102">
        <v>0</v>
      </c>
      <c r="AA426" s="63">
        <f t="shared" si="81"/>
        <v>0</v>
      </c>
      <c r="AB426" s="61">
        <v>14</v>
      </c>
      <c r="AC426" s="61">
        <v>9</v>
      </c>
      <c r="AD426" s="63">
        <f t="shared" si="82"/>
        <v>0.6428571428571429</v>
      </c>
      <c r="AE426" s="61">
        <v>2</v>
      </c>
      <c r="AF426" s="61">
        <v>0</v>
      </c>
      <c r="AG426" s="63">
        <f t="shared" si="83"/>
        <v>0</v>
      </c>
      <c r="AH426" s="61">
        <v>96.430942270108289</v>
      </c>
      <c r="AI426" s="61">
        <v>37</v>
      </c>
      <c r="AJ426" s="63">
        <f t="shared" si="84"/>
        <v>0.3836942700026823</v>
      </c>
      <c r="AK426" s="61">
        <v>3.1839636290185269</v>
      </c>
      <c r="AL426" s="61">
        <v>0</v>
      </c>
      <c r="AM426" s="63">
        <f t="shared" si="85"/>
        <v>0</v>
      </c>
      <c r="AN426" s="61">
        <v>2.8850180307742903</v>
      </c>
      <c r="AO426" s="61">
        <v>0</v>
      </c>
      <c r="AP426" s="63">
        <f t="shared" si="86"/>
        <v>0</v>
      </c>
      <c r="AQ426" s="61">
        <v>6.2727410919036846</v>
      </c>
      <c r="AR426" s="61">
        <v>0</v>
      </c>
      <c r="AS426" s="63">
        <f t="shared" si="87"/>
        <v>0</v>
      </c>
      <c r="AT426" s="61">
        <v>4</v>
      </c>
      <c r="AU426" s="61">
        <v>2</v>
      </c>
      <c r="AV426" s="63">
        <f t="shared" si="88"/>
        <v>0.5</v>
      </c>
      <c r="AW426" s="61">
        <v>2.1486480599454412</v>
      </c>
      <c r="AX426" s="61">
        <v>0</v>
      </c>
      <c r="AY426" s="63">
        <f t="shared" si="89"/>
        <v>0</v>
      </c>
      <c r="AZ426" s="61">
        <v>7</v>
      </c>
      <c r="BA426" s="61">
        <v>3</v>
      </c>
      <c r="BB426" s="63">
        <f t="shared" si="90"/>
        <v>0.42857142857142855</v>
      </c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</row>
    <row r="427" spans="1:87" x14ac:dyDescent="0.25">
      <c r="A427" s="180">
        <v>21707</v>
      </c>
      <c r="B427" s="181">
        <v>21385</v>
      </c>
      <c r="C427" s="181">
        <v>1028815189</v>
      </c>
      <c r="D427" s="182" t="s">
        <v>612</v>
      </c>
      <c r="E427" s="180" t="s">
        <v>546</v>
      </c>
      <c r="F427" s="180" t="s">
        <v>546</v>
      </c>
      <c r="G427" s="180" t="s">
        <v>298</v>
      </c>
      <c r="H427" s="180" t="s">
        <v>298</v>
      </c>
      <c r="I427" s="180" t="s">
        <v>1218</v>
      </c>
      <c r="J427" s="180" t="s">
        <v>221</v>
      </c>
      <c r="K427" s="182" t="s">
        <v>605</v>
      </c>
      <c r="L427" s="180">
        <v>13014</v>
      </c>
      <c r="M427" s="182"/>
      <c r="N427" s="180"/>
      <c r="O427" s="184"/>
      <c r="P427" s="183">
        <v>72267</v>
      </c>
      <c r="Q427" s="61">
        <v>46446.979999999996</v>
      </c>
      <c r="R427" s="63">
        <f t="shared" si="78"/>
        <v>0.64271354836924177</v>
      </c>
      <c r="S427" s="61">
        <v>8814</v>
      </c>
      <c r="T427" s="61">
        <v>3651.3</v>
      </c>
      <c r="U427" s="63">
        <f t="shared" si="79"/>
        <v>0.4142614023144997</v>
      </c>
      <c r="V427" s="61">
        <v>24172.617179407302</v>
      </c>
      <c r="W427" s="61">
        <v>4686.5200000000004</v>
      </c>
      <c r="X427" s="63">
        <f t="shared" si="80"/>
        <v>0.19387722749328343</v>
      </c>
      <c r="Y427" s="61">
        <v>1202</v>
      </c>
      <c r="Z427" s="102">
        <v>0</v>
      </c>
      <c r="AA427" s="63">
        <f t="shared" si="81"/>
        <v>0</v>
      </c>
      <c r="AB427" s="61">
        <v>16</v>
      </c>
      <c r="AC427" s="61">
        <v>4</v>
      </c>
      <c r="AD427" s="63">
        <f t="shared" si="82"/>
        <v>0.25</v>
      </c>
      <c r="AE427" s="61">
        <v>3</v>
      </c>
      <c r="AF427" s="61">
        <v>1</v>
      </c>
      <c r="AG427" s="63">
        <f t="shared" si="83"/>
        <v>0.33333333333333331</v>
      </c>
      <c r="AH427" s="61">
        <v>78.430942270108289</v>
      </c>
      <c r="AI427" s="61">
        <v>62</v>
      </c>
      <c r="AJ427" s="63">
        <f t="shared" si="84"/>
        <v>0.79050433675115395</v>
      </c>
      <c r="AK427" s="61">
        <v>2.3879727217638953</v>
      </c>
      <c r="AL427" s="61">
        <v>5</v>
      </c>
      <c r="AM427" s="63">
        <f t="shared" si="85"/>
        <v>2.0938262629343227</v>
      </c>
      <c r="AN427" s="61">
        <v>1.4425090153871452</v>
      </c>
      <c r="AO427" s="61">
        <v>2</v>
      </c>
      <c r="AP427" s="63">
        <f t="shared" si="86"/>
        <v>1.3864731371978523</v>
      </c>
      <c r="AQ427" s="61">
        <v>6.2727410919036846</v>
      </c>
      <c r="AR427" s="61">
        <v>1</v>
      </c>
      <c r="AS427" s="63">
        <f t="shared" si="87"/>
        <v>0.1594199386438433</v>
      </c>
      <c r="AT427" s="61">
        <v>3</v>
      </c>
      <c r="AU427" s="61">
        <v>2</v>
      </c>
      <c r="AV427" s="63">
        <f t="shared" si="88"/>
        <v>0.66666666666666663</v>
      </c>
      <c r="AW427" s="61">
        <v>2.1150205588438107</v>
      </c>
      <c r="AX427" s="61">
        <v>0</v>
      </c>
      <c r="AY427" s="63">
        <f t="shared" si="89"/>
        <v>0</v>
      </c>
      <c r="AZ427" s="61">
        <v>7</v>
      </c>
      <c r="BA427" s="61">
        <v>1</v>
      </c>
      <c r="BB427" s="63">
        <f t="shared" si="90"/>
        <v>0.14285714285714285</v>
      </c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</row>
    <row r="428" spans="1:87" x14ac:dyDescent="0.25">
      <c r="A428" s="180">
        <v>3440</v>
      </c>
      <c r="B428" s="181">
        <v>21100</v>
      </c>
      <c r="C428" s="148">
        <v>1058450527</v>
      </c>
      <c r="D428" s="182" t="s">
        <v>607</v>
      </c>
      <c r="E428" s="180" t="s">
        <v>544</v>
      </c>
      <c r="F428" s="180" t="s">
        <v>544</v>
      </c>
      <c r="G428" s="180" t="s">
        <v>289</v>
      </c>
      <c r="H428" s="180" t="s">
        <v>290</v>
      </c>
      <c r="I428" s="180" t="s">
        <v>1218</v>
      </c>
      <c r="J428" s="180" t="s">
        <v>221</v>
      </c>
      <c r="K428" s="182" t="s">
        <v>605</v>
      </c>
      <c r="L428" s="180">
        <v>13014</v>
      </c>
      <c r="M428" s="182"/>
      <c r="N428" s="180"/>
      <c r="O428" s="184"/>
      <c r="P428" s="183">
        <v>293124</v>
      </c>
      <c r="Q428" s="61">
        <v>0</v>
      </c>
      <c r="R428" s="63">
        <f t="shared" si="78"/>
        <v>0</v>
      </c>
      <c r="S428" s="61">
        <v>32225</v>
      </c>
      <c r="T428" s="61">
        <v>0</v>
      </c>
      <c r="U428" s="63">
        <f t="shared" si="79"/>
        <v>0</v>
      </c>
      <c r="V428" s="61">
        <v>101198.05842610942</v>
      </c>
      <c r="W428" s="61">
        <v>0</v>
      </c>
      <c r="X428" s="63">
        <f t="shared" si="80"/>
        <v>0</v>
      </c>
      <c r="Y428" s="61">
        <v>6033</v>
      </c>
      <c r="Z428" s="102">
        <v>0</v>
      </c>
      <c r="AA428" s="63">
        <f t="shared" si="81"/>
        <v>0</v>
      </c>
      <c r="AB428" s="61">
        <v>60</v>
      </c>
      <c r="AC428" s="61">
        <v>0</v>
      </c>
      <c r="AD428" s="63">
        <f t="shared" si="82"/>
        <v>0</v>
      </c>
      <c r="AE428" s="61">
        <v>10</v>
      </c>
      <c r="AF428" s="61">
        <v>0</v>
      </c>
      <c r="AG428" s="63">
        <f t="shared" si="83"/>
        <v>0</v>
      </c>
      <c r="AH428" s="61">
        <v>254.02503493743467</v>
      </c>
      <c r="AI428" s="61">
        <v>0</v>
      </c>
      <c r="AJ428" s="63">
        <f t="shared" si="84"/>
        <v>0</v>
      </c>
      <c r="AK428" s="61">
        <v>11.143872701564844</v>
      </c>
      <c r="AL428" s="61">
        <v>0</v>
      </c>
      <c r="AM428" s="63">
        <f t="shared" si="85"/>
        <v>0</v>
      </c>
      <c r="AN428" s="61">
        <v>7.9337995846292984</v>
      </c>
      <c r="AO428" s="61">
        <v>0</v>
      </c>
      <c r="AP428" s="63">
        <f t="shared" si="86"/>
        <v>0</v>
      </c>
      <c r="AQ428" s="61">
        <v>24.194858497342786</v>
      </c>
      <c r="AR428" s="61">
        <v>0</v>
      </c>
      <c r="AS428" s="63">
        <f t="shared" si="87"/>
        <v>0</v>
      </c>
      <c r="AT428" s="61">
        <v>21</v>
      </c>
      <c r="AU428" s="61">
        <v>0</v>
      </c>
      <c r="AV428" s="63">
        <f t="shared" si="88"/>
        <v>0</v>
      </c>
      <c r="AW428" s="61">
        <v>8.5787881922666376</v>
      </c>
      <c r="AX428" s="61">
        <v>0</v>
      </c>
      <c r="AY428" s="63">
        <f t="shared" si="89"/>
        <v>0</v>
      </c>
      <c r="AZ428" s="61">
        <v>25</v>
      </c>
      <c r="BA428" s="61">
        <v>0</v>
      </c>
      <c r="BB428" s="63">
        <f t="shared" si="90"/>
        <v>0</v>
      </c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</row>
    <row r="429" spans="1:87" x14ac:dyDescent="0.25">
      <c r="A429" s="180">
        <v>21664</v>
      </c>
      <c r="B429" s="181">
        <v>3440</v>
      </c>
      <c r="C429" s="148">
        <v>1037982392</v>
      </c>
      <c r="D429" s="182" t="s">
        <v>613</v>
      </c>
      <c r="E429" s="180" t="s">
        <v>546</v>
      </c>
      <c r="F429" s="180" t="s">
        <v>546</v>
      </c>
      <c r="G429" s="180" t="s">
        <v>291</v>
      </c>
      <c r="H429" s="180" t="s">
        <v>291</v>
      </c>
      <c r="I429" s="180" t="s">
        <v>1218</v>
      </c>
      <c r="J429" s="180" t="s">
        <v>221</v>
      </c>
      <c r="K429" s="182" t="s">
        <v>605</v>
      </c>
      <c r="L429" s="180">
        <v>13014</v>
      </c>
      <c r="M429" s="182" t="s">
        <v>1149</v>
      </c>
      <c r="N429" s="180"/>
      <c r="O429" s="184"/>
      <c r="P429" s="183">
        <v>108342</v>
      </c>
      <c r="Q429" s="61">
        <v>43295.71</v>
      </c>
      <c r="R429" s="63">
        <f t="shared" si="78"/>
        <v>0.39962073803326503</v>
      </c>
      <c r="S429" s="61">
        <v>14301</v>
      </c>
      <c r="T429" s="61">
        <v>630.4</v>
      </c>
      <c r="U429" s="63">
        <f t="shared" si="79"/>
        <v>4.4080833508146282E-2</v>
      </c>
      <c r="V429" s="61">
        <v>42212.393755358986</v>
      </c>
      <c r="W429" s="61">
        <v>28771.770000000004</v>
      </c>
      <c r="X429" s="63">
        <f t="shared" si="80"/>
        <v>0.68159531929760186</v>
      </c>
      <c r="Y429" s="61">
        <v>4278</v>
      </c>
      <c r="Z429" s="102">
        <v>1777</v>
      </c>
      <c r="AA429" s="63">
        <f t="shared" si="81"/>
        <v>0.41538101916783543</v>
      </c>
      <c r="AB429" s="61">
        <v>23</v>
      </c>
      <c r="AC429" s="61">
        <v>15</v>
      </c>
      <c r="AD429" s="63">
        <f t="shared" si="82"/>
        <v>0.65217391304347827</v>
      </c>
      <c r="AE429" s="61">
        <v>3</v>
      </c>
      <c r="AF429" s="61">
        <v>1</v>
      </c>
      <c r="AG429" s="63">
        <f t="shared" si="83"/>
        <v>0.33333333333333331</v>
      </c>
      <c r="AH429" s="61">
        <v>78.430942270108289</v>
      </c>
      <c r="AI429" s="61">
        <v>88</v>
      </c>
      <c r="AJ429" s="63">
        <f t="shared" si="84"/>
        <v>1.1220061553887346</v>
      </c>
      <c r="AK429" s="61">
        <v>3.9799545362731585</v>
      </c>
      <c r="AL429" s="61">
        <v>1</v>
      </c>
      <c r="AM429" s="63">
        <f t="shared" si="85"/>
        <v>0.25125915155211875</v>
      </c>
      <c r="AN429" s="61">
        <v>1.4425090153871452</v>
      </c>
      <c r="AO429" s="61">
        <v>1</v>
      </c>
      <c r="AP429" s="63">
        <f t="shared" si="86"/>
        <v>0.69323656859892613</v>
      </c>
      <c r="AQ429" s="61">
        <v>7.1688469621756399</v>
      </c>
      <c r="AR429" s="61">
        <v>3</v>
      </c>
      <c r="AS429" s="63">
        <f t="shared" si="87"/>
        <v>0.41847733894008865</v>
      </c>
      <c r="AT429" s="61">
        <v>4</v>
      </c>
      <c r="AU429" s="61">
        <v>1</v>
      </c>
      <c r="AV429" s="63">
        <f t="shared" si="88"/>
        <v>0.25</v>
      </c>
      <c r="AW429" s="61">
        <v>3.170818733118244</v>
      </c>
      <c r="AX429" s="61">
        <v>0</v>
      </c>
      <c r="AY429" s="63">
        <f t="shared" si="89"/>
        <v>0</v>
      </c>
      <c r="AZ429" s="61">
        <v>7</v>
      </c>
      <c r="BA429" s="61">
        <v>2</v>
      </c>
      <c r="BB429" s="63">
        <f t="shared" si="90"/>
        <v>0.2857142857142857</v>
      </c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</row>
    <row r="430" spans="1:87" x14ac:dyDescent="0.25">
      <c r="A430" s="215">
        <v>4528</v>
      </c>
      <c r="B430" s="256">
        <v>3440</v>
      </c>
      <c r="C430" s="256">
        <v>1053893002</v>
      </c>
      <c r="D430" s="257" t="s">
        <v>614</v>
      </c>
      <c r="E430" s="215" t="s">
        <v>546</v>
      </c>
      <c r="F430" s="215" t="s">
        <v>546</v>
      </c>
      <c r="G430" s="215" t="s">
        <v>529</v>
      </c>
      <c r="H430" s="215" t="s">
        <v>530</v>
      </c>
      <c r="I430" s="213" t="s">
        <v>1218</v>
      </c>
      <c r="J430" s="215" t="s">
        <v>221</v>
      </c>
      <c r="K430" s="257" t="s">
        <v>605</v>
      </c>
      <c r="L430" s="215">
        <v>13014</v>
      </c>
      <c r="M430" s="257"/>
      <c r="N430" s="215"/>
      <c r="O430" s="215"/>
      <c r="P430" s="258">
        <v>89222</v>
      </c>
      <c r="Q430" s="61">
        <v>101409.64</v>
      </c>
      <c r="R430" s="63">
        <f t="shared" si="78"/>
        <v>1.1365990450785681</v>
      </c>
      <c r="S430" s="61">
        <v>8374</v>
      </c>
      <c r="T430" s="61">
        <v>8983.0300000000007</v>
      </c>
      <c r="U430" s="63">
        <f t="shared" si="79"/>
        <v>1.0727286840219727</v>
      </c>
      <c r="V430" s="61">
        <v>24659.701841858725</v>
      </c>
      <c r="W430" s="61">
        <v>10693.029999999999</v>
      </c>
      <c r="X430" s="63">
        <f t="shared" si="80"/>
        <v>0.43362365322069973</v>
      </c>
      <c r="Y430" s="61">
        <v>420</v>
      </c>
      <c r="Z430" s="102">
        <v>0</v>
      </c>
      <c r="AA430" s="63">
        <f t="shared" si="81"/>
        <v>0</v>
      </c>
      <c r="AB430" s="61">
        <v>18</v>
      </c>
      <c r="AC430" s="61">
        <v>9</v>
      </c>
      <c r="AD430" s="63">
        <f t="shared" si="82"/>
        <v>0.5</v>
      </c>
      <c r="AE430" s="61">
        <v>4</v>
      </c>
      <c r="AF430" s="61">
        <v>1</v>
      </c>
      <c r="AG430" s="63">
        <f t="shared" si="83"/>
        <v>0.25</v>
      </c>
      <c r="AH430" s="61">
        <v>51.430942270108297</v>
      </c>
      <c r="AI430" s="61">
        <v>29</v>
      </c>
      <c r="AJ430" s="63">
        <f t="shared" si="84"/>
        <v>0.56386289498053432</v>
      </c>
      <c r="AK430" s="61">
        <v>2.3879727217638953</v>
      </c>
      <c r="AL430" s="61">
        <v>2</v>
      </c>
      <c r="AM430" s="63">
        <f t="shared" si="85"/>
        <v>0.83753050517372907</v>
      </c>
      <c r="AN430" s="61">
        <v>1.4425090153871452</v>
      </c>
      <c r="AO430" s="61">
        <v>0</v>
      </c>
      <c r="AP430" s="63">
        <f t="shared" si="86"/>
        <v>0</v>
      </c>
      <c r="AQ430" s="61">
        <v>7.1688469621756399</v>
      </c>
      <c r="AR430" s="61">
        <v>5</v>
      </c>
      <c r="AS430" s="63">
        <f t="shared" si="87"/>
        <v>0.69746223156681442</v>
      </c>
      <c r="AT430" s="61">
        <v>5</v>
      </c>
      <c r="AU430" s="61">
        <v>6</v>
      </c>
      <c r="AV430" s="63">
        <f t="shared" si="88"/>
        <v>1.2</v>
      </c>
      <c r="AW430" s="61">
        <v>2.61123838406413</v>
      </c>
      <c r="AX430" s="61">
        <v>0</v>
      </c>
      <c r="AY430" s="63">
        <f t="shared" si="89"/>
        <v>0</v>
      </c>
      <c r="AZ430" s="61">
        <v>7</v>
      </c>
      <c r="BA430" s="61">
        <v>0</v>
      </c>
      <c r="BB430" s="63">
        <f t="shared" si="90"/>
        <v>0</v>
      </c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</row>
    <row r="431" spans="1:87" x14ac:dyDescent="0.25">
      <c r="A431" s="180">
        <v>21548</v>
      </c>
      <c r="B431" s="181">
        <v>3440</v>
      </c>
      <c r="C431" s="148">
        <v>1036431722</v>
      </c>
      <c r="D431" s="182" t="s">
        <v>609</v>
      </c>
      <c r="E431" s="180" t="s">
        <v>546</v>
      </c>
      <c r="F431" s="180" t="s">
        <v>546</v>
      </c>
      <c r="G431" s="180" t="s">
        <v>297</v>
      </c>
      <c r="H431" s="180" t="s">
        <v>297</v>
      </c>
      <c r="I431" s="180" t="s">
        <v>1218</v>
      </c>
      <c r="J431" s="180" t="s">
        <v>221</v>
      </c>
      <c r="K431" s="182" t="s">
        <v>605</v>
      </c>
      <c r="L431" s="180">
        <v>13014</v>
      </c>
      <c r="M431" s="180" t="s">
        <v>1146</v>
      </c>
      <c r="N431" s="180">
        <v>5</v>
      </c>
      <c r="O431" s="180">
        <v>0.1</v>
      </c>
      <c r="P431" s="183">
        <v>52490</v>
      </c>
      <c r="Q431" s="61">
        <v>28962.62</v>
      </c>
      <c r="R431" s="63">
        <f t="shared" si="78"/>
        <v>0.55177405220041909</v>
      </c>
      <c r="S431" s="61">
        <v>5608</v>
      </c>
      <c r="T431" s="61">
        <v>0</v>
      </c>
      <c r="U431" s="63">
        <f t="shared" si="79"/>
        <v>0</v>
      </c>
      <c r="V431" s="61">
        <v>16454.895069813501</v>
      </c>
      <c r="W431" s="61">
        <v>3888.69</v>
      </c>
      <c r="X431" s="63">
        <f t="shared" si="80"/>
        <v>0.23632420525936992</v>
      </c>
      <c r="Y431" s="61">
        <v>352</v>
      </c>
      <c r="Z431" s="102">
        <v>0</v>
      </c>
      <c r="AA431" s="63">
        <f t="shared" si="81"/>
        <v>0</v>
      </c>
      <c r="AB431" s="61">
        <v>9</v>
      </c>
      <c r="AC431" s="61">
        <v>4</v>
      </c>
      <c r="AD431" s="63">
        <f t="shared" si="82"/>
        <v>0.44444444444444442</v>
      </c>
      <c r="AE431" s="61">
        <v>2</v>
      </c>
      <c r="AF431" s="61">
        <v>1</v>
      </c>
      <c r="AG431" s="63">
        <f t="shared" si="83"/>
        <v>0.5</v>
      </c>
      <c r="AH431" s="61">
        <v>65.531364222442122</v>
      </c>
      <c r="AI431" s="61">
        <v>31</v>
      </c>
      <c r="AJ431" s="63">
        <f t="shared" si="84"/>
        <v>0.47305592318774925</v>
      </c>
      <c r="AK431" s="61">
        <v>2.3879727217638953</v>
      </c>
      <c r="AL431" s="61">
        <v>0</v>
      </c>
      <c r="AM431" s="63">
        <f t="shared" si="85"/>
        <v>0</v>
      </c>
      <c r="AN431" s="61">
        <v>2.8850180307742903</v>
      </c>
      <c r="AO431" s="61">
        <v>2</v>
      </c>
      <c r="AP431" s="63">
        <f t="shared" si="86"/>
        <v>0.69323656859892613</v>
      </c>
      <c r="AQ431" s="61">
        <v>5.3766352216317301</v>
      </c>
      <c r="AR431" s="61">
        <v>2</v>
      </c>
      <c r="AS431" s="63">
        <f t="shared" si="87"/>
        <v>0.37197985683563434</v>
      </c>
      <c r="AT431" s="61">
        <v>10</v>
      </c>
      <c r="AU431" s="61">
        <v>3</v>
      </c>
      <c r="AV431" s="63">
        <f t="shared" si="88"/>
        <v>0.3</v>
      </c>
      <c r="AW431" s="61">
        <v>1.5362119519796258</v>
      </c>
      <c r="AX431" s="61">
        <v>0</v>
      </c>
      <c r="AY431" s="63">
        <f t="shared" si="89"/>
        <v>0</v>
      </c>
      <c r="AZ431" s="61">
        <v>6</v>
      </c>
      <c r="BA431" s="61">
        <v>2</v>
      </c>
      <c r="BB431" s="63">
        <f t="shared" si="90"/>
        <v>0.33333333333333331</v>
      </c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</row>
    <row r="432" spans="1:87" x14ac:dyDescent="0.25">
      <c r="A432" s="180">
        <v>6108</v>
      </c>
      <c r="B432" s="181">
        <v>3440</v>
      </c>
      <c r="C432" s="148">
        <v>1061145775</v>
      </c>
      <c r="D432" s="182" t="s">
        <v>616</v>
      </c>
      <c r="E432" s="180" t="s">
        <v>546</v>
      </c>
      <c r="F432" s="180" t="s">
        <v>546</v>
      </c>
      <c r="G432" s="180" t="s">
        <v>422</v>
      </c>
      <c r="H432" s="180" t="s">
        <v>423</v>
      </c>
      <c r="I432" s="180" t="s">
        <v>1218</v>
      </c>
      <c r="J432" s="180" t="s">
        <v>221</v>
      </c>
      <c r="K432" s="182" t="s">
        <v>605</v>
      </c>
      <c r="L432" s="180">
        <v>13014</v>
      </c>
      <c r="M432" s="182" t="s">
        <v>1143</v>
      </c>
      <c r="N432" s="180"/>
      <c r="O432" s="184">
        <v>0.3</v>
      </c>
      <c r="P432" s="183">
        <v>43070</v>
      </c>
      <c r="Q432" s="61">
        <v>48254.820000000007</v>
      </c>
      <c r="R432" s="63">
        <f t="shared" si="78"/>
        <v>1.1203812398421176</v>
      </c>
      <c r="S432" s="61">
        <v>3942</v>
      </c>
      <c r="T432" s="61">
        <v>0</v>
      </c>
      <c r="U432" s="63">
        <f t="shared" si="79"/>
        <v>0</v>
      </c>
      <c r="V432" s="61">
        <v>17871.0677590782</v>
      </c>
      <c r="W432" s="61">
        <v>6730.8600000000006</v>
      </c>
      <c r="X432" s="63">
        <f t="shared" si="80"/>
        <v>0.37663446251446492</v>
      </c>
      <c r="Y432" s="61">
        <v>983</v>
      </c>
      <c r="Z432" s="102">
        <v>0</v>
      </c>
      <c r="AA432" s="63">
        <f t="shared" si="81"/>
        <v>0</v>
      </c>
      <c r="AB432" s="61">
        <v>10</v>
      </c>
      <c r="AC432" s="61">
        <v>6</v>
      </c>
      <c r="AD432" s="63">
        <f t="shared" si="82"/>
        <v>0.6</v>
      </c>
      <c r="AE432" s="61">
        <v>1</v>
      </c>
      <c r="AF432" s="61">
        <v>1</v>
      </c>
      <c r="AG432" s="63">
        <f t="shared" si="83"/>
        <v>1</v>
      </c>
      <c r="AH432" s="61">
        <v>58.631786174775954</v>
      </c>
      <c r="AI432" s="61">
        <v>32</v>
      </c>
      <c r="AJ432" s="63">
        <f t="shared" si="84"/>
        <v>0.54577904047833281</v>
      </c>
      <c r="AK432" s="61">
        <v>2.3879727217638953</v>
      </c>
      <c r="AL432" s="61">
        <v>0</v>
      </c>
      <c r="AM432" s="63">
        <f t="shared" si="85"/>
        <v>0</v>
      </c>
      <c r="AN432" s="61">
        <v>2.1637635230807177</v>
      </c>
      <c r="AO432" s="61">
        <v>3</v>
      </c>
      <c r="AP432" s="63">
        <f t="shared" si="86"/>
        <v>1.3864731371978523</v>
      </c>
      <c r="AQ432" s="61">
        <v>4.4805293513597748</v>
      </c>
      <c r="AR432" s="61">
        <v>3</v>
      </c>
      <c r="AS432" s="63">
        <f t="shared" si="87"/>
        <v>0.66956374230414184</v>
      </c>
      <c r="AT432" s="61">
        <v>2</v>
      </c>
      <c r="AU432" s="61">
        <v>2</v>
      </c>
      <c r="AV432" s="63">
        <f t="shared" si="88"/>
        <v>1</v>
      </c>
      <c r="AW432" s="61">
        <v>1.2605191231046387</v>
      </c>
      <c r="AX432" s="61">
        <v>0</v>
      </c>
      <c r="AY432" s="63">
        <f t="shared" si="89"/>
        <v>0</v>
      </c>
      <c r="AZ432" s="61">
        <v>5</v>
      </c>
      <c r="BA432" s="61">
        <v>1</v>
      </c>
      <c r="BB432" s="63">
        <f t="shared" si="90"/>
        <v>0.2</v>
      </c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</row>
    <row r="433" spans="1:87" x14ac:dyDescent="0.25">
      <c r="A433" s="180">
        <v>22177</v>
      </c>
      <c r="B433" s="181">
        <v>12886</v>
      </c>
      <c r="C433" s="148">
        <v>1005732514</v>
      </c>
      <c r="D433" s="182" t="s">
        <v>803</v>
      </c>
      <c r="E433" s="180" t="s">
        <v>541</v>
      </c>
      <c r="F433" s="180" t="s">
        <v>541</v>
      </c>
      <c r="G433" s="180" t="s">
        <v>89</v>
      </c>
      <c r="H433" s="180" t="s">
        <v>89</v>
      </c>
      <c r="I433" s="180" t="s">
        <v>1218</v>
      </c>
      <c r="J433" s="180" t="s">
        <v>221</v>
      </c>
      <c r="K433" s="182" t="s">
        <v>528</v>
      </c>
      <c r="L433" s="180">
        <v>13016</v>
      </c>
      <c r="M433" s="180"/>
      <c r="N433" s="180"/>
      <c r="O433" s="184"/>
      <c r="P433" s="183">
        <v>789541</v>
      </c>
      <c r="Q433" s="61">
        <v>0</v>
      </c>
      <c r="R433" s="63">
        <f t="shared" si="78"/>
        <v>0</v>
      </c>
      <c r="S433" s="61">
        <v>102355</v>
      </c>
      <c r="T433" s="61">
        <v>0</v>
      </c>
      <c r="U433" s="63">
        <f t="shared" si="79"/>
        <v>0</v>
      </c>
      <c r="V433" s="61">
        <v>230797.15161155062</v>
      </c>
      <c r="W433" s="61">
        <v>0</v>
      </c>
      <c r="X433" s="63">
        <f t="shared" si="80"/>
        <v>0</v>
      </c>
      <c r="Y433" s="61">
        <v>10276</v>
      </c>
      <c r="Z433" s="102">
        <v>0</v>
      </c>
      <c r="AA433" s="63">
        <f t="shared" si="81"/>
        <v>0</v>
      </c>
      <c r="AB433" s="61">
        <v>149</v>
      </c>
      <c r="AC433" s="61">
        <v>0</v>
      </c>
      <c r="AD433" s="63">
        <f t="shared" si="82"/>
        <v>0</v>
      </c>
      <c r="AE433" s="61">
        <v>21</v>
      </c>
      <c r="AF433" s="61">
        <v>0</v>
      </c>
      <c r="AG433" s="63">
        <f t="shared" si="83"/>
        <v>0</v>
      </c>
      <c r="AH433" s="61">
        <v>658.01237636741985</v>
      </c>
      <c r="AI433" s="61">
        <v>0</v>
      </c>
      <c r="AJ433" s="63">
        <f t="shared" si="84"/>
        <v>0</v>
      </c>
      <c r="AK433" s="61">
        <v>22.287745403129687</v>
      </c>
      <c r="AL433" s="61">
        <v>0</v>
      </c>
      <c r="AM433" s="63">
        <f t="shared" si="85"/>
        <v>0</v>
      </c>
      <c r="AN433" s="61">
        <v>18.752617200032887</v>
      </c>
      <c r="AO433" s="61">
        <v>0</v>
      </c>
      <c r="AP433" s="63">
        <f t="shared" si="86"/>
        <v>0</v>
      </c>
      <c r="AQ433" s="61">
        <v>58.246881567677072</v>
      </c>
      <c r="AR433" s="61">
        <v>0</v>
      </c>
      <c r="AS433" s="63">
        <f t="shared" si="87"/>
        <v>0</v>
      </c>
      <c r="AT433" s="61">
        <v>56</v>
      </c>
      <c r="AU433" s="61">
        <v>0</v>
      </c>
      <c r="AV433" s="63">
        <f t="shared" si="88"/>
        <v>0</v>
      </c>
      <c r="AW433" s="61">
        <v>23.107302739149279</v>
      </c>
      <c r="AX433" s="61">
        <v>0</v>
      </c>
      <c r="AY433" s="63">
        <f t="shared" si="89"/>
        <v>0</v>
      </c>
      <c r="AZ433" s="61">
        <v>60</v>
      </c>
      <c r="BA433" s="61">
        <v>0</v>
      </c>
      <c r="BB433" s="63">
        <f t="shared" si="90"/>
        <v>0</v>
      </c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</row>
    <row r="434" spans="1:87" x14ac:dyDescent="0.25">
      <c r="A434" s="180">
        <v>29968</v>
      </c>
      <c r="B434" s="181">
        <v>22177</v>
      </c>
      <c r="C434" s="148">
        <v>1020043509</v>
      </c>
      <c r="D434" s="182" t="s">
        <v>617</v>
      </c>
      <c r="E434" s="180" t="s">
        <v>544</v>
      </c>
      <c r="F434" s="180" t="s">
        <v>544</v>
      </c>
      <c r="G434" s="180" t="s">
        <v>236</v>
      </c>
      <c r="H434" s="180" t="s">
        <v>236</v>
      </c>
      <c r="I434" s="180" t="s">
        <v>1218</v>
      </c>
      <c r="J434" s="180" t="s">
        <v>221</v>
      </c>
      <c r="K434" s="182" t="s">
        <v>528</v>
      </c>
      <c r="L434" s="180">
        <v>13016</v>
      </c>
      <c r="M434" s="182"/>
      <c r="N434" s="180"/>
      <c r="O434" s="184"/>
      <c r="P434" s="194">
        <v>484114</v>
      </c>
      <c r="Q434" s="61">
        <v>0</v>
      </c>
      <c r="R434" s="63">
        <f t="shared" si="78"/>
        <v>0</v>
      </c>
      <c r="S434" s="61">
        <v>67258</v>
      </c>
      <c r="T434" s="61">
        <v>0</v>
      </c>
      <c r="U434" s="63">
        <f t="shared" si="79"/>
        <v>0</v>
      </c>
      <c r="V434" s="61">
        <v>134955.36407874318</v>
      </c>
      <c r="W434" s="61">
        <v>0</v>
      </c>
      <c r="X434" s="63">
        <f t="shared" si="80"/>
        <v>0</v>
      </c>
      <c r="Y434" s="61">
        <v>3800</v>
      </c>
      <c r="Z434" s="102">
        <v>0</v>
      </c>
      <c r="AA434" s="63">
        <f t="shared" si="81"/>
        <v>0</v>
      </c>
      <c r="AB434" s="61">
        <v>84</v>
      </c>
      <c r="AC434" s="61">
        <v>0</v>
      </c>
      <c r="AD434" s="63">
        <f t="shared" si="82"/>
        <v>0</v>
      </c>
      <c r="AE434" s="61">
        <v>12</v>
      </c>
      <c r="AF434" s="61">
        <v>0</v>
      </c>
      <c r="AG434" s="63">
        <f t="shared" si="83"/>
        <v>0</v>
      </c>
      <c r="AH434" s="61">
        <v>401.32208127109789</v>
      </c>
      <c r="AI434" s="61">
        <v>0</v>
      </c>
      <c r="AJ434" s="63">
        <f t="shared" si="84"/>
        <v>0</v>
      </c>
      <c r="AK434" s="61">
        <v>11.939863608819476</v>
      </c>
      <c r="AL434" s="61">
        <v>0</v>
      </c>
      <c r="AM434" s="63">
        <f t="shared" si="85"/>
        <v>0</v>
      </c>
      <c r="AN434" s="61">
        <v>8.6550540923228709</v>
      </c>
      <c r="AO434" s="61">
        <v>0</v>
      </c>
      <c r="AP434" s="63">
        <f t="shared" si="86"/>
        <v>0</v>
      </c>
      <c r="AQ434" s="61">
        <v>36.740340681150151</v>
      </c>
      <c r="AR434" s="61">
        <v>0</v>
      </c>
      <c r="AS434" s="63">
        <f t="shared" si="87"/>
        <v>0</v>
      </c>
      <c r="AT434" s="61">
        <v>18</v>
      </c>
      <c r="AU434" s="61">
        <v>0</v>
      </c>
      <c r="AV434" s="63">
        <f t="shared" si="88"/>
        <v>0</v>
      </c>
      <c r="AW434" s="61">
        <v>14.168445664329674</v>
      </c>
      <c r="AX434" s="61">
        <v>0</v>
      </c>
      <c r="AY434" s="63">
        <f t="shared" si="89"/>
        <v>0</v>
      </c>
      <c r="AZ434" s="61">
        <v>32</v>
      </c>
      <c r="BA434" s="61">
        <v>0</v>
      </c>
      <c r="BB434" s="63">
        <f t="shared" si="90"/>
        <v>0</v>
      </c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</row>
    <row r="435" spans="1:87" x14ac:dyDescent="0.25">
      <c r="A435" s="180">
        <v>20816</v>
      </c>
      <c r="B435" s="181">
        <v>29968</v>
      </c>
      <c r="C435" s="148">
        <v>1082871888</v>
      </c>
      <c r="D435" s="182" t="s">
        <v>592</v>
      </c>
      <c r="E435" s="180" t="s">
        <v>546</v>
      </c>
      <c r="F435" s="180" t="s">
        <v>546</v>
      </c>
      <c r="G435" s="180" t="s">
        <v>276</v>
      </c>
      <c r="H435" s="180" t="s">
        <v>276</v>
      </c>
      <c r="I435" s="180" t="s">
        <v>1218</v>
      </c>
      <c r="J435" s="180" t="s">
        <v>221</v>
      </c>
      <c r="K435" s="182" t="s">
        <v>528</v>
      </c>
      <c r="L435" s="180">
        <v>13016</v>
      </c>
      <c r="M435" s="182" t="s">
        <v>1215</v>
      </c>
      <c r="N435" s="180"/>
      <c r="O435" s="184"/>
      <c r="P435" s="183">
        <v>138123</v>
      </c>
      <c r="Q435" s="61">
        <v>156785.31</v>
      </c>
      <c r="R435" s="63">
        <f t="shared" si="78"/>
        <v>1.1351137030038443</v>
      </c>
      <c r="S435" s="61">
        <v>29372</v>
      </c>
      <c r="T435" s="61">
        <v>3071.73</v>
      </c>
      <c r="U435" s="63">
        <f t="shared" si="79"/>
        <v>0.10458021244722865</v>
      </c>
      <c r="V435" s="61">
        <v>37103.415586364601</v>
      </c>
      <c r="W435" s="61">
        <v>34644.69999999999</v>
      </c>
      <c r="X435" s="63">
        <f t="shared" si="80"/>
        <v>0.933733443471221</v>
      </c>
      <c r="Y435" s="61">
        <v>465</v>
      </c>
      <c r="Z435" s="102">
        <v>0</v>
      </c>
      <c r="AA435" s="63">
        <f t="shared" si="81"/>
        <v>0</v>
      </c>
      <c r="AB435" s="61">
        <v>22</v>
      </c>
      <c r="AC435" s="61">
        <v>4</v>
      </c>
      <c r="AD435" s="63">
        <f t="shared" si="82"/>
        <v>0.18181818181818182</v>
      </c>
      <c r="AE435" s="61">
        <v>3</v>
      </c>
      <c r="AF435" s="61">
        <v>2</v>
      </c>
      <c r="AG435" s="63">
        <f t="shared" si="83"/>
        <v>0.66666666666666663</v>
      </c>
      <c r="AH435" s="61">
        <v>38.330520317774472</v>
      </c>
      <c r="AI435" s="61">
        <v>5</v>
      </c>
      <c r="AJ435" s="63">
        <f t="shared" si="84"/>
        <v>0.130444355008701</v>
      </c>
      <c r="AK435" s="61">
        <v>0</v>
      </c>
      <c r="AL435" s="61">
        <v>1</v>
      </c>
      <c r="AM435" s="63" t="e">
        <f t="shared" si="85"/>
        <v>#DIV/0!</v>
      </c>
      <c r="AN435" s="61">
        <v>0.72125450769357258</v>
      </c>
      <c r="AO435" s="61">
        <v>0</v>
      </c>
      <c r="AP435" s="63">
        <f t="shared" si="86"/>
        <v>0</v>
      </c>
      <c r="AQ435" s="61">
        <v>12.545482183807369</v>
      </c>
      <c r="AR435" s="61">
        <v>7</v>
      </c>
      <c r="AS435" s="63">
        <f t="shared" si="87"/>
        <v>0.55796978525345153</v>
      </c>
      <c r="AT435" s="61">
        <v>3</v>
      </c>
      <c r="AU435" s="61">
        <v>2</v>
      </c>
      <c r="AV435" s="63">
        <f t="shared" si="88"/>
        <v>0.66666666666666663</v>
      </c>
      <c r="AW435" s="61">
        <v>4.0424119535774787</v>
      </c>
      <c r="AX435" s="61">
        <v>0</v>
      </c>
      <c r="AY435" s="63">
        <f t="shared" si="89"/>
        <v>0</v>
      </c>
      <c r="AZ435" s="61">
        <v>8</v>
      </c>
      <c r="BA435" s="61">
        <v>17</v>
      </c>
      <c r="BB435" s="63">
        <f t="shared" si="90"/>
        <v>2.125</v>
      </c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</row>
    <row r="436" spans="1:87" x14ac:dyDescent="0.25">
      <c r="A436" s="259">
        <v>21518</v>
      </c>
      <c r="B436" s="260">
        <v>29968</v>
      </c>
      <c r="C436" s="227">
        <v>1053396931</v>
      </c>
      <c r="D436" s="261" t="s">
        <v>622</v>
      </c>
      <c r="E436" s="259" t="s">
        <v>546</v>
      </c>
      <c r="F436" s="259" t="s">
        <v>546</v>
      </c>
      <c r="G436" s="259" t="s">
        <v>312</v>
      </c>
      <c r="H436" s="259" t="s">
        <v>312</v>
      </c>
      <c r="I436" s="213" t="s">
        <v>1218</v>
      </c>
      <c r="J436" s="259" t="s">
        <v>221</v>
      </c>
      <c r="K436" s="261" t="s">
        <v>528</v>
      </c>
      <c r="L436" s="259">
        <v>13016</v>
      </c>
      <c r="M436" s="257"/>
      <c r="N436" s="215"/>
      <c r="O436" s="215"/>
      <c r="P436" s="262">
        <v>107485</v>
      </c>
      <c r="Q436" s="61">
        <v>81140.02</v>
      </c>
      <c r="R436" s="63">
        <f t="shared" si="78"/>
        <v>0.75489621807694096</v>
      </c>
      <c r="S436" s="61">
        <v>13216</v>
      </c>
      <c r="T436" s="61">
        <v>10346.09</v>
      </c>
      <c r="U436" s="63">
        <f t="shared" si="79"/>
        <v>0.78284579297820822</v>
      </c>
      <c r="V436" s="61">
        <v>26918.678586000267</v>
      </c>
      <c r="W436" s="61">
        <v>13014.349999999999</v>
      </c>
      <c r="X436" s="63">
        <f t="shared" si="80"/>
        <v>0.48346912566385919</v>
      </c>
      <c r="Y436" s="61">
        <v>2033</v>
      </c>
      <c r="Z436" s="102">
        <v>350</v>
      </c>
      <c r="AA436" s="63">
        <f t="shared" si="81"/>
        <v>0.17215937038858831</v>
      </c>
      <c r="AB436" s="61">
        <v>19</v>
      </c>
      <c r="AC436" s="61">
        <v>27</v>
      </c>
      <c r="AD436" s="63">
        <f t="shared" si="82"/>
        <v>1.4210526315789473</v>
      </c>
      <c r="AE436" s="61">
        <v>2</v>
      </c>
      <c r="AF436" s="61">
        <v>5</v>
      </c>
      <c r="AG436" s="63">
        <f t="shared" si="83"/>
        <v>2.5</v>
      </c>
      <c r="AH436" s="61">
        <v>122.33052031777447</v>
      </c>
      <c r="AI436" s="61">
        <v>86</v>
      </c>
      <c r="AJ436" s="63">
        <f t="shared" si="84"/>
        <v>0.70301344077177363</v>
      </c>
      <c r="AK436" s="61">
        <v>3.9799545362731585</v>
      </c>
      <c r="AL436" s="61">
        <v>2</v>
      </c>
      <c r="AM436" s="63">
        <f t="shared" si="85"/>
        <v>0.50251830310423751</v>
      </c>
      <c r="AN436" s="61">
        <v>5.048781553855008</v>
      </c>
      <c r="AO436" s="61">
        <v>2</v>
      </c>
      <c r="AP436" s="63">
        <f t="shared" si="86"/>
        <v>0.3961351820565292</v>
      </c>
      <c r="AQ436" s="61">
        <v>8.0649528324475952</v>
      </c>
      <c r="AR436" s="61">
        <v>5</v>
      </c>
      <c r="AS436" s="63">
        <f t="shared" si="87"/>
        <v>0.61996642805939051</v>
      </c>
      <c r="AT436" s="61">
        <v>6</v>
      </c>
      <c r="AU436" s="61">
        <v>6</v>
      </c>
      <c r="AV436" s="63">
        <f t="shared" si="88"/>
        <v>1</v>
      </c>
      <c r="AW436" s="61">
        <v>3.1457371243766445</v>
      </c>
      <c r="AX436" s="61">
        <v>0</v>
      </c>
      <c r="AY436" s="63">
        <f t="shared" si="89"/>
        <v>0</v>
      </c>
      <c r="AZ436" s="61">
        <v>8</v>
      </c>
      <c r="BA436" s="61">
        <v>4</v>
      </c>
      <c r="BB436" s="63">
        <f t="shared" si="90"/>
        <v>0.5</v>
      </c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</row>
    <row r="437" spans="1:87" x14ac:dyDescent="0.25">
      <c r="A437" s="251">
        <v>10806</v>
      </c>
      <c r="B437" s="252">
        <v>29968</v>
      </c>
      <c r="C437" s="253">
        <v>1049619107</v>
      </c>
      <c r="D437" s="254" t="s">
        <v>625</v>
      </c>
      <c r="E437" s="247" t="s">
        <v>546</v>
      </c>
      <c r="F437" s="247" t="s">
        <v>546</v>
      </c>
      <c r="G437" s="251" t="s">
        <v>309</v>
      </c>
      <c r="H437" s="251" t="s">
        <v>309</v>
      </c>
      <c r="I437" s="251" t="s">
        <v>1218</v>
      </c>
      <c r="J437" s="251" t="s">
        <v>221</v>
      </c>
      <c r="K437" s="254" t="s">
        <v>528</v>
      </c>
      <c r="L437" s="251">
        <v>13016</v>
      </c>
      <c r="M437" s="255"/>
      <c r="N437" s="247"/>
      <c r="O437" s="247"/>
      <c r="P437" s="263">
        <v>112435</v>
      </c>
      <c r="Q437" s="61">
        <v>125368.94999999998</v>
      </c>
      <c r="R437" s="63">
        <f t="shared" si="78"/>
        <v>1.1150349090585669</v>
      </c>
      <c r="S437" s="61">
        <v>12329</v>
      </c>
      <c r="T437" s="61">
        <v>3803.18</v>
      </c>
      <c r="U437" s="63">
        <f t="shared" si="79"/>
        <v>0.30847432881823345</v>
      </c>
      <c r="V437" s="61">
        <v>34000.146375251286</v>
      </c>
      <c r="W437" s="61">
        <v>19601.349999999999</v>
      </c>
      <c r="X437" s="63">
        <f t="shared" si="80"/>
        <v>0.57650781216247426</v>
      </c>
      <c r="Y437" s="61">
        <v>465</v>
      </c>
      <c r="Z437" s="102">
        <v>0</v>
      </c>
      <c r="AA437" s="63">
        <f t="shared" si="81"/>
        <v>0</v>
      </c>
      <c r="AB437" s="61">
        <v>18</v>
      </c>
      <c r="AC437" s="61">
        <v>9</v>
      </c>
      <c r="AD437" s="63">
        <f t="shared" si="82"/>
        <v>0.5</v>
      </c>
      <c r="AE437" s="61">
        <v>4</v>
      </c>
      <c r="AF437" s="61">
        <v>1</v>
      </c>
      <c r="AG437" s="63">
        <f t="shared" si="83"/>
        <v>0.25</v>
      </c>
      <c r="AH437" s="61">
        <v>134.33052031777447</v>
      </c>
      <c r="AI437" s="61">
        <v>43</v>
      </c>
      <c r="AJ437" s="63">
        <f t="shared" si="84"/>
        <v>0.32010595878195436</v>
      </c>
      <c r="AK437" s="61">
        <v>3.1839636290185269</v>
      </c>
      <c r="AL437" s="61">
        <v>1</v>
      </c>
      <c r="AM437" s="63">
        <f t="shared" si="85"/>
        <v>0.31407393944014844</v>
      </c>
      <c r="AN437" s="61">
        <v>1.4425090153871452</v>
      </c>
      <c r="AO437" s="61">
        <v>0</v>
      </c>
      <c r="AP437" s="63">
        <f t="shared" si="86"/>
        <v>0</v>
      </c>
      <c r="AQ437" s="61">
        <v>7.1688469621756399</v>
      </c>
      <c r="AR437" s="61">
        <v>5</v>
      </c>
      <c r="AS437" s="63">
        <f t="shared" si="87"/>
        <v>0.69746223156681442</v>
      </c>
      <c r="AT437" s="61">
        <v>3</v>
      </c>
      <c r="AU437" s="61">
        <v>4</v>
      </c>
      <c r="AV437" s="63">
        <f t="shared" si="88"/>
        <v>1.3333333333333333</v>
      </c>
      <c r="AW437" s="61">
        <v>3.2906075599319724</v>
      </c>
      <c r="AX437" s="61">
        <v>0</v>
      </c>
      <c r="AY437" s="63">
        <f t="shared" si="89"/>
        <v>0</v>
      </c>
      <c r="AZ437" s="61">
        <v>8</v>
      </c>
      <c r="BA437" s="61">
        <v>4</v>
      </c>
      <c r="BB437" s="63">
        <f t="shared" si="90"/>
        <v>0.5</v>
      </c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</row>
    <row r="438" spans="1:87" x14ac:dyDescent="0.25">
      <c r="A438" s="180">
        <v>22179</v>
      </c>
      <c r="B438" s="181">
        <v>29968</v>
      </c>
      <c r="C438" s="148">
        <v>1002668026</v>
      </c>
      <c r="D438" s="182" t="s">
        <v>620</v>
      </c>
      <c r="E438" s="180" t="s">
        <v>546</v>
      </c>
      <c r="F438" s="180" t="s">
        <v>546</v>
      </c>
      <c r="G438" s="180" t="s">
        <v>235</v>
      </c>
      <c r="H438" s="180" t="s">
        <v>235</v>
      </c>
      <c r="I438" s="180" t="s">
        <v>1218</v>
      </c>
      <c r="J438" s="180" t="s">
        <v>221</v>
      </c>
      <c r="K438" s="182" t="s">
        <v>528</v>
      </c>
      <c r="L438" s="180">
        <v>13016</v>
      </c>
      <c r="M438" s="182"/>
      <c r="N438" s="180"/>
      <c r="O438" s="184"/>
      <c r="P438" s="183">
        <v>126071</v>
      </c>
      <c r="Q438" s="61">
        <v>57678.270000000004</v>
      </c>
      <c r="R438" s="63">
        <f t="shared" si="78"/>
        <v>0.45750624648015803</v>
      </c>
      <c r="S438" s="61">
        <v>12341</v>
      </c>
      <c r="T438" s="61">
        <v>0</v>
      </c>
      <c r="U438" s="63">
        <f t="shared" si="79"/>
        <v>0</v>
      </c>
      <c r="V438" s="61">
        <v>36933.123531127014</v>
      </c>
      <c r="W438" s="61">
        <v>2905.2200000000003</v>
      </c>
      <c r="X438" s="63">
        <f t="shared" si="80"/>
        <v>7.8661638178300797E-2</v>
      </c>
      <c r="Y438" s="61">
        <v>837</v>
      </c>
      <c r="Z438" s="102">
        <v>0</v>
      </c>
      <c r="AA438" s="63">
        <f t="shared" si="81"/>
        <v>0</v>
      </c>
      <c r="AB438" s="61">
        <v>25</v>
      </c>
      <c r="AC438" s="61">
        <v>15</v>
      </c>
      <c r="AD438" s="63">
        <f t="shared" si="82"/>
        <v>0.6</v>
      </c>
      <c r="AE438" s="61">
        <v>3</v>
      </c>
      <c r="AF438" s="61">
        <v>1</v>
      </c>
      <c r="AG438" s="63">
        <f t="shared" si="83"/>
        <v>0.33333333333333331</v>
      </c>
      <c r="AH438" s="61">
        <v>106.33052031777447</v>
      </c>
      <c r="AI438" s="61">
        <v>26</v>
      </c>
      <c r="AJ438" s="63">
        <f t="shared" si="84"/>
        <v>0.24452057529952456</v>
      </c>
      <c r="AK438" s="61">
        <v>4.7759454435277906</v>
      </c>
      <c r="AL438" s="61">
        <v>1</v>
      </c>
      <c r="AM438" s="63">
        <f t="shared" si="85"/>
        <v>0.20938262629343227</v>
      </c>
      <c r="AN438" s="61">
        <v>1.4425090153871452</v>
      </c>
      <c r="AO438" s="61">
        <v>0</v>
      </c>
      <c r="AP438" s="63">
        <f t="shared" si="86"/>
        <v>0</v>
      </c>
      <c r="AQ438" s="61">
        <v>8.9610587027195496</v>
      </c>
      <c r="AR438" s="61">
        <v>2</v>
      </c>
      <c r="AS438" s="63">
        <f t="shared" si="87"/>
        <v>0.22318791410138061</v>
      </c>
      <c r="AT438" s="61">
        <v>6</v>
      </c>
      <c r="AU438" s="61">
        <v>0</v>
      </c>
      <c r="AV438" s="63">
        <f t="shared" si="88"/>
        <v>0</v>
      </c>
      <c r="AW438" s="61">
        <v>3.689689026443578</v>
      </c>
      <c r="AX438" s="61">
        <v>0</v>
      </c>
      <c r="AY438" s="63">
        <f t="shared" si="89"/>
        <v>0</v>
      </c>
      <c r="AZ438" s="61">
        <v>8</v>
      </c>
      <c r="BA438" s="61">
        <v>1</v>
      </c>
      <c r="BB438" s="63">
        <f t="shared" si="90"/>
        <v>0.125</v>
      </c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</row>
    <row r="439" spans="1:87" x14ac:dyDescent="0.25">
      <c r="A439" s="180">
        <v>3499</v>
      </c>
      <c r="B439" s="181">
        <v>22177</v>
      </c>
      <c r="C439" s="148">
        <v>1049816349</v>
      </c>
      <c r="D439" s="182" t="s">
        <v>591</v>
      </c>
      <c r="E439" s="180" t="s">
        <v>544</v>
      </c>
      <c r="F439" s="180" t="s">
        <v>544</v>
      </c>
      <c r="G439" s="180" t="s">
        <v>273</v>
      </c>
      <c r="H439" s="180" t="s">
        <v>274</v>
      </c>
      <c r="I439" s="180" t="s">
        <v>1218</v>
      </c>
      <c r="J439" s="180" t="s">
        <v>221</v>
      </c>
      <c r="K439" s="182" t="s">
        <v>528</v>
      </c>
      <c r="L439" s="180">
        <v>13016</v>
      </c>
      <c r="M439" s="180"/>
      <c r="N439" s="180"/>
      <c r="O439" s="180"/>
      <c r="P439" s="183">
        <v>305427</v>
      </c>
      <c r="Q439" s="61">
        <v>0</v>
      </c>
      <c r="R439" s="63">
        <f t="shared" si="78"/>
        <v>0</v>
      </c>
      <c r="S439" s="61">
        <v>35097</v>
      </c>
      <c r="T439" s="61">
        <v>0</v>
      </c>
      <c r="U439" s="63">
        <f t="shared" si="79"/>
        <v>0</v>
      </c>
      <c r="V439" s="61">
        <v>95841.787532807444</v>
      </c>
      <c r="W439" s="61">
        <v>0</v>
      </c>
      <c r="X439" s="63">
        <f t="shared" si="80"/>
        <v>0</v>
      </c>
      <c r="Y439" s="61">
        <v>6476</v>
      </c>
      <c r="Z439" s="102">
        <v>0</v>
      </c>
      <c r="AA439" s="63">
        <f t="shared" si="81"/>
        <v>0</v>
      </c>
      <c r="AB439" s="61">
        <v>65</v>
      </c>
      <c r="AC439" s="61">
        <v>0</v>
      </c>
      <c r="AD439" s="63">
        <f t="shared" si="82"/>
        <v>0</v>
      </c>
      <c r="AE439" s="61">
        <v>9</v>
      </c>
      <c r="AF439" s="61">
        <v>0</v>
      </c>
      <c r="AG439" s="63">
        <f t="shared" si="83"/>
        <v>0</v>
      </c>
      <c r="AH439" s="61">
        <v>256.6902950963219</v>
      </c>
      <c r="AI439" s="61">
        <v>0</v>
      </c>
      <c r="AJ439" s="63">
        <f t="shared" si="84"/>
        <v>0</v>
      </c>
      <c r="AK439" s="61">
        <v>10.347881794310213</v>
      </c>
      <c r="AL439" s="61">
        <v>0</v>
      </c>
      <c r="AM439" s="63">
        <f t="shared" si="85"/>
        <v>0</v>
      </c>
      <c r="AN439" s="61">
        <v>10.097563107710016</v>
      </c>
      <c r="AO439" s="61">
        <v>1</v>
      </c>
      <c r="AP439" s="63">
        <f t="shared" si="86"/>
        <v>9.90337955141323E-2</v>
      </c>
      <c r="AQ439" s="61">
        <v>21.506540886526921</v>
      </c>
      <c r="AR439" s="61">
        <v>0</v>
      </c>
      <c r="AS439" s="63">
        <f t="shared" si="87"/>
        <v>0</v>
      </c>
      <c r="AT439" s="61">
        <v>38</v>
      </c>
      <c r="AU439" s="61">
        <v>0</v>
      </c>
      <c r="AV439" s="63">
        <f t="shared" si="88"/>
        <v>0</v>
      </c>
      <c r="AW439" s="61">
        <v>8.938857074819607</v>
      </c>
      <c r="AX439" s="61">
        <v>0</v>
      </c>
      <c r="AY439" s="63">
        <f t="shared" si="89"/>
        <v>0</v>
      </c>
      <c r="AZ439" s="61">
        <v>28</v>
      </c>
      <c r="BA439" s="61">
        <v>0</v>
      </c>
      <c r="BB439" s="63">
        <f t="shared" si="90"/>
        <v>0</v>
      </c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</row>
    <row r="440" spans="1:87" x14ac:dyDescent="0.25">
      <c r="A440" s="180">
        <v>4848</v>
      </c>
      <c r="B440" s="181">
        <v>3499</v>
      </c>
      <c r="C440" s="148">
        <v>1064784570</v>
      </c>
      <c r="D440" s="182" t="s">
        <v>624</v>
      </c>
      <c r="E440" s="180" t="s">
        <v>546</v>
      </c>
      <c r="F440" s="180" t="s">
        <v>546</v>
      </c>
      <c r="G440" s="180" t="s">
        <v>399</v>
      </c>
      <c r="H440" s="180" t="s">
        <v>399</v>
      </c>
      <c r="I440" s="180" t="s">
        <v>1218</v>
      </c>
      <c r="J440" s="180" t="s">
        <v>221</v>
      </c>
      <c r="K440" s="182" t="s">
        <v>528</v>
      </c>
      <c r="L440" s="180">
        <v>13016</v>
      </c>
      <c r="M440" s="180"/>
      <c r="N440" s="180"/>
      <c r="O440" s="180"/>
      <c r="P440" s="183">
        <v>76166</v>
      </c>
      <c r="Q440" s="61">
        <v>62323.490000000005</v>
      </c>
      <c r="R440" s="63">
        <f t="shared" si="78"/>
        <v>0.81825867184833134</v>
      </c>
      <c r="S440" s="61">
        <v>9952</v>
      </c>
      <c r="T440" s="61">
        <v>0</v>
      </c>
      <c r="U440" s="63">
        <f t="shared" si="79"/>
        <v>0</v>
      </c>
      <c r="V440" s="61">
        <v>21124.609254610052</v>
      </c>
      <c r="W440" s="61">
        <v>3909.54</v>
      </c>
      <c r="X440" s="63">
        <f t="shared" si="80"/>
        <v>0.18507040546308878</v>
      </c>
      <c r="Y440" s="61">
        <v>389</v>
      </c>
      <c r="Z440" s="102">
        <v>0</v>
      </c>
      <c r="AA440" s="63">
        <f t="shared" si="81"/>
        <v>0</v>
      </c>
      <c r="AB440" s="61">
        <v>14</v>
      </c>
      <c r="AC440" s="61">
        <v>11</v>
      </c>
      <c r="AD440" s="63">
        <f t="shared" si="82"/>
        <v>0.7857142857142857</v>
      </c>
      <c r="AE440" s="61">
        <v>2</v>
      </c>
      <c r="AF440" s="61">
        <v>6</v>
      </c>
      <c r="AG440" s="63">
        <f t="shared" si="83"/>
        <v>3</v>
      </c>
      <c r="AH440" s="61">
        <v>66.330520317774472</v>
      </c>
      <c r="AI440" s="61">
        <v>31</v>
      </c>
      <c r="AJ440" s="63">
        <f t="shared" si="84"/>
        <v>0.4673565027303575</v>
      </c>
      <c r="AK440" s="61">
        <v>2.3879727217638953</v>
      </c>
      <c r="AL440" s="61">
        <v>2</v>
      </c>
      <c r="AM440" s="63">
        <f t="shared" si="85"/>
        <v>0.83753050517372907</v>
      </c>
      <c r="AN440" s="61">
        <v>4.3275270461614355</v>
      </c>
      <c r="AO440" s="61">
        <v>0</v>
      </c>
      <c r="AP440" s="63">
        <f t="shared" si="86"/>
        <v>0</v>
      </c>
      <c r="AQ440" s="61">
        <v>5.3766352216317301</v>
      </c>
      <c r="AR440" s="61">
        <v>0</v>
      </c>
      <c r="AS440" s="63">
        <f t="shared" si="87"/>
        <v>0</v>
      </c>
      <c r="AT440" s="61">
        <v>16</v>
      </c>
      <c r="AU440" s="61">
        <v>13</v>
      </c>
      <c r="AV440" s="63">
        <f t="shared" si="88"/>
        <v>0.8125</v>
      </c>
      <c r="AW440" s="61">
        <v>2.2291316352539567</v>
      </c>
      <c r="AX440" s="61">
        <v>0</v>
      </c>
      <c r="AY440" s="63">
        <f t="shared" si="89"/>
        <v>0</v>
      </c>
      <c r="AZ440" s="61">
        <v>8</v>
      </c>
      <c r="BA440" s="61">
        <v>2</v>
      </c>
      <c r="BB440" s="63">
        <f t="shared" si="90"/>
        <v>0.25</v>
      </c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</row>
    <row r="441" spans="1:87" x14ac:dyDescent="0.25">
      <c r="A441" s="180">
        <v>7695</v>
      </c>
      <c r="B441" s="181">
        <v>3499</v>
      </c>
      <c r="C441" s="148">
        <v>1074663806</v>
      </c>
      <c r="D441" s="182" t="s">
        <v>615</v>
      </c>
      <c r="E441" s="180" t="s">
        <v>546</v>
      </c>
      <c r="F441" s="180" t="s">
        <v>546</v>
      </c>
      <c r="G441" s="180" t="s">
        <v>420</v>
      </c>
      <c r="H441" s="180" t="s">
        <v>421</v>
      </c>
      <c r="I441" s="180" t="s">
        <v>1218</v>
      </c>
      <c r="J441" s="180" t="s">
        <v>221</v>
      </c>
      <c r="K441" s="182" t="s">
        <v>528</v>
      </c>
      <c r="L441" s="180">
        <v>13016</v>
      </c>
      <c r="M441" s="182" t="s">
        <v>1215</v>
      </c>
      <c r="N441" s="180"/>
      <c r="O441" s="184"/>
      <c r="P441" s="194">
        <v>92168</v>
      </c>
      <c r="Q441" s="61">
        <v>120737.43999999999</v>
      </c>
      <c r="R441" s="63">
        <f t="shared" si="78"/>
        <v>1.3099713566530682</v>
      </c>
      <c r="S441" s="61">
        <v>10291</v>
      </c>
      <c r="T441" s="61">
        <v>0</v>
      </c>
      <c r="U441" s="63">
        <f t="shared" si="79"/>
        <v>0</v>
      </c>
      <c r="V441" s="61">
        <v>35072.926155758265</v>
      </c>
      <c r="W441" s="61">
        <v>14365.629999999997</v>
      </c>
      <c r="X441" s="63">
        <f t="shared" si="80"/>
        <v>0.40959314133649644</v>
      </c>
      <c r="Y441" s="61">
        <v>927</v>
      </c>
      <c r="Z441" s="102">
        <v>0</v>
      </c>
      <c r="AA441" s="63">
        <f t="shared" si="81"/>
        <v>0</v>
      </c>
      <c r="AB441" s="61">
        <v>14</v>
      </c>
      <c r="AC441" s="61">
        <v>2</v>
      </c>
      <c r="AD441" s="63">
        <f t="shared" si="82"/>
        <v>0.14285714285714285</v>
      </c>
      <c r="AE441" s="61">
        <v>4</v>
      </c>
      <c r="AF441" s="61">
        <v>0</v>
      </c>
      <c r="AG441" s="63">
        <f t="shared" si="83"/>
        <v>0</v>
      </c>
      <c r="AH441" s="61">
        <v>78.330520317774472</v>
      </c>
      <c r="AI441" s="61">
        <v>14</v>
      </c>
      <c r="AJ441" s="63">
        <f t="shared" si="84"/>
        <v>0.17872982259283132</v>
      </c>
      <c r="AK441" s="61">
        <v>3.9799545362731585</v>
      </c>
      <c r="AL441" s="61">
        <v>1</v>
      </c>
      <c r="AM441" s="63">
        <f t="shared" si="85"/>
        <v>0.25125915155211875</v>
      </c>
      <c r="AN441" s="61">
        <v>0.72125450769357258</v>
      </c>
      <c r="AO441" s="61">
        <v>0</v>
      </c>
      <c r="AP441" s="63">
        <f t="shared" si="86"/>
        <v>0</v>
      </c>
      <c r="AQ441" s="61">
        <v>6.2727410919036846</v>
      </c>
      <c r="AR441" s="61">
        <v>1</v>
      </c>
      <c r="AS441" s="63">
        <f t="shared" si="87"/>
        <v>0.1594199386438433</v>
      </c>
      <c r="AT441" s="61">
        <v>2</v>
      </c>
      <c r="AU441" s="61">
        <v>2</v>
      </c>
      <c r="AV441" s="63">
        <f t="shared" si="88"/>
        <v>1</v>
      </c>
      <c r="AW441" s="61">
        <v>2.697458243285543</v>
      </c>
      <c r="AX441" s="61">
        <v>0</v>
      </c>
      <c r="AY441" s="63">
        <f t="shared" si="89"/>
        <v>0</v>
      </c>
      <c r="AZ441" s="61">
        <v>8</v>
      </c>
      <c r="BA441" s="61">
        <v>2</v>
      </c>
      <c r="BB441" s="63">
        <f t="shared" si="90"/>
        <v>0.25</v>
      </c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</row>
    <row r="442" spans="1:87" x14ac:dyDescent="0.25">
      <c r="A442" s="180">
        <v>11981</v>
      </c>
      <c r="B442" s="181">
        <v>3499</v>
      </c>
      <c r="C442" s="148">
        <v>1093770830</v>
      </c>
      <c r="D442" s="182" t="s">
        <v>618</v>
      </c>
      <c r="E442" s="180" t="s">
        <v>546</v>
      </c>
      <c r="F442" s="180" t="s">
        <v>546</v>
      </c>
      <c r="G442" s="180" t="s">
        <v>398</v>
      </c>
      <c r="H442" s="180" t="s">
        <v>398</v>
      </c>
      <c r="I442" s="180" t="s">
        <v>1218</v>
      </c>
      <c r="J442" s="180" t="s">
        <v>221</v>
      </c>
      <c r="K442" s="182" t="s">
        <v>528</v>
      </c>
      <c r="L442" s="180">
        <v>13016</v>
      </c>
      <c r="M442" s="182" t="s">
        <v>1143</v>
      </c>
      <c r="N442" s="180"/>
      <c r="O442" s="184">
        <v>0.5</v>
      </c>
      <c r="P442" s="194">
        <v>47347</v>
      </c>
      <c r="Q442" s="61">
        <v>35020.89</v>
      </c>
      <c r="R442" s="63">
        <f t="shared" si="78"/>
        <v>0.73966439267535433</v>
      </c>
      <c r="S442" s="61">
        <v>5602</v>
      </c>
      <c r="T442" s="61">
        <v>7324.32</v>
      </c>
      <c r="U442" s="63">
        <f t="shared" si="79"/>
        <v>1.3074473402356301</v>
      </c>
      <c r="V442" s="61">
        <v>10469.257335491606</v>
      </c>
      <c r="W442" s="61">
        <v>1309.56</v>
      </c>
      <c r="X442" s="63">
        <f t="shared" si="80"/>
        <v>0.12508623659106063</v>
      </c>
      <c r="Y442" s="61">
        <v>1344</v>
      </c>
      <c r="Z442" s="102">
        <v>0</v>
      </c>
      <c r="AA442" s="63">
        <f t="shared" si="81"/>
        <v>0</v>
      </c>
      <c r="AB442" s="61">
        <v>17</v>
      </c>
      <c r="AC442" s="61">
        <v>4</v>
      </c>
      <c r="AD442" s="63">
        <f t="shared" si="82"/>
        <v>0.23529411764705882</v>
      </c>
      <c r="AE442" s="61">
        <v>1</v>
      </c>
      <c r="AF442" s="61">
        <v>0</v>
      </c>
      <c r="AG442" s="63">
        <f t="shared" si="83"/>
        <v>0</v>
      </c>
      <c r="AH442" s="61">
        <v>18.698734142998511</v>
      </c>
      <c r="AI442" s="61">
        <v>26</v>
      </c>
      <c r="AJ442" s="63">
        <f t="shared" si="84"/>
        <v>1.3904684563759815</v>
      </c>
      <c r="AK442" s="61">
        <v>0</v>
      </c>
      <c r="AL442" s="61">
        <v>0</v>
      </c>
      <c r="AM442" s="63" t="e">
        <f t="shared" si="85"/>
        <v>#DIV/0!</v>
      </c>
      <c r="AN442" s="61">
        <v>0</v>
      </c>
      <c r="AO442" s="61">
        <v>0</v>
      </c>
      <c r="AP442" s="63" t="e">
        <f t="shared" si="86"/>
        <v>#DIV/0!</v>
      </c>
      <c r="AQ442" s="61">
        <v>3.5844234810878199</v>
      </c>
      <c r="AR442" s="61">
        <v>0</v>
      </c>
      <c r="AS442" s="63">
        <f t="shared" si="87"/>
        <v>0</v>
      </c>
      <c r="AT442" s="61">
        <v>17</v>
      </c>
      <c r="AU442" s="61">
        <v>4</v>
      </c>
      <c r="AV442" s="63">
        <f t="shared" si="88"/>
        <v>0.23529411764705882</v>
      </c>
      <c r="AW442" s="61">
        <v>1.3856930327753734</v>
      </c>
      <c r="AX442" s="61">
        <v>0</v>
      </c>
      <c r="AY442" s="63">
        <f t="shared" si="89"/>
        <v>0</v>
      </c>
      <c r="AZ442" s="61">
        <v>4</v>
      </c>
      <c r="BA442" s="61">
        <v>1</v>
      </c>
      <c r="BB442" s="63">
        <f t="shared" si="90"/>
        <v>0.25</v>
      </c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</row>
    <row r="443" spans="1:87" x14ac:dyDescent="0.25">
      <c r="A443" s="180">
        <v>27808</v>
      </c>
      <c r="B443" s="181">
        <v>3499</v>
      </c>
      <c r="C443" s="148">
        <v>1033108224</v>
      </c>
      <c r="D443" s="182" t="s">
        <v>619</v>
      </c>
      <c r="E443" s="180" t="s">
        <v>546</v>
      </c>
      <c r="F443" s="180" t="s">
        <v>546</v>
      </c>
      <c r="G443" s="180" t="s">
        <v>275</v>
      </c>
      <c r="H443" s="180" t="s">
        <v>275</v>
      </c>
      <c r="I443" s="180" t="s">
        <v>1218</v>
      </c>
      <c r="J443" s="180" t="s">
        <v>221</v>
      </c>
      <c r="K443" s="182" t="s">
        <v>528</v>
      </c>
      <c r="L443" s="180">
        <v>13016</v>
      </c>
      <c r="M443" s="180"/>
      <c r="N443" s="180"/>
      <c r="O443" s="180"/>
      <c r="P443" s="183">
        <v>89746</v>
      </c>
      <c r="Q443" s="61">
        <v>115742.63</v>
      </c>
      <c r="R443" s="63">
        <f t="shared" si="78"/>
        <v>1.2896689546052191</v>
      </c>
      <c r="S443" s="61">
        <v>9252</v>
      </c>
      <c r="T443" s="61">
        <v>3042.61</v>
      </c>
      <c r="U443" s="63">
        <f t="shared" si="79"/>
        <v>0.32885970600951148</v>
      </c>
      <c r="V443" s="61">
        <v>29174.994786947536</v>
      </c>
      <c r="W443" s="61">
        <v>17884.77</v>
      </c>
      <c r="X443" s="63">
        <f t="shared" si="80"/>
        <v>0.61301707611620149</v>
      </c>
      <c r="Y443" s="61">
        <v>3816</v>
      </c>
      <c r="Z443" s="102">
        <v>0</v>
      </c>
      <c r="AA443" s="63">
        <f t="shared" si="81"/>
        <v>0</v>
      </c>
      <c r="AB443" s="61">
        <v>20</v>
      </c>
      <c r="AC443" s="61">
        <v>9</v>
      </c>
      <c r="AD443" s="63">
        <f t="shared" si="82"/>
        <v>0.45</v>
      </c>
      <c r="AE443" s="61">
        <v>2</v>
      </c>
      <c r="AF443" s="61">
        <v>0</v>
      </c>
      <c r="AG443" s="63">
        <f t="shared" si="83"/>
        <v>0</v>
      </c>
      <c r="AH443" s="61">
        <v>93.330520317774472</v>
      </c>
      <c r="AI443" s="61">
        <v>38</v>
      </c>
      <c r="AJ443" s="63">
        <f t="shared" si="84"/>
        <v>0.40715512857548092</v>
      </c>
      <c r="AK443" s="61">
        <v>3.9799545362731585</v>
      </c>
      <c r="AL443" s="61">
        <v>0</v>
      </c>
      <c r="AM443" s="63">
        <f t="shared" si="85"/>
        <v>0</v>
      </c>
      <c r="AN443" s="61">
        <v>5.048781553855008</v>
      </c>
      <c r="AO443" s="61">
        <v>0</v>
      </c>
      <c r="AP443" s="63">
        <f t="shared" si="86"/>
        <v>0</v>
      </c>
      <c r="AQ443" s="61">
        <v>6.2727410919036846</v>
      </c>
      <c r="AR443" s="61">
        <v>5</v>
      </c>
      <c r="AS443" s="63">
        <f t="shared" si="87"/>
        <v>0.79709969321921648</v>
      </c>
      <c r="AT443" s="61">
        <v>3</v>
      </c>
      <c r="AU443" s="61">
        <v>4</v>
      </c>
      <c r="AV443" s="63">
        <f t="shared" si="88"/>
        <v>1.3333333333333333</v>
      </c>
      <c r="AW443" s="61">
        <v>2.6265741635047339</v>
      </c>
      <c r="AX443" s="61">
        <v>0</v>
      </c>
      <c r="AY443" s="63">
        <f t="shared" si="89"/>
        <v>0</v>
      </c>
      <c r="AZ443" s="61">
        <v>8</v>
      </c>
      <c r="BA443" s="61">
        <v>8</v>
      </c>
      <c r="BB443" s="63">
        <f t="shared" si="90"/>
        <v>1</v>
      </c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</row>
    <row r="444" spans="1:87" x14ac:dyDescent="0.25">
      <c r="A444" s="180">
        <v>21551</v>
      </c>
      <c r="B444" s="181">
        <v>19282</v>
      </c>
      <c r="C444" s="148">
        <v>1006984684</v>
      </c>
      <c r="D444" s="182" t="s">
        <v>669</v>
      </c>
      <c r="E444" s="180" t="s">
        <v>541</v>
      </c>
      <c r="F444" s="180" t="s">
        <v>541</v>
      </c>
      <c r="G444" s="180" t="s">
        <v>165</v>
      </c>
      <c r="H444" s="180" t="s">
        <v>165</v>
      </c>
      <c r="I444" s="180" t="s">
        <v>1218</v>
      </c>
      <c r="J444" s="180" t="s">
        <v>221</v>
      </c>
      <c r="K444" s="182" t="s">
        <v>307</v>
      </c>
      <c r="L444" s="180">
        <v>13012</v>
      </c>
      <c r="M444" s="182"/>
      <c r="N444" s="180"/>
      <c r="O444" s="184"/>
      <c r="P444" s="183">
        <v>380702</v>
      </c>
      <c r="Q444" s="61">
        <v>0</v>
      </c>
      <c r="R444" s="63">
        <f t="shared" si="78"/>
        <v>0</v>
      </c>
      <c r="S444" s="61">
        <v>50923</v>
      </c>
      <c r="T444" s="61">
        <v>0</v>
      </c>
      <c r="U444" s="63">
        <f t="shared" si="79"/>
        <v>0</v>
      </c>
      <c r="V444" s="61">
        <v>78572.059027478463</v>
      </c>
      <c r="W444" s="61">
        <v>0</v>
      </c>
      <c r="X444" s="63">
        <f t="shared" si="80"/>
        <v>0</v>
      </c>
      <c r="Y444" s="61">
        <v>5277</v>
      </c>
      <c r="Z444" s="102">
        <v>0</v>
      </c>
      <c r="AA444" s="63">
        <f t="shared" si="81"/>
        <v>0</v>
      </c>
      <c r="AB444" s="61">
        <v>55</v>
      </c>
      <c r="AC444" s="61">
        <v>1</v>
      </c>
      <c r="AD444" s="63">
        <f t="shared" si="82"/>
        <v>1.8181818181818181E-2</v>
      </c>
      <c r="AE444" s="61">
        <v>6</v>
      </c>
      <c r="AF444" s="61">
        <v>0</v>
      </c>
      <c r="AG444" s="63">
        <f t="shared" si="83"/>
        <v>0</v>
      </c>
      <c r="AH444" s="61">
        <v>250.45597720754296</v>
      </c>
      <c r="AI444" s="61">
        <v>16</v>
      </c>
      <c r="AJ444" s="63">
        <f t="shared" si="84"/>
        <v>6.3883482352435267E-2</v>
      </c>
      <c r="AK444" s="61">
        <v>9.5518908870555812</v>
      </c>
      <c r="AL444" s="61">
        <v>0</v>
      </c>
      <c r="AM444" s="63">
        <f t="shared" si="85"/>
        <v>0</v>
      </c>
      <c r="AN444" s="61">
        <v>10.097563107710016</v>
      </c>
      <c r="AO444" s="61">
        <v>0</v>
      </c>
      <c r="AP444" s="63">
        <f t="shared" si="86"/>
        <v>0</v>
      </c>
      <c r="AQ444" s="61">
        <v>32.259811329790381</v>
      </c>
      <c r="AR444" s="61">
        <v>0</v>
      </c>
      <c r="AS444" s="63">
        <f t="shared" si="87"/>
        <v>0</v>
      </c>
      <c r="AT444" s="61">
        <v>22</v>
      </c>
      <c r="AU444" s="61">
        <v>2</v>
      </c>
      <c r="AV444" s="63">
        <f t="shared" si="88"/>
        <v>9.0909090909090912E-2</v>
      </c>
      <c r="AW444" s="61">
        <v>11.141912031673604</v>
      </c>
      <c r="AX444" s="61">
        <v>0</v>
      </c>
      <c r="AY444" s="63">
        <f t="shared" si="89"/>
        <v>0</v>
      </c>
      <c r="AZ444" s="61">
        <v>34</v>
      </c>
      <c r="BA444" s="61">
        <v>0</v>
      </c>
      <c r="BB444" s="63">
        <f t="shared" si="90"/>
        <v>0</v>
      </c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</row>
    <row r="445" spans="1:87" x14ac:dyDescent="0.25">
      <c r="A445" s="180">
        <v>9459</v>
      </c>
      <c r="B445" s="181">
        <v>21551</v>
      </c>
      <c r="C445" s="148">
        <v>1075861979</v>
      </c>
      <c r="D445" s="182" t="s">
        <v>766</v>
      </c>
      <c r="E445" s="180" t="s">
        <v>546</v>
      </c>
      <c r="F445" s="180" t="s">
        <v>546</v>
      </c>
      <c r="G445" s="180" t="s">
        <v>62</v>
      </c>
      <c r="H445" s="180" t="s">
        <v>62</v>
      </c>
      <c r="I445" s="180" t="s">
        <v>1218</v>
      </c>
      <c r="J445" s="180" t="s">
        <v>221</v>
      </c>
      <c r="K445" s="182" t="s">
        <v>307</v>
      </c>
      <c r="L445" s="180">
        <v>13012</v>
      </c>
      <c r="M445" s="196"/>
      <c r="N445" s="180"/>
      <c r="O445" s="184"/>
      <c r="P445" s="183">
        <v>76140</v>
      </c>
      <c r="Q445" s="61">
        <v>99059.19</v>
      </c>
      <c r="R445" s="63">
        <f t="shared" si="78"/>
        <v>1.3010137903861307</v>
      </c>
      <c r="S445" s="61">
        <v>11727</v>
      </c>
      <c r="T445" s="61">
        <v>3216.52</v>
      </c>
      <c r="U445" s="63">
        <f t="shared" si="79"/>
        <v>0.27428327790568774</v>
      </c>
      <c r="V445" s="61">
        <v>12735.436698126479</v>
      </c>
      <c r="W445" s="61">
        <v>32597.27</v>
      </c>
      <c r="X445" s="63">
        <f t="shared" si="80"/>
        <v>2.5595722214060719</v>
      </c>
      <c r="Y445" s="61">
        <v>1224</v>
      </c>
      <c r="Z445" s="102">
        <v>0</v>
      </c>
      <c r="AA445" s="63">
        <f t="shared" si="81"/>
        <v>0</v>
      </c>
      <c r="AB445" s="61">
        <v>12</v>
      </c>
      <c r="AC445" s="61">
        <v>11</v>
      </c>
      <c r="AD445" s="63">
        <f t="shared" si="82"/>
        <v>0.91666666666666663</v>
      </c>
      <c r="AE445" s="61">
        <v>1</v>
      </c>
      <c r="AF445" s="61">
        <v>1</v>
      </c>
      <c r="AG445" s="63">
        <f t="shared" si="83"/>
        <v>1</v>
      </c>
      <c r="AH445" s="61">
        <v>61.163150397218082</v>
      </c>
      <c r="AI445" s="61">
        <v>99</v>
      </c>
      <c r="AJ445" s="63">
        <f t="shared" si="84"/>
        <v>1.6186216595622398</v>
      </c>
      <c r="AK445" s="61">
        <v>2.3879727217638953</v>
      </c>
      <c r="AL445" s="61">
        <v>1</v>
      </c>
      <c r="AM445" s="63">
        <f t="shared" si="85"/>
        <v>0.41876525258686453</v>
      </c>
      <c r="AN445" s="61">
        <v>1.4425090153871452</v>
      </c>
      <c r="AO445" s="61">
        <v>4</v>
      </c>
      <c r="AP445" s="63">
        <f t="shared" si="86"/>
        <v>2.7729462743957045</v>
      </c>
      <c r="AQ445" s="61">
        <v>9.8571645729915041</v>
      </c>
      <c r="AR445" s="61">
        <v>2</v>
      </c>
      <c r="AS445" s="63">
        <f t="shared" si="87"/>
        <v>0.20289810372852785</v>
      </c>
      <c r="AT445" s="61">
        <v>1</v>
      </c>
      <c r="AU445" s="61">
        <v>1</v>
      </c>
      <c r="AV445" s="63">
        <f t="shared" si="88"/>
        <v>1</v>
      </c>
      <c r="AW445" s="61">
        <v>2.2283706996328578</v>
      </c>
      <c r="AX445" s="61">
        <v>0</v>
      </c>
      <c r="AY445" s="63">
        <f t="shared" si="89"/>
        <v>0</v>
      </c>
      <c r="AZ445" s="61">
        <v>11</v>
      </c>
      <c r="BA445" s="61">
        <v>9</v>
      </c>
      <c r="BB445" s="63">
        <f t="shared" si="90"/>
        <v>0.81818181818181823</v>
      </c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</row>
    <row r="446" spans="1:87" x14ac:dyDescent="0.25">
      <c r="A446" s="180">
        <v>10623</v>
      </c>
      <c r="B446" s="181">
        <v>21551</v>
      </c>
      <c r="C446" s="148">
        <v>1078230370</v>
      </c>
      <c r="D446" s="182" t="s">
        <v>627</v>
      </c>
      <c r="E446" s="180" t="s">
        <v>546</v>
      </c>
      <c r="F446" s="180" t="s">
        <v>546</v>
      </c>
      <c r="G446" s="180" t="s">
        <v>411</v>
      </c>
      <c r="H446" s="180" t="s">
        <v>411</v>
      </c>
      <c r="I446" s="180" t="s">
        <v>1218</v>
      </c>
      <c r="J446" s="180" t="s">
        <v>221</v>
      </c>
      <c r="K446" s="182" t="s">
        <v>307</v>
      </c>
      <c r="L446" s="180">
        <v>13012</v>
      </c>
      <c r="M446" s="180" t="s">
        <v>1143</v>
      </c>
      <c r="N446" s="180"/>
      <c r="O446" s="180">
        <v>0.3</v>
      </c>
      <c r="P446" s="183">
        <v>87561</v>
      </c>
      <c r="Q446" s="61">
        <v>20084.36</v>
      </c>
      <c r="R446" s="63">
        <f t="shared" si="78"/>
        <v>0.2293756352714108</v>
      </c>
      <c r="S446" s="61">
        <v>16940</v>
      </c>
      <c r="T446" s="61">
        <v>0</v>
      </c>
      <c r="U446" s="63">
        <f t="shared" si="79"/>
        <v>0</v>
      </c>
      <c r="V446" s="61">
        <v>15081.653130478724</v>
      </c>
      <c r="W446" s="61">
        <v>3637.79</v>
      </c>
      <c r="X446" s="63">
        <f t="shared" si="80"/>
        <v>0.24120631661050068</v>
      </c>
      <c r="Y446" s="61">
        <v>1990</v>
      </c>
      <c r="Z446" s="102">
        <v>120</v>
      </c>
      <c r="AA446" s="63">
        <f t="shared" si="81"/>
        <v>6.030150753768844E-2</v>
      </c>
      <c r="AB446" s="61">
        <v>13</v>
      </c>
      <c r="AC446" s="61">
        <v>2</v>
      </c>
      <c r="AD446" s="63">
        <f t="shared" si="82"/>
        <v>0.15384615384615385</v>
      </c>
      <c r="AE446" s="61">
        <v>1</v>
      </c>
      <c r="AF446" s="61">
        <v>0</v>
      </c>
      <c r="AG446" s="63">
        <f t="shared" si="83"/>
        <v>0</v>
      </c>
      <c r="AH446" s="61">
        <v>42.564838206553404</v>
      </c>
      <c r="AI446" s="61">
        <v>24</v>
      </c>
      <c r="AJ446" s="63">
        <f t="shared" si="84"/>
        <v>0.56384567664831142</v>
      </c>
      <c r="AK446" s="61">
        <v>2.3879727217638953</v>
      </c>
      <c r="AL446" s="61">
        <v>0</v>
      </c>
      <c r="AM446" s="63">
        <f t="shared" si="85"/>
        <v>0</v>
      </c>
      <c r="AN446" s="61">
        <v>2.1637635230807177</v>
      </c>
      <c r="AO446" s="61">
        <v>2</v>
      </c>
      <c r="AP446" s="63">
        <f t="shared" si="86"/>
        <v>0.9243154247985681</v>
      </c>
      <c r="AQ446" s="61">
        <v>5.3766352216317301</v>
      </c>
      <c r="AR446" s="61">
        <v>0</v>
      </c>
      <c r="AS446" s="63">
        <f t="shared" si="87"/>
        <v>0</v>
      </c>
      <c r="AT446" s="61">
        <v>3</v>
      </c>
      <c r="AU446" s="61">
        <v>2</v>
      </c>
      <c r="AV446" s="63">
        <f t="shared" si="88"/>
        <v>0.66666666666666663</v>
      </c>
      <c r="AW446" s="61">
        <v>2.5626263045777864</v>
      </c>
      <c r="AX446" s="61">
        <v>0</v>
      </c>
      <c r="AY446" s="63">
        <f t="shared" si="89"/>
        <v>0</v>
      </c>
      <c r="AZ446" s="61">
        <v>6</v>
      </c>
      <c r="BA446" s="61">
        <v>0</v>
      </c>
      <c r="BB446" s="63">
        <f t="shared" si="90"/>
        <v>0</v>
      </c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</row>
    <row r="447" spans="1:87" x14ac:dyDescent="0.25">
      <c r="A447" s="180">
        <v>649</v>
      </c>
      <c r="B447" s="181">
        <v>21551</v>
      </c>
      <c r="C447" s="148">
        <v>1009361062</v>
      </c>
      <c r="D447" s="182" t="s">
        <v>628</v>
      </c>
      <c r="E447" s="180" t="s">
        <v>546</v>
      </c>
      <c r="F447" s="180" t="s">
        <v>546</v>
      </c>
      <c r="G447" s="180" t="s">
        <v>413</v>
      </c>
      <c r="H447" s="180" t="s">
        <v>414</v>
      </c>
      <c r="I447" s="180" t="s">
        <v>1218</v>
      </c>
      <c r="J447" s="180" t="s">
        <v>221</v>
      </c>
      <c r="K447" s="182" t="s">
        <v>307</v>
      </c>
      <c r="L447" s="180">
        <v>13012</v>
      </c>
      <c r="M447" s="180" t="s">
        <v>1143</v>
      </c>
      <c r="N447" s="180"/>
      <c r="O447" s="184">
        <v>0.3</v>
      </c>
      <c r="P447" s="194">
        <v>98983</v>
      </c>
      <c r="Q447" s="61">
        <v>107938.32</v>
      </c>
      <c r="R447" s="63">
        <f t="shared" si="78"/>
        <v>1.090473313599305</v>
      </c>
      <c r="S447" s="61">
        <v>8920</v>
      </c>
      <c r="T447" s="61">
        <v>8228.4000000000015</v>
      </c>
      <c r="U447" s="63">
        <f t="shared" si="79"/>
        <v>0.92246636771300461</v>
      </c>
      <c r="V447" s="61">
        <v>18892.999087228854</v>
      </c>
      <c r="W447" s="61">
        <v>30678.16</v>
      </c>
      <c r="X447" s="63">
        <f t="shared" si="80"/>
        <v>1.6237845488881428</v>
      </c>
      <c r="Y447" s="61">
        <v>513</v>
      </c>
      <c r="Z447" s="102">
        <v>0</v>
      </c>
      <c r="AA447" s="63">
        <f t="shared" si="81"/>
        <v>0</v>
      </c>
      <c r="AB447" s="61">
        <v>16</v>
      </c>
      <c r="AC447" s="61">
        <v>3</v>
      </c>
      <c r="AD447" s="63">
        <f t="shared" si="82"/>
        <v>0.1875</v>
      </c>
      <c r="AE447" s="61">
        <v>2</v>
      </c>
      <c r="AF447" s="61">
        <v>1</v>
      </c>
      <c r="AG447" s="63">
        <f t="shared" si="83"/>
        <v>0.5</v>
      </c>
      <c r="AH447" s="61">
        <v>61.564838206553404</v>
      </c>
      <c r="AI447" s="61">
        <v>68</v>
      </c>
      <c r="AJ447" s="63">
        <f t="shared" si="84"/>
        <v>1.1045265768726018</v>
      </c>
      <c r="AK447" s="61">
        <v>2.3879727217638953</v>
      </c>
      <c r="AL447" s="61">
        <v>0</v>
      </c>
      <c r="AM447" s="63">
        <f t="shared" si="85"/>
        <v>0</v>
      </c>
      <c r="AN447" s="61">
        <v>3.6062725384678629</v>
      </c>
      <c r="AO447" s="61">
        <v>3</v>
      </c>
      <c r="AP447" s="63">
        <f t="shared" si="86"/>
        <v>0.83188388231871135</v>
      </c>
      <c r="AQ447" s="61">
        <v>7.1688469621756399</v>
      </c>
      <c r="AR447" s="61">
        <v>5</v>
      </c>
      <c r="AS447" s="63">
        <f t="shared" si="87"/>
        <v>0.69746223156681442</v>
      </c>
      <c r="AT447" s="61">
        <v>4</v>
      </c>
      <c r="AU447" s="61">
        <v>2</v>
      </c>
      <c r="AV447" s="63">
        <f t="shared" si="88"/>
        <v>0.5</v>
      </c>
      <c r="AW447" s="61">
        <v>2.8969111762773729</v>
      </c>
      <c r="AX447" s="61">
        <v>0</v>
      </c>
      <c r="AY447" s="63">
        <f t="shared" si="89"/>
        <v>0</v>
      </c>
      <c r="AZ447" s="61">
        <v>6</v>
      </c>
      <c r="BA447" s="61">
        <v>3</v>
      </c>
      <c r="BB447" s="63">
        <f t="shared" si="90"/>
        <v>0.5</v>
      </c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</row>
    <row r="448" spans="1:87" x14ac:dyDescent="0.25">
      <c r="A448" s="180">
        <v>9867</v>
      </c>
      <c r="B448" s="181">
        <v>21551</v>
      </c>
      <c r="C448" s="148">
        <v>1076380581</v>
      </c>
      <c r="D448" s="182" t="s">
        <v>1196</v>
      </c>
      <c r="E448" s="180" t="s">
        <v>546</v>
      </c>
      <c r="F448" s="180" t="s">
        <v>546</v>
      </c>
      <c r="G448" s="180" t="s">
        <v>299</v>
      </c>
      <c r="H448" s="180" t="s">
        <v>300</v>
      </c>
      <c r="I448" s="180" t="s">
        <v>1218</v>
      </c>
      <c r="J448" s="180" t="s">
        <v>221</v>
      </c>
      <c r="K448" s="182" t="s">
        <v>307</v>
      </c>
      <c r="L448" s="180">
        <v>13012</v>
      </c>
      <c r="M448" s="182"/>
      <c r="N448" s="180"/>
      <c r="O448" s="184"/>
      <c r="P448" s="183">
        <v>118018</v>
      </c>
      <c r="Q448" s="61">
        <v>132311.35</v>
      </c>
      <c r="R448" s="63">
        <f t="shared" si="78"/>
        <v>1.1211116100933756</v>
      </c>
      <c r="S448" s="61">
        <v>13336</v>
      </c>
      <c r="T448" s="61">
        <v>5998.26</v>
      </c>
      <c r="U448" s="63">
        <f t="shared" si="79"/>
        <v>0.44977954409118176</v>
      </c>
      <c r="V448" s="61">
        <v>31861.970111644408</v>
      </c>
      <c r="W448" s="61">
        <v>21358.3</v>
      </c>
      <c r="X448" s="63">
        <f t="shared" si="80"/>
        <v>0.67033833517389141</v>
      </c>
      <c r="Y448" s="61">
        <v>1550</v>
      </c>
      <c r="Z448" s="102">
        <v>0</v>
      </c>
      <c r="AA448" s="63">
        <f t="shared" si="81"/>
        <v>0</v>
      </c>
      <c r="AB448" s="61">
        <v>14</v>
      </c>
      <c r="AC448" s="61">
        <v>14</v>
      </c>
      <c r="AD448" s="63">
        <f t="shared" si="82"/>
        <v>1</v>
      </c>
      <c r="AE448" s="61">
        <v>2</v>
      </c>
      <c r="AF448" s="61">
        <v>5</v>
      </c>
      <c r="AG448" s="63">
        <f t="shared" si="83"/>
        <v>2.5</v>
      </c>
      <c r="AH448" s="61">
        <v>85.163150397218089</v>
      </c>
      <c r="AI448" s="61">
        <v>118</v>
      </c>
      <c r="AJ448" s="63">
        <f t="shared" si="84"/>
        <v>1.3855757971566838</v>
      </c>
      <c r="AK448" s="61">
        <v>2.3879727217638953</v>
      </c>
      <c r="AL448" s="61">
        <v>3</v>
      </c>
      <c r="AM448" s="63">
        <f t="shared" si="85"/>
        <v>1.2562957577605935</v>
      </c>
      <c r="AN448" s="61">
        <v>2.8850180307742903</v>
      </c>
      <c r="AO448" s="61">
        <v>0</v>
      </c>
      <c r="AP448" s="63">
        <f t="shared" si="86"/>
        <v>0</v>
      </c>
      <c r="AQ448" s="61">
        <v>9.8571645729915041</v>
      </c>
      <c r="AR448" s="61">
        <v>0</v>
      </c>
      <c r="AS448" s="63">
        <f t="shared" si="87"/>
        <v>0</v>
      </c>
      <c r="AT448" s="61">
        <v>14</v>
      </c>
      <c r="AU448" s="61">
        <v>4</v>
      </c>
      <c r="AV448" s="63">
        <f t="shared" si="88"/>
        <v>0.2857142857142857</v>
      </c>
      <c r="AW448" s="61">
        <v>3.4540038511855871</v>
      </c>
      <c r="AX448" s="61">
        <v>0</v>
      </c>
      <c r="AY448" s="63">
        <f t="shared" si="89"/>
        <v>0</v>
      </c>
      <c r="AZ448" s="61">
        <v>11</v>
      </c>
      <c r="BA448" s="61">
        <v>5</v>
      </c>
      <c r="BB448" s="63">
        <f t="shared" si="90"/>
        <v>0.45454545454545453</v>
      </c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</row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</sheetData>
  <autoFilter ref="A2:BB448" xr:uid="{BB7D8719-356D-4AD4-9D97-FF557E52DFED}"/>
  <mergeCells count="12">
    <mergeCell ref="AE1:AG1"/>
    <mergeCell ref="Q1:R1"/>
    <mergeCell ref="S1:U1"/>
    <mergeCell ref="V1:X1"/>
    <mergeCell ref="Y1:AA1"/>
    <mergeCell ref="AB1:AD1"/>
    <mergeCell ref="AZ1:BB1"/>
    <mergeCell ref="AH1:AJ1"/>
    <mergeCell ref="AK1:AM1"/>
    <mergeCell ref="AN1:AP1"/>
    <mergeCell ref="AQ1:AS1"/>
    <mergeCell ref="AT1:AV1"/>
  </mergeCells>
  <conditionalFormatting sqref="A1:A448">
    <cfRule type="duplicateValues" dxfId="702" priority="55"/>
    <cfRule type="duplicateValues" dxfId="701" priority="52"/>
  </conditionalFormatting>
  <conditionalFormatting sqref="A3">
    <cfRule type="duplicateValues" dxfId="700" priority="441"/>
    <cfRule type="duplicateValues" dxfId="699" priority="440"/>
  </conditionalFormatting>
  <conditionalFormatting sqref="A158">
    <cfRule type="duplicateValues" dxfId="698" priority="21"/>
    <cfRule type="duplicateValues" dxfId="697" priority="22"/>
  </conditionalFormatting>
  <conditionalFormatting sqref="A319">
    <cfRule type="duplicateValues" dxfId="696" priority="388"/>
    <cfRule type="duplicateValues" dxfId="695" priority="387"/>
  </conditionalFormatting>
  <conditionalFormatting sqref="A458:A1048576">
    <cfRule type="duplicateValues" dxfId="694" priority="10599"/>
    <cfRule type="duplicateValues" dxfId="693" priority="686"/>
    <cfRule type="duplicateValues" dxfId="692" priority="772"/>
  </conditionalFormatting>
  <conditionalFormatting sqref="A130:B131">
    <cfRule type="expression" dxfId="691" priority="517">
      <formula>AND($A130=$B130,NOT(ISBLANK($B130)))</formula>
    </cfRule>
  </conditionalFormatting>
  <conditionalFormatting sqref="A134:B137">
    <cfRule type="expression" dxfId="690" priority="516">
      <formula>AND($A134=$B134,NOT(ISBLANK($B134)))</formula>
    </cfRule>
  </conditionalFormatting>
  <conditionalFormatting sqref="A141:B141">
    <cfRule type="expression" dxfId="689" priority="515">
      <formula>AND($A141=$B141,NOT(ISBLANK($B141)))</formula>
    </cfRule>
  </conditionalFormatting>
  <conditionalFormatting sqref="A146:B147">
    <cfRule type="expression" dxfId="688" priority="514">
      <formula>AND($A146=$B146,NOT(ISBLANK($B146)))</formula>
    </cfRule>
  </conditionalFormatting>
  <conditionalFormatting sqref="A149:B149">
    <cfRule type="expression" dxfId="687" priority="513">
      <formula>AND($A149=$B149,NOT(ISBLANK($B149)))</formula>
    </cfRule>
  </conditionalFormatting>
  <conditionalFormatting sqref="A154:B156">
    <cfRule type="expression" dxfId="686" priority="512">
      <formula>AND($A154=$B154,NOT(ISBLANK($B154)))</formula>
    </cfRule>
  </conditionalFormatting>
  <conditionalFormatting sqref="A159:B159">
    <cfRule type="expression" dxfId="685" priority="511">
      <formula>AND($A159=$B159,NOT(ISBLANK($B159)))</formula>
    </cfRule>
  </conditionalFormatting>
  <conditionalFormatting sqref="A159:B318 V4:W158 A118:B157 A4:B116">
    <cfRule type="expression" dxfId="684" priority="563">
      <formula>AND($A4=$B4,NOT(ISBLANK($B4)))</formula>
    </cfRule>
  </conditionalFormatting>
  <conditionalFormatting sqref="A164:B164">
    <cfRule type="expression" dxfId="683" priority="529">
      <formula>AND($A164=$B164,NOT(ISBLANK($B164)))</formula>
    </cfRule>
  </conditionalFormatting>
  <conditionalFormatting sqref="A166:B168">
    <cfRule type="expression" dxfId="682" priority="510">
      <formula>AND($A166=$B166,NOT(ISBLANK($B166)))</formula>
    </cfRule>
  </conditionalFormatting>
  <conditionalFormatting sqref="A172:B175">
    <cfRule type="expression" dxfId="681" priority="509">
      <formula>AND($A172=$B172,NOT(ISBLANK($B172)))</formula>
    </cfRule>
  </conditionalFormatting>
  <conditionalFormatting sqref="A180:B180">
    <cfRule type="expression" dxfId="680" priority="508">
      <formula>AND($A180=$B180,NOT(ISBLANK($B180)))</formula>
    </cfRule>
  </conditionalFormatting>
  <conditionalFormatting sqref="A185:B185">
    <cfRule type="expression" dxfId="679" priority="534">
      <formula>AND($A185=$B185,NOT(ISBLANK($B185)))</formula>
    </cfRule>
  </conditionalFormatting>
  <conditionalFormatting sqref="A187:B188">
    <cfRule type="expression" dxfId="678" priority="507">
      <formula>AND($A187=$B187,NOT(ISBLANK($B187)))</formula>
    </cfRule>
  </conditionalFormatting>
  <conditionalFormatting sqref="A193:B194">
    <cfRule type="expression" dxfId="677" priority="506">
      <formula>AND($A193=$B193,NOT(ISBLANK($B193)))</formula>
    </cfRule>
  </conditionalFormatting>
  <conditionalFormatting sqref="A198:B198">
    <cfRule type="expression" dxfId="676" priority="519">
      <formula>AND($A198=$B198,NOT(ISBLANK($B198)))</formula>
    </cfRule>
  </conditionalFormatting>
  <conditionalFormatting sqref="A202:B212">
    <cfRule type="expression" dxfId="675" priority="505">
      <formula>AND($A202=$B202,NOT(ISBLANK($B202)))</formula>
    </cfRule>
  </conditionalFormatting>
  <conditionalFormatting sqref="A204:C208 A209:B209 A210:F212 A213:A216 A217:F223 A225:C273 A274:B276 A295:B295 A296:F299 D204:F209 C213:F216 D225:F295">
    <cfRule type="expression" dxfId="674" priority="564">
      <formula>$F204="area Manager"</formula>
    </cfRule>
  </conditionalFormatting>
  <conditionalFormatting sqref="A204:C208 D204:F209 A209:B209 A210:F212 A213:A216 C213:F216 A217:F223 A225:C273 D225:F295 A274:B276 A295:B295 A296:F299">
    <cfRule type="expression" dxfId="673" priority="565">
      <formula>$F204="Sales Agent"</formula>
    </cfRule>
    <cfRule type="expression" dxfId="672" priority="566">
      <formula>$F204="Branch Supervisor"</formula>
    </cfRule>
    <cfRule type="expression" dxfId="671" priority="567">
      <formula>$F204="Branch Manager"</formula>
    </cfRule>
  </conditionalFormatting>
  <conditionalFormatting sqref="A320:C325">
    <cfRule type="expression" dxfId="670" priority="548">
      <formula>$F320="Branch Manager"</formula>
    </cfRule>
    <cfRule type="expression" dxfId="669" priority="546">
      <formula>$F320="Sales Agent"</formula>
    </cfRule>
    <cfRule type="expression" dxfId="668" priority="547">
      <formula>$F320="Branch Supervisor"</formula>
    </cfRule>
    <cfRule type="expression" dxfId="667" priority="545">
      <formula>$F320="area Manager"</formula>
    </cfRule>
  </conditionalFormatting>
  <conditionalFormatting sqref="A330:C338">
    <cfRule type="expression" dxfId="666" priority="542">
      <formula>$F330="Branch Supervisor"</formula>
    </cfRule>
    <cfRule type="expression" dxfId="665" priority="541">
      <formula>$F330="Sales Agent"</formula>
    </cfRule>
    <cfRule type="expression" dxfId="664" priority="543">
      <formula>$F330="Branch Manager"</formula>
    </cfRule>
    <cfRule type="expression" dxfId="663" priority="540">
      <formula>$F330="area Manager"</formula>
    </cfRule>
  </conditionalFormatting>
  <conditionalFormatting sqref="A3:E3 A319:E319">
    <cfRule type="expression" dxfId="662" priority="570">
      <formula>$E3="area Manager"</formula>
    </cfRule>
    <cfRule type="expression" dxfId="661" priority="572">
      <formula>$E3="Branch Supervisor"</formula>
    </cfRule>
    <cfRule type="expression" dxfId="660" priority="569">
      <formula>AND($A3=$B3,NOT(ISBLANK($B3)))</formula>
    </cfRule>
    <cfRule type="expression" dxfId="659" priority="573">
      <formula>$E3="Branch Manager"</formula>
    </cfRule>
    <cfRule type="expression" dxfId="658" priority="571">
      <formula>$E3="Sales Agent"</formula>
    </cfRule>
  </conditionalFormatting>
  <conditionalFormatting sqref="A158:E158">
    <cfRule type="expression" dxfId="657" priority="28">
      <formula>$E158="Branch Supervisor"</formula>
    </cfRule>
    <cfRule type="expression" dxfId="656" priority="27">
      <formula>$E158="Sales Agent"</formula>
    </cfRule>
    <cfRule type="expression" dxfId="655" priority="26">
      <formula>$E158="area Manager"</formula>
    </cfRule>
    <cfRule type="expression" dxfId="654" priority="25">
      <formula>AND($A158=$B158,NOT(ISBLANK($B158)))</formula>
    </cfRule>
    <cfRule type="expression" dxfId="653" priority="29">
      <formula>$E158="Branch Manager"</formula>
    </cfRule>
  </conditionalFormatting>
  <conditionalFormatting sqref="A327:E327 A4:O117 A395:P395 G3:T3 V3:W3 U3:U448 X3:BB448 P4:P157 P159:P394 P396:P448">
    <cfRule type="expression" dxfId="652" priority="91">
      <formula>$E3="area Manager"</formula>
    </cfRule>
  </conditionalFormatting>
  <conditionalFormatting sqref="A341:E341">
    <cfRule type="expression" dxfId="651" priority="83">
      <formula>$E341="area Manager"</formula>
    </cfRule>
  </conditionalFormatting>
  <conditionalFormatting sqref="A355:E356 U3:AJ448 AM3:BB448 Q4:T448 AL4:AL448 AK159:AK448 G3:T3 AK3:AL3 P159:P448 A394:O394 A396:O448">
    <cfRule type="expression" dxfId="650" priority="130">
      <formula>$E3="Sales Agent"</formula>
    </cfRule>
  </conditionalFormatting>
  <conditionalFormatting sqref="A355:E356">
    <cfRule type="expression" dxfId="649" priority="132">
      <formula>$E355="Branch Manager"</formula>
    </cfRule>
    <cfRule type="expression" dxfId="648" priority="131">
      <formula>$E355="Branch Supervisor"</formula>
    </cfRule>
    <cfRule type="expression" dxfId="647" priority="129">
      <formula>$E355="area Manager"</formula>
    </cfRule>
  </conditionalFormatting>
  <conditionalFormatting sqref="A359:E359">
    <cfRule type="expression" dxfId="646" priority="75">
      <formula>$E359="area Manager"</formula>
    </cfRule>
  </conditionalFormatting>
  <conditionalFormatting sqref="A164:F164 A172:O172 A185:F185 G319:O319 A394:O394 A396:O448 G3:T3 V3:W3 AB3:AC3 AE3:AF3 AH3:AI3 AK3:AL3 AN3:AO3 AT3:AU3 AW3:AX3 U3:U448 X3:AA448 AD3:AD448 AG3:AG448 AJ3:AJ448 AM3:AM448 AP3:AS448 AV3:AV448 Q4:T448 W4:W448 AC4:AC448 AF4:AF448 AI4:AI448 AL4:AL448 AO4:AO448 AU4:AU448 AX4:AX448 P159:P448 V159:W448 AB159:AB448 AE159:AE448 AH159:AH448 AN159:AO448 AT159:AT448 AW159:AW448 AK395:AK448 AY3:BB448">
    <cfRule type="expression" dxfId="645" priority="532">
      <formula>$E3="Branch Supervisor"</formula>
    </cfRule>
  </conditionalFormatting>
  <conditionalFormatting sqref="A164:F164 A172:O172 A185:F185 G319:O319">
    <cfRule type="expression" dxfId="644" priority="531">
      <formula>$E164="Sales Agent"</formula>
    </cfRule>
  </conditionalFormatting>
  <conditionalFormatting sqref="A185:F185 G319:O319">
    <cfRule type="expression" dxfId="643" priority="535">
      <formula>$E185="area Manager"</formula>
    </cfRule>
  </conditionalFormatting>
  <conditionalFormatting sqref="A198:F198 A121:H123 T121:T125 AL121:AL125 AO121:AO125 A124:O125 AI130 T130:T131 AL130:AL131 AO130:AO131 T134:T137 AL134:AL137 AO134:AO137 T141 AL141 AO141 AR141 T146:T147 AL146:AL147 AO146:AO147 T149 AL149 AO149 AR149 T154:T156 AL154:AL156 AO154:AO156 T159 AL159 AO159 AR159 T166:T168 AL166:AL168 AO166:AO168 T172:T175 AL172:AL175 AO172:AO175 T180 AL180 AO180 AR180 T185 AL185 AO185 AR185 T187:T188 AL187:AL188 AO187:AO188 T193:T194 AL193:AL194 AO193:AO194 T198 AL198 AO198 AR198 T202:T203 AL202:AL203 AO202:AO203 A320:O326 A328:O340 A342:O354 A357:O358 A360:O367 A368:D370 A371:O378 A379:L380 A130:O131 A134:H135 A136:O137 A141:O141 A146:O147 A149:O149 A154:O156 A159:O159 A166:O168 A173:H174 A175:O175 A180:O180 A187:O188 A193:O194 A202:O203 F327:O327 F341:O341 F355:O356 F359:O359 F368:O370 N379:O380">
    <cfRule type="expression" dxfId="642" priority="520">
      <formula>$E121="area Manager"</formula>
    </cfRule>
  </conditionalFormatting>
  <conditionalFormatting sqref="A224:F224 A277:C294">
    <cfRule type="expression" dxfId="641" priority="558">
      <formula>$F224="area Manager"</formula>
    </cfRule>
    <cfRule type="expression" dxfId="640" priority="559">
      <formula>$F224="Sales Agent"</formula>
    </cfRule>
    <cfRule type="expression" dxfId="639" priority="560">
      <formula>$F224="Branch Supervisor"</formula>
    </cfRule>
    <cfRule type="expression" dxfId="638" priority="561">
      <formula>$F224="Branch Manager"</formula>
    </cfRule>
  </conditionalFormatting>
  <conditionalFormatting sqref="A300:F312 D313:F315 A316:F318 D320:F320 D321 D322:F325 A326:F326 A327:D327 A328:F329 D330 D331:F338 A339:F339 A340:D341 A342:F347 A348:D348 A349:F354 A355:D356 A357:F358 A359:D360 A361:F363 A364:D364 A365:F367 A368:D370 A371:F375 A376:D376 A377:O378 A379:L380 A381:O382 A383:D384 A385:O390 A391:D391 A392:O392 A393:D393 A394:O394 A396:O448 T320:T394 AL320:AL394 AO320:AO394 AR320:AR394 F321 F327 F330 F340:F341 F348 F355:F356 AI356 F359:F360 F364 F368:F370 G373:O375 F376:O376 N379:O380 F383:O384 F391:O391 F393:O393 T396:T448 AL396:AL448 AO396:AO448 AR396:AR448">
    <cfRule type="expression" dxfId="637" priority="555">
      <formula>$F300="Sales Agent"</formula>
    </cfRule>
  </conditionalFormatting>
  <conditionalFormatting sqref="A300:F312 D313:F315 A316:F318 D320:F320 T320:T394 AL320:AL394 AO320:AO394 AR320:AR394 D321 F321 D322:F325 A326:F326 A327:D327 F327 A328:F329 D330 F330 D331:F338 A339:F339 A340:D341 F340:F341 A342:F347 A348:D348 F348 A349:F354 A355:D356 F355:F356 AI356 A357:F358 A359:D360 F359:F360 A361:F363 A364:D364 F364 A365:F367 A368:D370 F368:F370 A371:F375 G373:O375 A376:D376 F376:O376 A377:O378 A379:L380 N379:O380 A381:O382 A383:D384 F383:O384 A385:O390 A391:D391 F391:O391 A392:O392 A393:D393 F393:O393 A394:O394 A396:O448 T396:T448 AL396:AL448 AO396:AO448 AR396:AR448">
    <cfRule type="expression" dxfId="636" priority="556">
      <formula>$F300="Branch Supervisor"</formula>
    </cfRule>
    <cfRule type="expression" dxfId="635" priority="557">
      <formula>$F300="Branch Manager"</formula>
    </cfRule>
  </conditionalFormatting>
  <conditionalFormatting sqref="A121:H123 A124:O125 AI130 A130:O131 A134:H135 A136:O137 A141:O141 A146:O147 A149:O149 A154:O156 A159:O159 A166:O168 A173:H174 A175:O175 A180:O180 A187:O188 A193:O194 A198:F198 A202:O203 A320:O326 A327:D327 F327:O327 A328:O340 A341:D341 F341:O341 A342:O354 F355:O356 A357:O358 A359:D359 F359:O359 A360:O367 A368:D370 F368:O370 A371:O378 A379:L380 N379:O380 A393:D393 F393:O393 T121:T125 AL121:AL125 AO121:AO125 T130:T131 AL130:AL131 AO130:AO131 T134:T137 AL134:AL137 AO134:AO137 T141 AL141 AO141 AR141 T146:T147 AL146:AL147 AO146:AO147 T149 AL149 AO149 AR149 T154:T156 AL154:AL156 AO154:AO156 T159 AL159 AO159 AR159 T166:T168 AL166:AL168 AO166:AO168 T172:T175 AL172:AL175 AO172:AO175 T180 AL180 AO180 AR180 T185 AL185 AO185 AR185 T187:T188 AL187:AL188 AO187:AO188 T193:T194 AL193:AL194 AO193:AO194 T198 AL198 AO198 AR198 T202:T203 AL202:AL203 AO202:AO203">
    <cfRule type="expression" dxfId="634" priority="522">
      <formula>$E121="Branch Supervisor"</formula>
    </cfRule>
  </conditionalFormatting>
  <conditionalFormatting sqref="A121:H123 A124:O125 AI130 A130:O131 A134:H135 A136:O137 A141:O141 A146:O147 A149:O149 A154:O156 A159:O159 A166:O168 A173:H174 A175:O175 A180:O180 A187:O188 A193:O194 A198:F198 A202:O203 A320:O326 F327:O327 A328:O340 F341:O341 A342:O354 F355:O356 A357:O358 F359:O359 A360:O367 A368:D370 F368:O370 A371:O378 A379:L380 N379:O380 AI39 AI70 AI248 AI315 A327:D327 A341:D341 A359:D359 A393:D393 F393:O393">
    <cfRule type="expression" dxfId="633" priority="521">
      <formula>$E39="Sales Agent"</formula>
    </cfRule>
  </conditionalFormatting>
  <conditionalFormatting sqref="A4:O157 A159:O318 AI248 AI315 A395:O395">
    <cfRule type="expression" dxfId="632" priority="483">
      <formula>$E4="Branch Supervisor"</formula>
    </cfRule>
  </conditionalFormatting>
  <conditionalFormatting sqref="A4:O157 A159:O318 AI248 AI315 AY3:BB448">
    <cfRule type="expression" dxfId="631" priority="484">
      <formula>$E3="Branch Manager"</formula>
    </cfRule>
  </conditionalFormatting>
  <conditionalFormatting sqref="A159:O318 A4:O157">
    <cfRule type="expression" dxfId="630" priority="482">
      <formula>$E4="Sales Agent"</formula>
    </cfRule>
  </conditionalFormatting>
  <conditionalFormatting sqref="A159:O318 A118:O157">
    <cfRule type="expression" dxfId="629" priority="530">
      <formula>$E118="area Manager"</formula>
    </cfRule>
  </conditionalFormatting>
  <conditionalFormatting sqref="A300:O318 T300:T318 AL300:AL318 AO300:AO318 AR300:AR318 AI315 AI356 T320:T394 AL320:AL394 AO320:AO394 AR320:AR394 T396:T448 AL396:AL448 AO396:AO448 AR396:AR448 D320:F320 D321 D322:F325 A326:F326 A327:D327 A328:F329 D330 D331:F338 A339:F339 A340:D341 A342:F347 A348:D348 A349:F354 A355:D356 A357:F358 A359:D360 A361:F363 A364:D364 A365:F367 A368:D370 A371:F375 A376:D376 A377:O378 A379:L380 A381:O382 A383:D384 A385:O390 A391:D391 A392:O392 A393:D393 F321 F327 F330 F340:F341 F348 F355:F356 F359:F360 F364 F368:F370 G373:O375 F376:O376 N379:O380 F393:O393 F383:O384 F391:O391">
    <cfRule type="expression" dxfId="628" priority="550">
      <formula>$F300="area Manager"</formula>
    </cfRule>
  </conditionalFormatting>
  <conditionalFormatting sqref="A381:O392 AI4:AI38 P4:P157 AK4:AK158 AI40:AI69 AI71:AI129 AI131:AI247 AI249:AI314 AI316:AI448 G158:P158">
    <cfRule type="expression" dxfId="627" priority="114">
      <formula>$E4="Sales Agent"</formula>
    </cfRule>
  </conditionalFormatting>
  <conditionalFormatting sqref="A381:O392">
    <cfRule type="expression" dxfId="626" priority="113">
      <formula>$E381="area Manager"</formula>
    </cfRule>
  </conditionalFormatting>
  <conditionalFormatting sqref="A393:O393">
    <cfRule type="expression" dxfId="625" priority="59">
      <formula>$E393="area Manager"</formula>
    </cfRule>
  </conditionalFormatting>
  <conditionalFormatting sqref="A394:O394 A396:O448">
    <cfRule type="expression" dxfId="624" priority="574">
      <formula>$F394="area Manager"</formula>
    </cfRule>
    <cfRule type="expression" dxfId="623" priority="575">
      <formula>$E394="area Manager"</formula>
    </cfRule>
  </conditionalFormatting>
  <conditionalFormatting sqref="A395:O395">
    <cfRule type="expression" dxfId="622" priority="34">
      <formula>$E395="Sales Agent"</formula>
    </cfRule>
    <cfRule type="expression" dxfId="621" priority="35">
      <formula>$E395="Branch Manager"</formula>
    </cfRule>
  </conditionalFormatting>
  <conditionalFormatting sqref="B214 T204:T299 AL204:AL299 AO204:AO299 AR204:AR299 AI248 G204:O299">
    <cfRule type="expression" dxfId="620" priority="461">
      <formula>$F204="area Manager"</formula>
    </cfRule>
  </conditionalFormatting>
  <conditionalFormatting sqref="B214:B215">
    <cfRule type="expression" dxfId="619" priority="460">
      <formula>AND($A214=$B214,NOT(ISBLANK($B214)))</formula>
    </cfRule>
  </conditionalFormatting>
  <conditionalFormatting sqref="B215">
    <cfRule type="expression" dxfId="618" priority="576">
      <formula>AND($A215=$B215,NOT(ISBLANK($B215)))</formula>
    </cfRule>
    <cfRule type="expression" dxfId="617" priority="589">
      <formula>$E215="Branch Manager"</formula>
    </cfRule>
    <cfRule type="expression" dxfId="616" priority="588">
      <formula>$E215="Branch Supervisor"</formula>
    </cfRule>
    <cfRule type="expression" dxfId="615" priority="584">
      <formula>$E215="Branch Supervisor"</formula>
    </cfRule>
    <cfRule type="expression" dxfId="614" priority="587">
      <formula>$E215="Sales Agent"</formula>
    </cfRule>
    <cfRule type="expression" dxfId="613" priority="586">
      <formula>$E215="area Manager"</formula>
    </cfRule>
    <cfRule type="expression" dxfId="612" priority="585">
      <formula>$E215="Branch Manager"</formula>
    </cfRule>
    <cfRule type="expression" dxfId="611" priority="583">
      <formula>$E215="Sales Agent"</formula>
    </cfRule>
    <cfRule type="expression" dxfId="610" priority="582">
      <formula>$E215="area Manager"</formula>
    </cfRule>
    <cfRule type="expression" dxfId="609" priority="581">
      <formula>AND($A215=$B215,NOT(ISBLANK($B215)))</formula>
    </cfRule>
    <cfRule type="expression" dxfId="608" priority="580">
      <formula>$F215="Branch Manager"</formula>
    </cfRule>
    <cfRule type="expression" dxfId="607" priority="579">
      <formula>$F215="Branch Supervisor"</formula>
    </cfRule>
    <cfRule type="expression" dxfId="606" priority="578">
      <formula>$F215="Sales Agent"</formula>
    </cfRule>
    <cfRule type="expression" dxfId="605" priority="577">
      <formula>$F215="area Manager"</formula>
    </cfRule>
  </conditionalFormatting>
  <conditionalFormatting sqref="B415">
    <cfRule type="duplicateValues" dxfId="604" priority="54"/>
  </conditionalFormatting>
  <conditionalFormatting sqref="B420">
    <cfRule type="duplicateValues" dxfId="603" priority="53"/>
  </conditionalFormatting>
  <conditionalFormatting sqref="C3">
    <cfRule type="duplicateValues" dxfId="602" priority="590"/>
  </conditionalFormatting>
  <conditionalFormatting sqref="C158">
    <cfRule type="duplicateValues" dxfId="601" priority="30"/>
  </conditionalFormatting>
  <conditionalFormatting sqref="C209">
    <cfRule type="duplicateValues" dxfId="600" priority="591"/>
  </conditionalFormatting>
  <conditionalFormatting sqref="C274">
    <cfRule type="expression" dxfId="599" priority="434">
      <formula>$F274="Branch Manager"</formula>
    </cfRule>
    <cfRule type="expression" dxfId="598" priority="432">
      <formula>$F274="Sales Agent"</formula>
    </cfRule>
    <cfRule type="expression" dxfId="597" priority="431">
      <formula>$F274="area Manager"</formula>
    </cfRule>
    <cfRule type="expression" dxfId="596" priority="433">
      <formula>$F274="Branch Supervisor"</formula>
    </cfRule>
  </conditionalFormatting>
  <conditionalFormatting sqref="C276">
    <cfRule type="expression" dxfId="595" priority="527">
      <formula>$F276="Branch Supervisor"</formula>
    </cfRule>
    <cfRule type="expression" dxfId="594" priority="528">
      <formula>$F276="Branch Manager"</formula>
    </cfRule>
    <cfRule type="expression" dxfId="593" priority="526">
      <formula>$F276="Sales Agent"</formula>
    </cfRule>
    <cfRule type="expression" dxfId="592" priority="525">
      <formula>$F276="area Manager"</formula>
    </cfRule>
  </conditionalFormatting>
  <conditionalFormatting sqref="C295">
    <cfRule type="duplicateValues" dxfId="591" priority="592"/>
  </conditionalFormatting>
  <conditionalFormatting sqref="C313:C315">
    <cfRule type="expression" dxfId="590" priority="549">
      <formula>AND($A313=$B313,NOT(ISBLANK($B313)))</formula>
    </cfRule>
  </conditionalFormatting>
  <conditionalFormatting sqref="C319">
    <cfRule type="duplicateValues" dxfId="589" priority="593"/>
  </conditionalFormatting>
  <conditionalFormatting sqref="C325">
    <cfRule type="expression" dxfId="588" priority="544">
      <formula>AND($A325=$B325,NOT(ISBLANK($B325)))</formula>
    </cfRule>
  </conditionalFormatting>
  <conditionalFormatting sqref="C330:C332">
    <cfRule type="expression" dxfId="587" priority="539">
      <formula>AND($A330=$B330,NOT(ISBLANK($B330)))</formula>
    </cfRule>
  </conditionalFormatting>
  <conditionalFormatting sqref="D3">
    <cfRule type="duplicateValues" dxfId="586" priority="442"/>
    <cfRule type="duplicateValues" dxfId="585" priority="443"/>
  </conditionalFormatting>
  <conditionalFormatting sqref="D4:D157 D159:D318 D320:D448">
    <cfRule type="expression" dxfId="584" priority="524">
      <formula>COUNTIFS(OFFSET($D$5,0,0,#REF!),$D4) &gt; 1</formula>
    </cfRule>
  </conditionalFormatting>
  <conditionalFormatting sqref="D158">
    <cfRule type="duplicateValues" dxfId="583" priority="24"/>
    <cfRule type="duplicateValues" dxfId="582" priority="23"/>
  </conditionalFormatting>
  <conditionalFormatting sqref="D204:D299">
    <cfRule type="expression" dxfId="581" priority="562">
      <formula>COUNTIFS(OFFSET($D$6,0,0,$F$1),$D204) &gt; 1</formula>
    </cfRule>
  </conditionalFormatting>
  <conditionalFormatting sqref="D300:D318 D320:D394 D396:D448">
    <cfRule type="expression" dxfId="580" priority="554">
      <formula>COUNTIFS(OFFSET($D$7,0,0,$F$2),$D300) &gt; 1</formula>
    </cfRule>
  </conditionalFormatting>
  <conditionalFormatting sqref="D319">
    <cfRule type="duplicateValues" dxfId="579" priority="390"/>
    <cfRule type="duplicateValues" dxfId="578" priority="389"/>
  </conditionalFormatting>
  <conditionalFormatting sqref="E4:E5">
    <cfRule type="expression" dxfId="577" priority="212">
      <formula>$F4="Branch Manager"</formula>
    </cfRule>
    <cfRule type="expression" dxfId="576" priority="211">
      <formula>$F4="Branch Supervisor"</formula>
    </cfRule>
    <cfRule type="expression" dxfId="575" priority="210">
      <formula>$F4="Sales Agent"</formula>
    </cfRule>
    <cfRule type="expression" dxfId="574" priority="209">
      <formula>$F4="area Manager"</formula>
    </cfRule>
  </conditionalFormatting>
  <conditionalFormatting sqref="E19:E20">
    <cfRule type="expression" dxfId="573" priority="208">
      <formula>$F19="Branch Manager"</formula>
    </cfRule>
    <cfRule type="expression" dxfId="572" priority="207">
      <formula>$F19="Branch Supervisor"</formula>
    </cfRule>
    <cfRule type="expression" dxfId="571" priority="206">
      <formula>$F19="Sales Agent"</formula>
    </cfRule>
    <cfRule type="expression" dxfId="570" priority="205">
      <formula>$F19="area Manager"</formula>
    </cfRule>
  </conditionalFormatting>
  <conditionalFormatting sqref="E29">
    <cfRule type="expression" dxfId="569" priority="204">
      <formula>$F29="Branch Manager"</formula>
    </cfRule>
    <cfRule type="expression" dxfId="568" priority="201">
      <formula>$F29="area Manager"</formula>
    </cfRule>
    <cfRule type="expression" dxfId="567" priority="202">
      <formula>$F29="Sales Agent"</formula>
    </cfRule>
    <cfRule type="expression" dxfId="566" priority="203">
      <formula>$F29="Branch Supervisor"</formula>
    </cfRule>
  </conditionalFormatting>
  <conditionalFormatting sqref="E39:E40">
    <cfRule type="expression" dxfId="565" priority="45">
      <formula>$F39="Sales Agent"</formula>
    </cfRule>
    <cfRule type="expression" dxfId="564" priority="44">
      <formula>$F39="area Manager"</formula>
    </cfRule>
    <cfRule type="expression" dxfId="563" priority="47">
      <formula>$F39="Branch Manager"</formula>
    </cfRule>
    <cfRule type="expression" dxfId="562" priority="46">
      <formula>$F39="Branch Supervisor"</formula>
    </cfRule>
  </conditionalFormatting>
  <conditionalFormatting sqref="E49:E50">
    <cfRule type="expression" dxfId="561" priority="197">
      <formula>$F49="area Manager"</formula>
    </cfRule>
    <cfRule type="expression" dxfId="560" priority="198">
      <formula>$F49="Sales Agent"</formula>
    </cfRule>
    <cfRule type="expression" dxfId="559" priority="199">
      <formula>$F49="Branch Supervisor"</formula>
    </cfRule>
    <cfRule type="expression" dxfId="558" priority="200">
      <formula>$F49="Branch Manager"</formula>
    </cfRule>
  </conditionalFormatting>
  <conditionalFormatting sqref="E58">
    <cfRule type="expression" dxfId="557" priority="193">
      <formula>$F58="area Manager"</formula>
    </cfRule>
    <cfRule type="expression" dxfId="556" priority="194">
      <formula>$F58="Sales Agent"</formula>
    </cfRule>
    <cfRule type="expression" dxfId="555" priority="195">
      <formula>$F58="Branch Supervisor"</formula>
    </cfRule>
    <cfRule type="expression" dxfId="554" priority="196">
      <formula>$F58="Branch Manager"</formula>
    </cfRule>
  </conditionalFormatting>
  <conditionalFormatting sqref="E65">
    <cfRule type="expression" dxfId="553" priority="229">
      <formula>$F65="area Manager"</formula>
    </cfRule>
    <cfRule type="expression" dxfId="552" priority="232">
      <formula>$F65="Branch Manager"</formula>
    </cfRule>
    <cfRule type="expression" dxfId="551" priority="230">
      <formula>$F65="Sales Agent"</formula>
    </cfRule>
    <cfRule type="expression" dxfId="550" priority="231">
      <formula>$F65="Branch Supervisor"</formula>
    </cfRule>
  </conditionalFormatting>
  <conditionalFormatting sqref="E71">
    <cfRule type="expression" dxfId="549" priority="49">
      <formula>$F71="Sales Agent"</formula>
    </cfRule>
    <cfRule type="expression" dxfId="548" priority="50">
      <formula>$F71="Branch Supervisor"</formula>
    </cfRule>
    <cfRule type="expression" dxfId="547" priority="51">
      <formula>$F71="Branch Manager"</formula>
    </cfRule>
    <cfRule type="expression" dxfId="546" priority="48">
      <formula>$F71="area Manager"</formula>
    </cfRule>
  </conditionalFormatting>
  <conditionalFormatting sqref="E74:E75">
    <cfRule type="expression" dxfId="545" priority="190">
      <formula>$F74="Sales Agent"</formula>
    </cfRule>
    <cfRule type="expression" dxfId="544" priority="189">
      <formula>$F74="area Manager"</formula>
    </cfRule>
    <cfRule type="expression" dxfId="543" priority="191">
      <formula>$F74="Branch Supervisor"</formula>
    </cfRule>
    <cfRule type="expression" dxfId="542" priority="192">
      <formula>$F74="Branch Manager"</formula>
    </cfRule>
  </conditionalFormatting>
  <conditionalFormatting sqref="E85:E86">
    <cfRule type="expression" dxfId="541" priority="188">
      <formula>$F85="Branch Manager"</formula>
    </cfRule>
    <cfRule type="expression" dxfId="540" priority="187">
      <formula>$F85="Branch Supervisor"</formula>
    </cfRule>
    <cfRule type="expression" dxfId="539" priority="185">
      <formula>$F85="area Manager"</formula>
    </cfRule>
    <cfRule type="expression" dxfId="538" priority="186">
      <formula>$F85="Sales Agent"</formula>
    </cfRule>
  </conditionalFormatting>
  <conditionalFormatting sqref="E101:E102">
    <cfRule type="expression" dxfId="537" priority="184">
      <formula>$F101="Branch Manager"</formula>
    </cfRule>
    <cfRule type="expression" dxfId="536" priority="183">
      <formula>$F101="Branch Supervisor"</formula>
    </cfRule>
    <cfRule type="expression" dxfId="535" priority="181">
      <formula>$F101="area Manager"</formula>
    </cfRule>
    <cfRule type="expression" dxfId="534" priority="182">
      <formula>$F101="Sales Agent"</formula>
    </cfRule>
  </conditionalFormatting>
  <conditionalFormatting sqref="E109">
    <cfRule type="expression" dxfId="533" priority="179">
      <formula>$F109="Branch Supervisor"</formula>
    </cfRule>
    <cfRule type="expression" dxfId="532" priority="178">
      <formula>$F109="Sales Agent"</formula>
    </cfRule>
    <cfRule type="expression" dxfId="531" priority="177">
      <formula>$F109="area Manager"</formula>
    </cfRule>
    <cfRule type="expression" dxfId="530" priority="180">
      <formula>$F109="Branch Manager"</formula>
    </cfRule>
  </conditionalFormatting>
  <conditionalFormatting sqref="E114:E115">
    <cfRule type="expression" dxfId="529" priority="174">
      <formula>$F114="Sales Agent"</formula>
    </cfRule>
    <cfRule type="expression" dxfId="528" priority="176">
      <formula>$F114="Branch Manager"</formula>
    </cfRule>
    <cfRule type="expression" dxfId="527" priority="175">
      <formula>$F114="Branch Supervisor"</formula>
    </cfRule>
    <cfRule type="expression" dxfId="526" priority="173">
      <formula>$F114="area Manager"</formula>
    </cfRule>
  </conditionalFormatting>
  <conditionalFormatting sqref="E122">
    <cfRule type="expression" dxfId="525" priority="228">
      <formula>$F122="Branch Manager"</formula>
    </cfRule>
    <cfRule type="expression" dxfId="524" priority="226">
      <formula>$F122="Sales Agent"</formula>
    </cfRule>
    <cfRule type="expression" dxfId="523" priority="227">
      <formula>$F122="Branch Supervisor"</formula>
    </cfRule>
    <cfRule type="expression" dxfId="522" priority="225">
      <formula>$F122="area Manager"</formula>
    </cfRule>
  </conditionalFormatting>
  <conditionalFormatting sqref="E131">
    <cfRule type="expression" dxfId="521" priority="42">
      <formula>$F131="Branch Supervisor"</formula>
    </cfRule>
    <cfRule type="expression" dxfId="520" priority="41">
      <formula>$F131="Sales Agent"</formula>
    </cfRule>
    <cfRule type="expression" dxfId="519" priority="43">
      <formula>$F131="Branch Manager"</formula>
    </cfRule>
    <cfRule type="expression" dxfId="518" priority="221">
      <formula>$F131="area Manager"</formula>
    </cfRule>
    <cfRule type="expression" dxfId="517" priority="223">
      <formula>$F131="Branch Supervisor"</formula>
    </cfRule>
    <cfRule type="expression" dxfId="516" priority="222">
      <formula>$F131="Sales Agent"</formula>
    </cfRule>
    <cfRule type="expression" dxfId="515" priority="224">
      <formula>$F131="Branch Manager"</formula>
    </cfRule>
    <cfRule type="expression" dxfId="514" priority="40">
      <formula>$F131="area Manager"</formula>
    </cfRule>
  </conditionalFormatting>
  <conditionalFormatting sqref="E140:E141">
    <cfRule type="expression" dxfId="513" priority="171">
      <formula>$F140="Branch Supervisor"</formula>
    </cfRule>
    <cfRule type="expression" dxfId="512" priority="170">
      <formula>$F140="Sales Agent"</formula>
    </cfRule>
    <cfRule type="expression" dxfId="511" priority="169">
      <formula>$F140="area Manager"</formula>
    </cfRule>
    <cfRule type="expression" dxfId="510" priority="172">
      <formula>$F140="Branch Manager"</formula>
    </cfRule>
  </conditionalFormatting>
  <conditionalFormatting sqref="E147">
    <cfRule type="expression" dxfId="509" priority="168">
      <formula>$F147="Branch Manager"</formula>
    </cfRule>
    <cfRule type="expression" dxfId="508" priority="165">
      <formula>$F147="area Manager"</formula>
    </cfRule>
    <cfRule type="expression" dxfId="507" priority="166">
      <formula>$F147="Sales Agent"</formula>
    </cfRule>
    <cfRule type="expression" dxfId="506" priority="167">
      <formula>$F147="Branch Supervisor"</formula>
    </cfRule>
  </conditionalFormatting>
  <conditionalFormatting sqref="E152:E153">
    <cfRule type="expression" dxfId="505" priority="164">
      <formula>$F152="Branch Manager"</formula>
    </cfRule>
    <cfRule type="expression" dxfId="504" priority="161">
      <formula>$F152="area Manager"</formula>
    </cfRule>
    <cfRule type="expression" dxfId="503" priority="162">
      <formula>$F152="Sales Agent"</formula>
    </cfRule>
    <cfRule type="expression" dxfId="502" priority="163">
      <formula>$F152="Branch Supervisor"</formula>
    </cfRule>
  </conditionalFormatting>
  <conditionalFormatting sqref="E164">
    <cfRule type="expression" dxfId="501" priority="157">
      <formula>$F164="area Manager"</formula>
    </cfRule>
    <cfRule type="expression" dxfId="500" priority="158">
      <formula>$F164="Sales Agent"</formula>
    </cfRule>
    <cfRule type="expression" dxfId="499" priority="160">
      <formula>$F164="Branch Manager"</formula>
    </cfRule>
    <cfRule type="expression" dxfId="498" priority="159">
      <formula>$F164="Branch Supervisor"</formula>
    </cfRule>
  </conditionalFormatting>
  <conditionalFormatting sqref="E172:E173">
    <cfRule type="expression" dxfId="497" priority="156">
      <formula>$F172="Branch Manager"</formula>
    </cfRule>
    <cfRule type="expression" dxfId="496" priority="154">
      <formula>$F172="Sales Agent"</formula>
    </cfRule>
    <cfRule type="expression" dxfId="495" priority="153">
      <formula>$F172="area Manager"</formula>
    </cfRule>
    <cfRule type="expression" dxfId="494" priority="155">
      <formula>$F172="Branch Supervisor"</formula>
    </cfRule>
  </conditionalFormatting>
  <conditionalFormatting sqref="E182">
    <cfRule type="expression" dxfId="493" priority="218">
      <formula>$F182="Sales Agent"</formula>
    </cfRule>
    <cfRule type="expression" dxfId="492" priority="220">
      <formula>$F182="Branch Manager"</formula>
    </cfRule>
    <cfRule type="expression" dxfId="491" priority="219">
      <formula>$F182="Branch Supervisor"</formula>
    </cfRule>
    <cfRule type="expression" dxfId="490" priority="217">
      <formula>$F182="area Manager"</formula>
    </cfRule>
  </conditionalFormatting>
  <conditionalFormatting sqref="E185:E186">
    <cfRule type="expression" dxfId="489" priority="150">
      <formula>$F185="Sales Agent"</formula>
    </cfRule>
    <cfRule type="expression" dxfId="488" priority="151">
      <formula>$F185="Branch Supervisor"</formula>
    </cfRule>
    <cfRule type="expression" dxfId="487" priority="149">
      <formula>$F185="area Manager"</formula>
    </cfRule>
    <cfRule type="expression" dxfId="486" priority="152">
      <formula>$F185="Branch Manager"</formula>
    </cfRule>
  </conditionalFormatting>
  <conditionalFormatting sqref="E197">
    <cfRule type="expression" dxfId="485" priority="148">
      <formula>$F197="Branch Manager"</formula>
    </cfRule>
    <cfRule type="expression" dxfId="484" priority="147">
      <formula>$F197="Branch Supervisor"</formula>
    </cfRule>
    <cfRule type="expression" dxfId="483" priority="145">
      <formula>$F197="area Manager"</formula>
    </cfRule>
    <cfRule type="expression" dxfId="482" priority="146">
      <formula>$F197="Sales Agent"</formula>
    </cfRule>
  </conditionalFormatting>
  <conditionalFormatting sqref="E301">
    <cfRule type="expression" dxfId="481" priority="100">
      <formula>$F301="area Manager"</formula>
    </cfRule>
    <cfRule type="expression" dxfId="480" priority="103">
      <formula>$F301="Branch Manager"</formula>
    </cfRule>
    <cfRule type="expression" dxfId="479" priority="102">
      <formula>$F301="Branch Supervisor"</formula>
    </cfRule>
    <cfRule type="expression" dxfId="478" priority="101">
      <formula>$F301="Sales Agent"</formula>
    </cfRule>
  </conditionalFormatting>
  <conditionalFormatting sqref="E315">
    <cfRule type="expression" dxfId="477" priority="97">
      <formula>$F315="Sales Agent"</formula>
    </cfRule>
    <cfRule type="expression" dxfId="476" priority="98">
      <formula>$F315="Branch Supervisor"</formula>
    </cfRule>
    <cfRule type="expression" dxfId="475" priority="99">
      <formula>$F315="Branch Manager"</formula>
    </cfRule>
    <cfRule type="expression" dxfId="474" priority="96">
      <formula>$F315="area Manager"</formula>
    </cfRule>
  </conditionalFormatting>
  <conditionalFormatting sqref="E316">
    <cfRule type="expression" dxfId="473" priority="36">
      <formula>$E316="area Manager"</formula>
    </cfRule>
    <cfRule type="expression" dxfId="472" priority="37">
      <formula>$E316="Sales Agent"</formula>
    </cfRule>
    <cfRule type="expression" dxfId="471" priority="38">
      <formula>$E316="Branch Supervisor"</formula>
    </cfRule>
    <cfRule type="expression" dxfId="470" priority="39">
      <formula>$E316="Branch Manager"</formula>
    </cfRule>
  </conditionalFormatting>
  <conditionalFormatting sqref="E320:E321">
    <cfRule type="expression" dxfId="469" priority="141">
      <formula>$F320="area Manager"</formula>
    </cfRule>
    <cfRule type="expression" dxfId="468" priority="142">
      <formula>$F320="Sales Agent"</formula>
    </cfRule>
    <cfRule type="expression" dxfId="467" priority="143">
      <formula>$F320="Branch Supervisor"</formula>
    </cfRule>
    <cfRule type="expression" dxfId="466" priority="144">
      <formula>$F320="Branch Manager"</formula>
    </cfRule>
  </conditionalFormatting>
  <conditionalFormatting sqref="E327">
    <cfRule type="expression" dxfId="465" priority="90">
      <formula>$E327="Branch Manager"</formula>
    </cfRule>
    <cfRule type="expression" dxfId="464" priority="93">
      <formula>$F327="Sales Agent"</formula>
    </cfRule>
    <cfRule type="expression" dxfId="463" priority="95">
      <formula>$F327="Branch Manager"</formula>
    </cfRule>
    <cfRule type="expression" dxfId="462" priority="94">
      <formula>$F327="Branch Supervisor"</formula>
    </cfRule>
    <cfRule type="expression" dxfId="461" priority="92">
      <formula>$F327="area Manager"</formula>
    </cfRule>
    <cfRule type="expression" dxfId="460" priority="88">
      <formula>$E327="Sales Agent"</formula>
    </cfRule>
    <cfRule type="expression" dxfId="459" priority="89">
      <formula>$E327="Branch Supervisor"</formula>
    </cfRule>
  </conditionalFormatting>
  <conditionalFormatting sqref="E330">
    <cfRule type="expression" dxfId="458" priority="140">
      <formula>$F330="Branch Manager"</formula>
    </cfRule>
    <cfRule type="expression" dxfId="457" priority="139">
      <formula>$F330="Branch Supervisor"</formula>
    </cfRule>
    <cfRule type="expression" dxfId="456" priority="137">
      <formula>$F330="area Manager"</formula>
    </cfRule>
    <cfRule type="expression" dxfId="455" priority="138">
      <formula>$F330="Sales Agent"</formula>
    </cfRule>
  </conditionalFormatting>
  <conditionalFormatting sqref="E339:E341">
    <cfRule type="expression" dxfId="454" priority="86">
      <formula>$F339="Branch Supervisor"</formula>
    </cfRule>
    <cfRule type="expression" dxfId="453" priority="85">
      <formula>$F339="Sales Agent"</formula>
    </cfRule>
    <cfRule type="expression" dxfId="452" priority="84">
      <formula>$F339="area Manager"</formula>
    </cfRule>
    <cfRule type="expression" dxfId="451" priority="87">
      <formula>$F339="Branch Manager"</formula>
    </cfRule>
  </conditionalFormatting>
  <conditionalFormatting sqref="E341">
    <cfRule type="expression" dxfId="450" priority="82">
      <formula>$E341="Branch Manager"</formula>
    </cfRule>
    <cfRule type="expression" dxfId="449" priority="81">
      <formula>$E341="Branch Supervisor"</formula>
    </cfRule>
    <cfRule type="expression" dxfId="448" priority="80">
      <formula>$E341="Sales Agent"</formula>
    </cfRule>
  </conditionalFormatting>
  <conditionalFormatting sqref="E348">
    <cfRule type="expression" dxfId="447" priority="134">
      <formula>$F348="Sales Agent"</formula>
    </cfRule>
    <cfRule type="expression" dxfId="446" priority="136">
      <formula>$F348="Branch Manager"</formula>
    </cfRule>
    <cfRule type="expression" dxfId="445" priority="133">
      <formula>$F348="area Manager"</formula>
    </cfRule>
    <cfRule type="expression" dxfId="444" priority="135">
      <formula>$F348="Branch Supervisor"</formula>
    </cfRule>
  </conditionalFormatting>
  <conditionalFormatting sqref="E355:E356">
    <cfRule type="expression" dxfId="443" priority="127">
      <formula>$F355="Branch Supervisor"</formula>
    </cfRule>
    <cfRule type="expression" dxfId="442" priority="128">
      <formula>$F355="Branch Manager"</formula>
    </cfRule>
    <cfRule type="expression" dxfId="441" priority="125">
      <formula>$F355="area Manager"</formula>
    </cfRule>
    <cfRule type="expression" dxfId="440" priority="126">
      <formula>$F355="Sales Agent"</formula>
    </cfRule>
  </conditionalFormatting>
  <conditionalFormatting sqref="E359">
    <cfRule type="expression" dxfId="439" priority="72">
      <formula>$E359="Sales Agent"</formula>
    </cfRule>
    <cfRule type="expression" dxfId="438" priority="73">
      <formula>$E359="Branch Supervisor"</formula>
    </cfRule>
    <cfRule type="expression" dxfId="437" priority="74">
      <formula>$E359="Branch Manager"</formula>
    </cfRule>
  </conditionalFormatting>
  <conditionalFormatting sqref="E359:E360">
    <cfRule type="expression" dxfId="436" priority="78">
      <formula>$F359="Branch Supervisor"</formula>
    </cfRule>
    <cfRule type="expression" dxfId="435" priority="79">
      <formula>$F359="Branch Manager"</formula>
    </cfRule>
    <cfRule type="expression" dxfId="434" priority="77">
      <formula>$F359="Sales Agent"</formula>
    </cfRule>
    <cfRule type="expression" dxfId="433" priority="76">
      <formula>$F359="area Manager"</formula>
    </cfRule>
  </conditionalFormatting>
  <conditionalFormatting sqref="E364">
    <cfRule type="expression" dxfId="432" priority="213">
      <formula>$F364="area Manager"</formula>
    </cfRule>
    <cfRule type="expression" dxfId="431" priority="215">
      <formula>$F364="Branch Supervisor"</formula>
    </cfRule>
    <cfRule type="expression" dxfId="430" priority="216">
      <formula>$F364="Branch Manager"</formula>
    </cfRule>
    <cfRule type="expression" dxfId="429" priority="214">
      <formula>$F364="Sales Agent"</formula>
    </cfRule>
  </conditionalFormatting>
  <conditionalFormatting sqref="E368:E369">
    <cfRule type="expression" dxfId="428" priority="121">
      <formula>$E368="area Manager"</formula>
    </cfRule>
    <cfRule type="expression" dxfId="427" priority="122">
      <formula>$E368="Sales Agent"</formula>
    </cfRule>
    <cfRule type="expression" dxfId="426" priority="123">
      <formula>$E368="Branch Supervisor"</formula>
    </cfRule>
    <cfRule type="expression" dxfId="425" priority="124">
      <formula>$E368="Branch Manager"</formula>
    </cfRule>
  </conditionalFormatting>
  <conditionalFormatting sqref="E368:E370">
    <cfRule type="expression" dxfId="424" priority="69">
      <formula>$F368="Sales Agent"</formula>
    </cfRule>
    <cfRule type="expression" dxfId="423" priority="71">
      <formula>$F368="Branch Manager"</formula>
    </cfRule>
    <cfRule type="expression" dxfId="422" priority="70">
      <formula>$F368="Branch Supervisor"</formula>
    </cfRule>
    <cfRule type="expression" dxfId="421" priority="68">
      <formula>$F368="area Manager"</formula>
    </cfRule>
  </conditionalFormatting>
  <conditionalFormatting sqref="E370">
    <cfRule type="expression" dxfId="420" priority="67">
      <formula>$E370="area Manager"</formula>
    </cfRule>
    <cfRule type="expression" dxfId="419" priority="66">
      <formula>$E370="Branch Manager"</formula>
    </cfRule>
    <cfRule type="expression" dxfId="418" priority="64">
      <formula>$E370="Sales Agent"</formula>
    </cfRule>
    <cfRule type="expression" dxfId="417" priority="65">
      <formula>$E370="Branch Supervisor"</formula>
    </cfRule>
  </conditionalFormatting>
  <conditionalFormatting sqref="E376">
    <cfRule type="expression" dxfId="416" priority="118">
      <formula>$F376="Sales Agent"</formula>
    </cfRule>
    <cfRule type="expression" dxfId="415" priority="117">
      <formula>$F376="area Manager"</formula>
    </cfRule>
    <cfRule type="expression" dxfId="414" priority="119">
      <formula>$F376="Branch Supervisor"</formula>
    </cfRule>
    <cfRule type="expression" dxfId="413" priority="120">
      <formula>$F376="Branch Manager"</formula>
    </cfRule>
  </conditionalFormatting>
  <conditionalFormatting sqref="E383:E384">
    <cfRule type="expression" dxfId="412" priority="112">
      <formula>$F383="Branch Manager"</formula>
    </cfRule>
    <cfRule type="expression" dxfId="411" priority="111">
      <formula>$F383="Branch Supervisor"</formula>
    </cfRule>
    <cfRule type="expression" dxfId="410" priority="110">
      <formula>$F383="Sales Agent"</formula>
    </cfRule>
    <cfRule type="expression" dxfId="409" priority="109">
      <formula>$F383="area Manager"</formula>
    </cfRule>
  </conditionalFormatting>
  <conditionalFormatting sqref="E391">
    <cfRule type="expression" dxfId="408" priority="105">
      <formula>$F391="area Manager"</formula>
    </cfRule>
    <cfRule type="expression" dxfId="407" priority="106">
      <formula>$F391="Sales Agent"</formula>
    </cfRule>
    <cfRule type="expression" dxfId="406" priority="107">
      <formula>$F391="Branch Supervisor"</formula>
    </cfRule>
    <cfRule type="expression" dxfId="405" priority="108">
      <formula>$F391="Branch Manager"</formula>
    </cfRule>
  </conditionalFormatting>
  <conditionalFormatting sqref="E393">
    <cfRule type="expression" dxfId="404" priority="58">
      <formula>$E393="Branch Manager"</formula>
    </cfRule>
    <cfRule type="expression" dxfId="403" priority="60">
      <formula>$F393="area Manager"</formula>
    </cfRule>
    <cfRule type="expression" dxfId="402" priority="63">
      <formula>$F393="Branch Manager"</formula>
    </cfRule>
    <cfRule type="expression" dxfId="401" priority="62">
      <formula>$F393="Branch Supervisor"</formula>
    </cfRule>
    <cfRule type="expression" dxfId="400" priority="61">
      <formula>$F393="Sales Agent"</formula>
    </cfRule>
    <cfRule type="expression" dxfId="399" priority="57">
      <formula>$E393="Branch Supervisor"</formula>
    </cfRule>
    <cfRule type="expression" dxfId="398" priority="56">
      <formula>$E393="Sales Agent"</formula>
    </cfRule>
  </conditionalFormatting>
  <conditionalFormatting sqref="F3">
    <cfRule type="expression" dxfId="397" priority="436">
      <formula>$F3="Sales Agent"</formula>
    </cfRule>
    <cfRule type="expression" dxfId="396" priority="437">
      <formula>$F3="Branch Supervisor"</formula>
    </cfRule>
    <cfRule type="expression" dxfId="395" priority="435">
      <formula>$F3="area Manager"</formula>
    </cfRule>
    <cfRule type="expression" dxfId="394" priority="438">
      <formula>$F3="Branch Manager"</formula>
    </cfRule>
  </conditionalFormatting>
  <conditionalFormatting sqref="F158">
    <cfRule type="expression" dxfId="393" priority="17">
      <formula>$F158="area Manager"</formula>
    </cfRule>
    <cfRule type="expression" dxfId="392" priority="18">
      <formula>$F158="Sales Agent"</formula>
    </cfRule>
    <cfRule type="expression" dxfId="391" priority="19">
      <formula>$F158="Branch Supervisor"</formula>
    </cfRule>
    <cfRule type="expression" dxfId="390" priority="20">
      <formula>$F158="Branch Manager"</formula>
    </cfRule>
  </conditionalFormatting>
  <conditionalFormatting sqref="F319">
    <cfRule type="expression" dxfId="389" priority="386">
      <formula>$F319="Branch Manager"</formula>
    </cfRule>
    <cfRule type="expression" dxfId="388" priority="385">
      <formula>$F319="Branch Supervisor"</formula>
    </cfRule>
    <cfRule type="expression" dxfId="387" priority="384">
      <formula>$F319="Sales Agent"</formula>
    </cfRule>
    <cfRule type="expression" dxfId="386" priority="383">
      <formula>$F319="area Manager"</formula>
    </cfRule>
  </conditionalFormatting>
  <conditionalFormatting sqref="G164:O164">
    <cfRule type="expression" dxfId="385" priority="481">
      <formula>$E164="area Manager"</formula>
    </cfRule>
  </conditionalFormatting>
  <conditionalFormatting sqref="G185:O185">
    <cfRule type="expression" dxfId="384" priority="486">
      <formula>$E185="Sales Agent"</formula>
    </cfRule>
    <cfRule type="expression" dxfId="383" priority="485">
      <formula>$E185="area Manager"</formula>
    </cfRule>
    <cfRule type="expression" dxfId="382" priority="488">
      <formula>$E185="Branch Manager"</formula>
    </cfRule>
    <cfRule type="expression" dxfId="381" priority="487">
      <formula>$E185="Branch Supervisor"</formula>
    </cfRule>
  </conditionalFormatting>
  <conditionalFormatting sqref="G198:O198">
    <cfRule type="expression" dxfId="380" priority="479">
      <formula>$E198="Branch Supervisor"</formula>
    </cfRule>
    <cfRule type="expression" dxfId="379" priority="480">
      <formula>$E198="Branch Manager"</formula>
    </cfRule>
    <cfRule type="expression" dxfId="378" priority="477">
      <formula>$E198="area Manager"</formula>
    </cfRule>
    <cfRule type="expression" dxfId="377" priority="478">
      <formula>$E198="Sales Agent"</formula>
    </cfRule>
  </conditionalFormatting>
  <conditionalFormatting sqref="G204:O299 T204:T299 AL204:AL299 AO204:AO299 AR204:AR299 B214 AI248">
    <cfRule type="expression" dxfId="376" priority="464">
      <formula>$F204="Branch Manager"</formula>
    </cfRule>
    <cfRule type="expression" dxfId="375" priority="463">
      <formula>$F204="Branch Supervisor"</formula>
    </cfRule>
    <cfRule type="expression" dxfId="374" priority="462">
      <formula>$F204="Sales Agent"</formula>
    </cfRule>
  </conditionalFormatting>
  <conditionalFormatting sqref="G300:O318">
    <cfRule type="expression" dxfId="373" priority="553">
      <formula>$F300="Branch Manager"</formula>
    </cfRule>
    <cfRule type="expression" dxfId="372" priority="552">
      <formula>$F300="Branch Supervisor"</formula>
    </cfRule>
    <cfRule type="expression" dxfId="371" priority="551">
      <formula>$F300="Sales Agent"</formula>
    </cfRule>
  </conditionalFormatting>
  <conditionalFormatting sqref="G320:O378">
    <cfRule type="expression" dxfId="370" priority="459">
      <formula>$F320="Branch Manager"</formula>
    </cfRule>
    <cfRule type="expression" dxfId="369" priority="458">
      <formula>$F320="Branch Supervisor"</formula>
    </cfRule>
    <cfRule type="expression" dxfId="368" priority="457">
      <formula>$F320="Sales Agent"</formula>
    </cfRule>
    <cfRule type="expression" dxfId="367" priority="456">
      <formula>$F320="area Manager"</formula>
    </cfRule>
  </conditionalFormatting>
  <conditionalFormatting sqref="G158:P158">
    <cfRule type="expression" dxfId="366" priority="16">
      <formula>$E158="area Manager"</formula>
    </cfRule>
  </conditionalFormatting>
  <conditionalFormatting sqref="I121:O123">
    <cfRule type="expression" dxfId="365" priority="452">
      <formula>$E121="area Manager"</formula>
    </cfRule>
    <cfRule type="expression" dxfId="364" priority="453">
      <formula>$E121="Sales Agent"</formula>
    </cfRule>
    <cfRule type="expression" dxfId="363" priority="454">
      <formula>$E121="Branch Supervisor"</formula>
    </cfRule>
    <cfRule type="expression" dxfId="362" priority="455">
      <formula>$E121="Branch Manager"</formula>
    </cfRule>
  </conditionalFormatting>
  <conditionalFormatting sqref="I134:O135">
    <cfRule type="expression" dxfId="361" priority="449">
      <formula>$E134="Sales Agent"</formula>
    </cfRule>
    <cfRule type="expression" dxfId="360" priority="450">
      <formula>$E134="Branch Supervisor"</formula>
    </cfRule>
    <cfRule type="expression" dxfId="359" priority="448">
      <formula>$E134="area Manager"</formula>
    </cfRule>
    <cfRule type="expression" dxfId="358" priority="451">
      <formula>$E134="Branch Manager"</formula>
    </cfRule>
  </conditionalFormatting>
  <conditionalFormatting sqref="I173:O174">
    <cfRule type="expression" dxfId="357" priority="447">
      <formula>$E173="Branch Manager"</formula>
    </cfRule>
    <cfRule type="expression" dxfId="356" priority="444">
      <formula>$E173="area Manager"</formula>
    </cfRule>
    <cfRule type="expression" dxfId="355" priority="445">
      <formula>$E173="Sales Agent"</formula>
    </cfRule>
    <cfRule type="expression" dxfId="354" priority="446">
      <formula>$E173="Branch Supervisor"</formula>
    </cfRule>
  </conditionalFormatting>
  <conditionalFormatting sqref="M379">
    <cfRule type="expression" dxfId="353" priority="489">
      <formula>$E379="area Manager"</formula>
    </cfRule>
    <cfRule type="expression" dxfId="352" priority="491">
      <formula>$E379="Branch Supervisor"</formula>
    </cfRule>
    <cfRule type="expression" dxfId="351" priority="492">
      <formula>$E379="Branch Manager"</formula>
    </cfRule>
    <cfRule type="expression" dxfId="350" priority="490">
      <formula>$E379="Sales Agent"</formula>
    </cfRule>
  </conditionalFormatting>
  <conditionalFormatting sqref="M380">
    <cfRule type="expression" dxfId="349" priority="502">
      <formula>$E380="Sales Agent"</formula>
    </cfRule>
    <cfRule type="expression" dxfId="348" priority="498">
      <formula>$F380="Sales Agent"</formula>
    </cfRule>
    <cfRule type="expression" dxfId="347" priority="499">
      <formula>$F380="Branch Supervisor"</formula>
    </cfRule>
    <cfRule type="expression" dxfId="346" priority="500">
      <formula>$F380="Branch Manager"</formula>
    </cfRule>
    <cfRule type="expression" dxfId="345" priority="501">
      <formula>$E380="area Manager"</formula>
    </cfRule>
    <cfRule type="expression" dxfId="344" priority="504">
      <formula>$E380="Branch Manager"</formula>
    </cfRule>
    <cfRule type="expression" dxfId="343" priority="503">
      <formula>$E380="Branch Supervisor"</formula>
    </cfRule>
    <cfRule type="expression" dxfId="342" priority="497">
      <formula>$F380="area Manager"</formula>
    </cfRule>
    <cfRule type="expression" dxfId="341" priority="495">
      <formula>$F380="Branch Supervisor"</formula>
    </cfRule>
    <cfRule type="expression" dxfId="340" priority="494">
      <formula>$F380="Sales Agent"</formula>
    </cfRule>
    <cfRule type="expression" dxfId="339" priority="493">
      <formula>$F380="area Manager"</formula>
    </cfRule>
    <cfRule type="expression" dxfId="338" priority="496">
      <formula>$F380="Branch Manager"</formula>
    </cfRule>
  </conditionalFormatting>
  <conditionalFormatting sqref="P4:P157 V4:V157 AN4:AN157 AQ4:AQ157 AB4:AB158 AE4:AE158 AH4:AI158 AT4:AT158 AW4:AW158 AK4:AK394 G158:P158 T158 V158:W158 AL158 AN158:AO158 AQ158:AR158 AI159:AI247 AI249:AI314 AI316:AI355 A381:O392">
    <cfRule type="expression" dxfId="337" priority="116">
      <formula>$E4="Branch Manager"</formula>
    </cfRule>
  </conditionalFormatting>
  <conditionalFormatting sqref="P4:P157 AH4:AI158 AK4:AK394 G158:P158 AI159:AI247 AI249:AI314 AI316:AI355 A381:O392 AN4:AN157 AQ4:AQ157 AB4:AB158 AE4:AE158 AT4:AT158 AW4:AW158 AL158 AN158:AO158 AQ158:AR158 V4:V157 T158 V158:W158">
    <cfRule type="expression" dxfId="336" priority="115">
      <formula>$E4="Branch Supervisor"</formula>
    </cfRule>
  </conditionalFormatting>
  <conditionalFormatting sqref="Q4:X448">
    <cfRule type="expression" dxfId="335" priority="15">
      <formula>$E4="area Manager"</formula>
    </cfRule>
  </conditionalFormatting>
  <conditionalFormatting sqref="T4:T157 W4:W157 AL4:AL157 AO4:AO157 AR4:AR157 A164:F164 A172:O172 A185:F185 G319:O319 AI356:AI394 A394:O394">
    <cfRule type="expression" dxfId="334" priority="533">
      <formula>$E4="Branch Manager"</formula>
    </cfRule>
  </conditionalFormatting>
  <conditionalFormatting sqref="T300:T318 AL300:AL318 AO300:AO318 AR300:AR318 A313:C315 AI315">
    <cfRule type="expression" dxfId="333" priority="537">
      <formula>$F300="Branch Supervisor"</formula>
    </cfRule>
    <cfRule type="expression" dxfId="332" priority="538">
      <formula>$F300="Branch Manager"</formula>
    </cfRule>
  </conditionalFormatting>
  <conditionalFormatting sqref="T300:T318 AL300:AL318 AO300:AO318 AR300:AR318 AI315 A313:C315">
    <cfRule type="expression" dxfId="331" priority="536">
      <formula>$F300="Sales Agent"</formula>
    </cfRule>
  </conditionalFormatting>
  <conditionalFormatting sqref="T319 AL319 AO319 AR319 G319:O319">
    <cfRule type="expression" dxfId="330" priority="439">
      <formula>AND($A319=$B319,NOT(ISBLANK($B319)))</formula>
    </cfRule>
  </conditionalFormatting>
  <conditionalFormatting sqref="AA4:AA448">
    <cfRule type="expression" dxfId="329" priority="14">
      <formula>$E4="area Manager"</formula>
    </cfRule>
  </conditionalFormatting>
  <conditionalFormatting sqref="AD4:AD448">
    <cfRule type="expression" dxfId="328" priority="13">
      <formula>$E4="area Manager"</formula>
    </cfRule>
  </conditionalFormatting>
  <conditionalFormatting sqref="AG4:AG448">
    <cfRule type="expression" dxfId="327" priority="12">
      <formula>$E4="area Manager"</formula>
    </cfRule>
  </conditionalFormatting>
  <conditionalFormatting sqref="AI4:AI38 AQ4:AQ157 AI40:AI69 AI71:AI129 AI131:AI157 T158 AH158:AI158 AK158:AL158 AN158:AO158 AQ158:AR158 AI159:AI247 AI249:AI314 AI316:AI355 AH4:AH157 AN4:AN157 P4:P157 AK4:AK157 G158:P158">
    <cfRule type="expression" dxfId="326" priority="568">
      <formula>AND($A4=$B4,NOT(ISBLANK($B4)))</formula>
    </cfRule>
  </conditionalFormatting>
  <conditionalFormatting sqref="AJ4:AJ448">
    <cfRule type="expression" dxfId="325" priority="11">
      <formula>$E4="area Manager"</formula>
    </cfRule>
  </conditionalFormatting>
  <conditionalFormatting sqref="AM4:AM448">
    <cfRule type="expression" dxfId="324" priority="10">
      <formula>$E4="area Manager"</formula>
    </cfRule>
  </conditionalFormatting>
  <conditionalFormatting sqref="AP4:AP448">
    <cfRule type="expression" dxfId="323" priority="9">
      <formula>$E4="area Manager"</formula>
    </cfRule>
  </conditionalFormatting>
  <conditionalFormatting sqref="AP3:AS448 Q4:T448 AI4:AI448 AL4:AL448 AO4:AO448 A121:H123 A124:O125 A130:O131 A134:H135 A136:O137 A141:O141 A146:O147 A149:O149 A154:O156 A159:O159 AN159:AO448 A166:O168 A173:H174 A175:O175 A180:O180 A187:O188 A193:O194 A198:F198 A202:O203 A320:O326 A327:D327 F327:O327 A328:O340 A341:D341 F341:O341 A342:O354 F355:O356 A357:O358 A359:D359 F359:O359 A360:O367 A368:D370 F368:O370 A371:O378 A379:L380 N379:O380 A393:D393 F393:O393 G3:T3 V3:W3 AB3:AC3 AE3:AF3 AH3:AI3 AK3:AL3 AN3:AO3 AT3:AU3 AW3:AX3 U3:U448 X3:AA448 AD3:AD448 AG3:AG448 AJ3:AJ448 AM3:AM448 AV3:AV448 W4:W448 AC4:AC448 AF4:AF448 AU4:AU448 AX4:AX448 P159:P448 V159:W448 AB159:AB448 AE159:AE448 AH159:AH448 AT159:AT448 AW159:AW448 AK395:AK448 A396:O448">
    <cfRule type="expression" dxfId="322" priority="523">
      <formula>$E3="Branch Manager"</formula>
    </cfRule>
  </conditionalFormatting>
  <conditionalFormatting sqref="AP3:AY448 AI4:AI448 A121:B125 A320:B448 Q4:T448 AL4:AL448 AO4:AO448 G3:T3 V3:W3 AH3:AI3 AK3:AL3 AN3:AO3 U3:U448 X3:AG448 AJ3:AJ448 AM3:AM448 W4:W448 P159:P448 V159:W448 AH159:AH448 AK159:AK448 AN159:AN448">
    <cfRule type="expression" dxfId="321" priority="518">
      <formula>AND($A3=$B3,NOT(ISBLANK($B3)))</formula>
    </cfRule>
  </conditionalFormatting>
  <conditionalFormatting sqref="AR121:AR125">
    <cfRule type="expression" dxfId="320" priority="342">
      <formula>$E121="Branch Manager"</formula>
    </cfRule>
    <cfRule type="expression" dxfId="319" priority="339">
      <formula>$E121="area Manager"</formula>
    </cfRule>
    <cfRule type="expression" dxfId="318" priority="340">
      <formula>$E121="Sales Agent"</formula>
    </cfRule>
    <cfRule type="expression" dxfId="317" priority="341">
      <formula>$E121="Branch Supervisor"</formula>
    </cfRule>
  </conditionalFormatting>
  <conditionalFormatting sqref="AR130:AR131">
    <cfRule type="expression" dxfId="316" priority="336">
      <formula>$E130="Sales Agent"</formula>
    </cfRule>
    <cfRule type="expression" dxfId="315" priority="337">
      <formula>$E130="Branch Supervisor"</formula>
    </cfRule>
    <cfRule type="expression" dxfId="314" priority="338">
      <formula>$E130="Branch Manager"</formula>
    </cfRule>
    <cfRule type="expression" dxfId="313" priority="335">
      <formula>$E130="area Manager"</formula>
    </cfRule>
  </conditionalFormatting>
  <conditionalFormatting sqref="AR134:AR137">
    <cfRule type="expression" dxfId="312" priority="332">
      <formula>$E134="Sales Agent"</formula>
    </cfRule>
    <cfRule type="expression" dxfId="311" priority="333">
      <formula>$E134="Branch Supervisor"</formula>
    </cfRule>
    <cfRule type="expression" dxfId="310" priority="334">
      <formula>$E134="Branch Manager"</formula>
    </cfRule>
    <cfRule type="expression" dxfId="309" priority="331">
      <formula>$E134="area Manager"</formula>
    </cfRule>
  </conditionalFormatting>
  <conditionalFormatting sqref="AR146:AR147">
    <cfRule type="expression" dxfId="308" priority="327">
      <formula>$E146="area Manager"</formula>
    </cfRule>
    <cfRule type="expression" dxfId="307" priority="328">
      <formula>$E146="Sales Agent"</formula>
    </cfRule>
    <cfRule type="expression" dxfId="306" priority="329">
      <formula>$E146="Branch Supervisor"</formula>
    </cfRule>
    <cfRule type="expression" dxfId="305" priority="330">
      <formula>$E146="Branch Manager"</formula>
    </cfRule>
  </conditionalFormatting>
  <conditionalFormatting sqref="AR154:AR156">
    <cfRule type="expression" dxfId="304" priority="323">
      <formula>$E154="area Manager"</formula>
    </cfRule>
    <cfRule type="expression" dxfId="303" priority="324">
      <formula>$E154="Sales Agent"</formula>
    </cfRule>
    <cfRule type="expression" dxfId="302" priority="325">
      <formula>$E154="Branch Supervisor"</formula>
    </cfRule>
    <cfRule type="expression" dxfId="301" priority="326">
      <formula>$E154="Branch Manager"</formula>
    </cfRule>
  </conditionalFormatting>
  <conditionalFormatting sqref="AR166:AR168">
    <cfRule type="expression" dxfId="300" priority="321">
      <formula>$E166="Branch Supervisor"</formula>
    </cfRule>
    <cfRule type="expression" dxfId="299" priority="320">
      <formula>$E166="Sales Agent"</formula>
    </cfRule>
    <cfRule type="expression" dxfId="298" priority="319">
      <formula>$E166="area Manager"</formula>
    </cfRule>
    <cfRule type="expression" dxfId="297" priority="322">
      <formula>$E166="Branch Manager"</formula>
    </cfRule>
  </conditionalFormatting>
  <conditionalFormatting sqref="AR172:AR175">
    <cfRule type="expression" dxfId="296" priority="318">
      <formula>$E172="Branch Manager"</formula>
    </cfRule>
    <cfRule type="expression" dxfId="295" priority="317">
      <formula>$E172="Branch Supervisor"</formula>
    </cfRule>
    <cfRule type="expression" dxfId="294" priority="316">
      <formula>$E172="Sales Agent"</formula>
    </cfRule>
    <cfRule type="expression" dxfId="293" priority="315">
      <formula>$E172="area Manager"</formula>
    </cfRule>
  </conditionalFormatting>
  <conditionalFormatting sqref="AR187:AR188">
    <cfRule type="expression" dxfId="292" priority="311">
      <formula>$E187="area Manager"</formula>
    </cfRule>
    <cfRule type="expression" dxfId="291" priority="313">
      <formula>$E187="Branch Supervisor"</formula>
    </cfRule>
    <cfRule type="expression" dxfId="290" priority="312">
      <formula>$E187="Sales Agent"</formula>
    </cfRule>
    <cfRule type="expression" dxfId="289" priority="314">
      <formula>$E187="Branch Manager"</formula>
    </cfRule>
  </conditionalFormatting>
  <conditionalFormatting sqref="AR193:AR194">
    <cfRule type="expression" dxfId="288" priority="310">
      <formula>$E193="Branch Manager"</formula>
    </cfRule>
    <cfRule type="expression" dxfId="287" priority="308">
      <formula>$E193="Sales Agent"</formula>
    </cfRule>
    <cfRule type="expression" dxfId="286" priority="309">
      <formula>$E193="Branch Supervisor"</formula>
    </cfRule>
    <cfRule type="expression" dxfId="285" priority="307">
      <formula>$E193="area Manager"</formula>
    </cfRule>
  </conditionalFormatting>
  <conditionalFormatting sqref="AR202:AR203">
    <cfRule type="expression" dxfId="284" priority="304">
      <formula>$E202="Sales Agent"</formula>
    </cfRule>
    <cfRule type="expression" dxfId="283" priority="306">
      <formula>$E202="Branch Manager"</formula>
    </cfRule>
    <cfRule type="expression" dxfId="282" priority="303">
      <formula>$E202="area Manager"</formula>
    </cfRule>
    <cfRule type="expression" dxfId="281" priority="305">
      <formula>$E202="Branch Supervisor"</formula>
    </cfRule>
  </conditionalFormatting>
  <conditionalFormatting sqref="AS4:AS448">
    <cfRule type="expression" dxfId="280" priority="8">
      <formula>$E4="area Manager"</formula>
    </cfRule>
  </conditionalFormatting>
  <conditionalFormatting sqref="AV4:AV448">
    <cfRule type="expression" dxfId="279" priority="7">
      <formula>$E4="area Manager"</formula>
    </cfRule>
  </conditionalFormatting>
  <conditionalFormatting sqref="AY4:AY448">
    <cfRule type="expression" dxfId="278" priority="6">
      <formula>$E4="area Manager"</formula>
    </cfRule>
  </conditionalFormatting>
  <conditionalFormatting sqref="AZ3:BB448 A117:B117">
    <cfRule type="expression" dxfId="277" priority="104">
      <formula>AND($A3=$B3,NOT(ISBLANK($B3)))</formula>
    </cfRule>
  </conditionalFormatting>
  <conditionalFormatting sqref="BB4:BB448">
    <cfRule type="expression" dxfId="276" priority="2">
      <formula>$E4="area Manager"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59A53-2D89-4209-A6C9-A185C71E4BE8}">
  <sheetPr>
    <tabColor rgb="FFFFFF00"/>
  </sheetPr>
  <dimension ref="A1:W1605"/>
  <sheetViews>
    <sheetView workbookViewId="0">
      <selection activeCell="I10" sqref="A1:W449"/>
    </sheetView>
  </sheetViews>
  <sheetFormatPr defaultRowHeight="15" x14ac:dyDescent="0.25"/>
  <cols>
    <col min="1" max="1" width="13.5703125" style="34" bestFit="1" customWidth="1"/>
    <col min="2" max="2" width="29.140625" style="34" bestFit="1" customWidth="1"/>
    <col min="3" max="3" width="17.140625" style="34" customWidth="1"/>
    <col min="4" max="4" width="16.85546875" style="34" customWidth="1"/>
    <col min="5" max="5" width="9.42578125" style="34" bestFit="1" customWidth="1"/>
    <col min="6" max="6" width="13.42578125" style="34" bestFit="1" customWidth="1"/>
    <col min="7" max="7" width="15.42578125" style="34" bestFit="1" customWidth="1"/>
    <col min="8" max="8" width="9.42578125" style="34" bestFit="1" customWidth="1"/>
    <col min="9" max="9" width="24.42578125" style="34" bestFit="1" customWidth="1"/>
    <col min="10" max="10" width="10.5703125" style="34" bestFit="1" customWidth="1"/>
    <col min="11" max="11" width="14" style="2" bestFit="1" customWidth="1"/>
    <col min="12" max="12" width="18.42578125" style="2" bestFit="1" customWidth="1"/>
    <col min="13" max="13" width="21" style="2" bestFit="1" customWidth="1"/>
    <col min="14" max="14" width="7.85546875" style="2" customWidth="1"/>
    <col min="15" max="15" width="9.42578125" style="2" bestFit="1" customWidth="1"/>
    <col min="16" max="16" width="7.5703125" style="2" bestFit="1" customWidth="1"/>
    <col min="17" max="17" width="16.140625" style="2" bestFit="1" customWidth="1"/>
    <col min="18" max="18" width="14.140625" style="2" bestFit="1" customWidth="1"/>
    <col min="19" max="19" width="14.42578125" style="2" bestFit="1" customWidth="1"/>
    <col min="20" max="20" width="11.140625" style="2" bestFit="1" customWidth="1"/>
    <col min="21" max="22" width="13" style="2" bestFit="1" customWidth="1"/>
    <col min="23" max="23" width="30.42578125" style="2" bestFit="1" customWidth="1"/>
  </cols>
  <sheetData>
    <row r="1" spans="1:23" x14ac:dyDescent="0.25">
      <c r="A1" s="24" t="s">
        <v>11</v>
      </c>
      <c r="B1" s="25" t="s">
        <v>12</v>
      </c>
      <c r="C1" s="25" t="s">
        <v>13</v>
      </c>
      <c r="D1" s="25" t="s">
        <v>14</v>
      </c>
      <c r="E1" s="25" t="s">
        <v>15</v>
      </c>
      <c r="F1" s="25" t="s">
        <v>16</v>
      </c>
      <c r="G1" s="25" t="s">
        <v>17</v>
      </c>
      <c r="H1" s="25" t="s">
        <v>18</v>
      </c>
      <c r="I1" s="25" t="s">
        <v>19</v>
      </c>
      <c r="J1" s="25" t="s">
        <v>20</v>
      </c>
      <c r="K1" s="105" t="s">
        <v>462</v>
      </c>
      <c r="L1" s="107" t="s">
        <v>463</v>
      </c>
      <c r="M1" s="106" t="s">
        <v>1216</v>
      </c>
      <c r="N1" s="106" t="s">
        <v>464</v>
      </c>
      <c r="O1" s="107" t="s">
        <v>465</v>
      </c>
      <c r="P1" s="106" t="s">
        <v>466</v>
      </c>
      <c r="Q1" s="107" t="s">
        <v>467</v>
      </c>
      <c r="R1" s="106" t="s">
        <v>468</v>
      </c>
      <c r="S1" s="107" t="s">
        <v>469</v>
      </c>
      <c r="T1" s="106" t="s">
        <v>470</v>
      </c>
      <c r="U1" s="107" t="s">
        <v>471</v>
      </c>
      <c r="V1" s="107" t="s">
        <v>487</v>
      </c>
      <c r="W1" s="107" t="s">
        <v>1174</v>
      </c>
    </row>
    <row r="2" spans="1:23" x14ac:dyDescent="0.25">
      <c r="A2" s="6">
        <v>1065738914</v>
      </c>
      <c r="B2" s="6" t="s">
        <v>824</v>
      </c>
      <c r="C2" s="6" t="s">
        <v>1201</v>
      </c>
      <c r="D2" s="6" t="s">
        <v>1201</v>
      </c>
      <c r="E2" s="6">
        <v>0</v>
      </c>
      <c r="F2" s="6">
        <v>0</v>
      </c>
      <c r="G2" s="6" t="s">
        <v>1218</v>
      </c>
      <c r="H2" s="6" t="s">
        <v>313</v>
      </c>
      <c r="I2" s="5" t="s">
        <v>538</v>
      </c>
      <c r="J2" s="6" t="s">
        <v>539</v>
      </c>
      <c r="K2" s="80">
        <f>VLOOKUP(A:A,'staff sales'!C:Q,15,)</f>
        <v>0</v>
      </c>
      <c r="L2" s="81">
        <f>VLOOKUP(A:A,'staff sales'!C:T,18,)</f>
        <v>0</v>
      </c>
      <c r="M2" s="81">
        <f>VLOOKUP(A:A,'staff sales'!C:W,21,)</f>
        <v>0</v>
      </c>
      <c r="N2" s="81">
        <f>VLOOKUP(A:A,'staff sales'!C:Z,24,)</f>
        <v>0</v>
      </c>
      <c r="O2" s="81">
        <f>VLOOKUP(A:A,'staff sales'!C:AC,27,)</f>
        <v>0</v>
      </c>
      <c r="P2" s="81">
        <f>VLOOKUP(A:A,'staff sales'!C:AF,30,)</f>
        <v>0</v>
      </c>
      <c r="Q2" s="81">
        <f>VLOOKUP(A:A,'staff sales'!C:AI,33,)</f>
        <v>0</v>
      </c>
      <c r="R2" s="81">
        <f>VLOOKUP(A:A,'staff sales'!C:AL,36,)</f>
        <v>0</v>
      </c>
      <c r="S2" s="81">
        <f>VLOOKUP(A:A,'staff sales'!C:AO,39,)</f>
        <v>0</v>
      </c>
      <c r="T2" s="81">
        <f>VLOOKUP(A:A,'staff sales'!C:AR,42,)</f>
        <v>0</v>
      </c>
      <c r="U2" s="81">
        <f>VLOOKUP(A:A,'staff sales'!C:AU,45,)</f>
        <v>0</v>
      </c>
      <c r="V2" s="81">
        <f>VLOOKUP(A:A,'staff sales'!C:AX,48,)</f>
        <v>0</v>
      </c>
      <c r="W2" s="81">
        <f>VLOOKUP(A:A,'staff sales'!C:BA,51,)</f>
        <v>0</v>
      </c>
    </row>
    <row r="3" spans="1:23" x14ac:dyDescent="0.25">
      <c r="A3" s="6">
        <v>1025872167</v>
      </c>
      <c r="B3" s="6" t="s">
        <v>875</v>
      </c>
      <c r="C3" s="6" t="s">
        <v>541</v>
      </c>
      <c r="D3" s="6" t="s">
        <v>541</v>
      </c>
      <c r="E3" s="6" t="s">
        <v>534</v>
      </c>
      <c r="F3" s="6" t="s">
        <v>534</v>
      </c>
      <c r="G3" s="6" t="s">
        <v>1218</v>
      </c>
      <c r="H3" s="6" t="s">
        <v>313</v>
      </c>
      <c r="I3" s="5" t="s">
        <v>314</v>
      </c>
      <c r="J3" s="6">
        <v>73008</v>
      </c>
      <c r="K3" s="80">
        <f>VLOOKUP(A:A,'staff sales'!C:Q,15,)</f>
        <v>0</v>
      </c>
      <c r="L3" s="81">
        <f>VLOOKUP(A:A,'staff sales'!C:T,18,)</f>
        <v>0</v>
      </c>
      <c r="M3" s="81">
        <f>VLOOKUP(A:A,'staff sales'!C:W,21,)</f>
        <v>0</v>
      </c>
      <c r="N3" s="81">
        <f>VLOOKUP(A:A,'staff sales'!C:Z,24,)</f>
        <v>0</v>
      </c>
      <c r="O3" s="81">
        <f>VLOOKUP(A:A,'staff sales'!C:AC,27,)</f>
        <v>1</v>
      </c>
      <c r="P3" s="81">
        <f>VLOOKUP(A:A,'staff sales'!C:AF,30,)</f>
        <v>0</v>
      </c>
      <c r="Q3" s="81">
        <f>VLOOKUP(A:A,'staff sales'!C:AI,33,)</f>
        <v>0</v>
      </c>
      <c r="R3" s="81">
        <f>VLOOKUP(A:A,'staff sales'!C:AL,36,)</f>
        <v>0</v>
      </c>
      <c r="S3" s="81">
        <f>VLOOKUP(A:A,'staff sales'!C:AO,39,)</f>
        <v>0</v>
      </c>
      <c r="T3" s="81">
        <f>VLOOKUP(A:A,'staff sales'!C:AR,42,)</f>
        <v>0</v>
      </c>
      <c r="U3" s="81">
        <f>VLOOKUP(A:A,'staff sales'!C:AU,45,)</f>
        <v>0</v>
      </c>
      <c r="V3" s="81">
        <f>VLOOKUP(A:A,'staff sales'!C:AX,48,)</f>
        <v>0</v>
      </c>
      <c r="W3" s="81">
        <f>VLOOKUP(A:A,'staff sales'!C:BA,51,)</f>
        <v>0</v>
      </c>
    </row>
    <row r="4" spans="1:23" x14ac:dyDescent="0.25">
      <c r="A4" s="5">
        <v>1025891985</v>
      </c>
      <c r="B4" s="5" t="s">
        <v>861</v>
      </c>
      <c r="C4" s="5" t="s">
        <v>544</v>
      </c>
      <c r="D4" s="5" t="s">
        <v>544</v>
      </c>
      <c r="E4" s="5" t="s">
        <v>452</v>
      </c>
      <c r="F4" s="5" t="s">
        <v>453</v>
      </c>
      <c r="G4" s="5" t="s">
        <v>1218</v>
      </c>
      <c r="H4" s="5" t="s">
        <v>313</v>
      </c>
      <c r="I4" s="5" t="s">
        <v>314</v>
      </c>
      <c r="J4" s="5">
        <v>73008</v>
      </c>
      <c r="K4" s="80">
        <f>VLOOKUP(A:A,'staff sales'!C:Q,15,)</f>
        <v>0</v>
      </c>
      <c r="L4" s="81">
        <f>VLOOKUP(A:A,'staff sales'!C:T,18,)</f>
        <v>0</v>
      </c>
      <c r="M4" s="81">
        <f>VLOOKUP(A:A,'staff sales'!C:W,21,)</f>
        <v>0</v>
      </c>
      <c r="N4" s="81">
        <f>VLOOKUP(A:A,'staff sales'!C:Z,24,)</f>
        <v>0</v>
      </c>
      <c r="O4" s="81">
        <f>VLOOKUP(A:A,'staff sales'!C:AC,27,)</f>
        <v>0</v>
      </c>
      <c r="P4" s="81">
        <f>VLOOKUP(A:A,'staff sales'!C:AF,30,)</f>
        <v>0</v>
      </c>
      <c r="Q4" s="81">
        <f>VLOOKUP(A:A,'staff sales'!C:AI,33,)</f>
        <v>0</v>
      </c>
      <c r="R4" s="81">
        <f>VLOOKUP(A:A,'staff sales'!C:AL,36,)</f>
        <v>0</v>
      </c>
      <c r="S4" s="81">
        <f>VLOOKUP(A:A,'staff sales'!C:AO,39,)</f>
        <v>1</v>
      </c>
      <c r="T4" s="81">
        <f>VLOOKUP(A:A,'staff sales'!C:AR,42,)</f>
        <v>0</v>
      </c>
      <c r="U4" s="81">
        <f>VLOOKUP(A:A,'staff sales'!C:AU,45,)</f>
        <v>0</v>
      </c>
      <c r="V4" s="81">
        <f>VLOOKUP(A:A,'staff sales'!C:AX,48,)</f>
        <v>0</v>
      </c>
      <c r="W4" s="81">
        <f>VLOOKUP(A:A,'staff sales'!C:BA,51,)</f>
        <v>0</v>
      </c>
    </row>
    <row r="5" spans="1:23" x14ac:dyDescent="0.25">
      <c r="A5" s="5">
        <v>1003976691</v>
      </c>
      <c r="B5" s="5" t="s">
        <v>826</v>
      </c>
      <c r="C5" s="5" t="s">
        <v>546</v>
      </c>
      <c r="D5" s="5" t="s">
        <v>546</v>
      </c>
      <c r="E5" s="5" t="s">
        <v>317</v>
      </c>
      <c r="F5" s="5" t="s">
        <v>317</v>
      </c>
      <c r="G5" s="5" t="s">
        <v>1218</v>
      </c>
      <c r="H5" s="5" t="s">
        <v>313</v>
      </c>
      <c r="I5" s="5" t="s">
        <v>314</v>
      </c>
      <c r="J5" s="5">
        <v>73008</v>
      </c>
      <c r="K5" s="80">
        <f>VLOOKUP(A:A,'staff sales'!C:Q,15,)</f>
        <v>69162.64</v>
      </c>
      <c r="L5" s="81">
        <f>VLOOKUP(A:A,'staff sales'!C:T,18,)</f>
        <v>833.91</v>
      </c>
      <c r="M5" s="81">
        <f>VLOOKUP(A:A,'staff sales'!C:W,21,)</f>
        <v>4350</v>
      </c>
      <c r="N5" s="81">
        <f>VLOOKUP(A:A,'staff sales'!C:Z,24,)</f>
        <v>400</v>
      </c>
      <c r="O5" s="81">
        <f>VLOOKUP(A:A,'staff sales'!C:AC,27,)</f>
        <v>15</v>
      </c>
      <c r="P5" s="81">
        <f>VLOOKUP(A:A,'staff sales'!C:AF,30,)</f>
        <v>1</v>
      </c>
      <c r="Q5" s="81">
        <f>VLOOKUP(A:A,'staff sales'!C:AI,33,)</f>
        <v>24</v>
      </c>
      <c r="R5" s="81">
        <f>VLOOKUP(A:A,'staff sales'!C:AL,36,)</f>
        <v>1</v>
      </c>
      <c r="S5" s="81">
        <f>VLOOKUP(A:A,'staff sales'!C:AO,39,)</f>
        <v>0</v>
      </c>
      <c r="T5" s="81">
        <f>VLOOKUP(A:A,'staff sales'!C:AR,42,)</f>
        <v>5</v>
      </c>
      <c r="U5" s="81">
        <f>VLOOKUP(A:A,'staff sales'!C:AU,45,)</f>
        <v>4</v>
      </c>
      <c r="V5" s="81">
        <f>VLOOKUP(A:A,'staff sales'!C:AX,48,)</f>
        <v>0</v>
      </c>
      <c r="W5" s="81">
        <f>VLOOKUP(A:A,'staff sales'!C:BA,51,)</f>
        <v>0</v>
      </c>
    </row>
    <row r="6" spans="1:23" x14ac:dyDescent="0.25">
      <c r="A6" s="5">
        <v>1042534501</v>
      </c>
      <c r="B6" s="5" t="s">
        <v>827</v>
      </c>
      <c r="C6" s="5" t="s">
        <v>546</v>
      </c>
      <c r="D6" s="5" t="s">
        <v>546</v>
      </c>
      <c r="E6" s="5" t="s">
        <v>319</v>
      </c>
      <c r="F6" s="5" t="s">
        <v>319</v>
      </c>
      <c r="G6" s="5" t="s">
        <v>1218</v>
      </c>
      <c r="H6" s="5" t="s">
        <v>313</v>
      </c>
      <c r="I6" s="5" t="s">
        <v>314</v>
      </c>
      <c r="J6" s="5">
        <v>73008</v>
      </c>
      <c r="K6" s="80">
        <f>VLOOKUP(A:A,'staff sales'!C:Q,15,)</f>
        <v>45373.930000000008</v>
      </c>
      <c r="L6" s="81">
        <f>VLOOKUP(A:A,'staff sales'!C:T,18,)</f>
        <v>0</v>
      </c>
      <c r="M6" s="81">
        <f>VLOOKUP(A:A,'staff sales'!C:W,21,)</f>
        <v>6599.9</v>
      </c>
      <c r="N6" s="81">
        <f>VLOOKUP(A:A,'staff sales'!C:Z,24,)</f>
        <v>1920</v>
      </c>
      <c r="O6" s="81">
        <f>VLOOKUP(A:A,'staff sales'!C:AC,27,)</f>
        <v>4</v>
      </c>
      <c r="P6" s="81">
        <f>VLOOKUP(A:A,'staff sales'!C:AF,30,)</f>
        <v>0</v>
      </c>
      <c r="Q6" s="81">
        <f>VLOOKUP(A:A,'staff sales'!C:AI,33,)</f>
        <v>50</v>
      </c>
      <c r="R6" s="81">
        <f>VLOOKUP(A:A,'staff sales'!C:AL,36,)</f>
        <v>3</v>
      </c>
      <c r="S6" s="81">
        <f>VLOOKUP(A:A,'staff sales'!C:AO,39,)</f>
        <v>0</v>
      </c>
      <c r="T6" s="81">
        <f>VLOOKUP(A:A,'staff sales'!C:AR,42,)</f>
        <v>2</v>
      </c>
      <c r="U6" s="81">
        <f>VLOOKUP(A:A,'staff sales'!C:AU,45,)</f>
        <v>1</v>
      </c>
      <c r="V6" s="81">
        <f>VLOOKUP(A:A,'staff sales'!C:AX,48,)</f>
        <v>0</v>
      </c>
      <c r="W6" s="81">
        <f>VLOOKUP(A:A,'staff sales'!C:BA,51,)</f>
        <v>3</v>
      </c>
    </row>
    <row r="7" spans="1:23" x14ac:dyDescent="0.25">
      <c r="A7" s="5">
        <v>1003756218</v>
      </c>
      <c r="B7" s="5" t="s">
        <v>850</v>
      </c>
      <c r="C7" s="5" t="s">
        <v>546</v>
      </c>
      <c r="D7" s="5" t="s">
        <v>546</v>
      </c>
      <c r="E7" s="5" t="s">
        <v>337</v>
      </c>
      <c r="F7" s="5" t="s">
        <v>338</v>
      </c>
      <c r="G7" s="5" t="s">
        <v>1218</v>
      </c>
      <c r="H7" s="5" t="s">
        <v>313</v>
      </c>
      <c r="I7" s="5" t="s">
        <v>314</v>
      </c>
      <c r="J7" s="5">
        <v>73008</v>
      </c>
      <c r="K7" s="80">
        <f>VLOOKUP(A:A,'staff sales'!C:Q,15,)</f>
        <v>51426.98000000001</v>
      </c>
      <c r="L7" s="81">
        <f>VLOOKUP(A:A,'staff sales'!C:T,18,)</f>
        <v>0</v>
      </c>
      <c r="M7" s="81">
        <f>VLOOKUP(A:A,'staff sales'!C:W,21,)</f>
        <v>2923.8599999999997</v>
      </c>
      <c r="N7" s="81">
        <f>VLOOKUP(A:A,'staff sales'!C:Z,24,)</f>
        <v>0</v>
      </c>
      <c r="O7" s="81">
        <f>VLOOKUP(A:A,'staff sales'!C:AC,27,)</f>
        <v>4</v>
      </c>
      <c r="P7" s="81">
        <f>VLOOKUP(A:A,'staff sales'!C:AF,30,)</f>
        <v>0</v>
      </c>
      <c r="Q7" s="81">
        <f>VLOOKUP(A:A,'staff sales'!C:AI,33,)</f>
        <v>51</v>
      </c>
      <c r="R7" s="81">
        <f>VLOOKUP(A:A,'staff sales'!C:AL,36,)</f>
        <v>1</v>
      </c>
      <c r="S7" s="81">
        <f>VLOOKUP(A:A,'staff sales'!C:AO,39,)</f>
        <v>3</v>
      </c>
      <c r="T7" s="81">
        <f>VLOOKUP(A:A,'staff sales'!C:AR,42,)</f>
        <v>1</v>
      </c>
      <c r="U7" s="81">
        <f>VLOOKUP(A:A,'staff sales'!C:AU,45,)</f>
        <v>2</v>
      </c>
      <c r="V7" s="81">
        <f>VLOOKUP(A:A,'staff sales'!C:AX,48,)</f>
        <v>0</v>
      </c>
      <c r="W7" s="81">
        <f>VLOOKUP(A:A,'staff sales'!C:BA,51,)</f>
        <v>1</v>
      </c>
    </row>
    <row r="8" spans="1:23" x14ac:dyDescent="0.25">
      <c r="A8" s="5">
        <v>1071323115</v>
      </c>
      <c r="B8" s="5" t="s">
        <v>831</v>
      </c>
      <c r="C8" s="5" t="s">
        <v>546</v>
      </c>
      <c r="D8" s="5" t="s">
        <v>546</v>
      </c>
      <c r="E8" s="5" t="s">
        <v>1166</v>
      </c>
      <c r="F8" s="5" t="s">
        <v>1166</v>
      </c>
      <c r="G8" s="5" t="s">
        <v>1218</v>
      </c>
      <c r="H8" s="5" t="s">
        <v>313</v>
      </c>
      <c r="I8" s="5" t="s">
        <v>314</v>
      </c>
      <c r="J8" s="5">
        <v>73008</v>
      </c>
      <c r="K8" s="80">
        <f>VLOOKUP(A:A,'staff sales'!C:Q,15,)</f>
        <v>60519.150000000009</v>
      </c>
      <c r="L8" s="81">
        <f>VLOOKUP(A:A,'staff sales'!C:T,18,)</f>
        <v>24180.690000000002</v>
      </c>
      <c r="M8" s="81">
        <f>VLOOKUP(A:A,'staff sales'!C:W,21,)</f>
        <v>7996.72</v>
      </c>
      <c r="N8" s="81">
        <f>VLOOKUP(A:A,'staff sales'!C:Z,24,)</f>
        <v>200</v>
      </c>
      <c r="O8" s="81">
        <f>VLOOKUP(A:A,'staff sales'!C:AC,27,)</f>
        <v>7</v>
      </c>
      <c r="P8" s="81">
        <f>VLOOKUP(A:A,'staff sales'!C:AF,30,)</f>
        <v>2</v>
      </c>
      <c r="Q8" s="81">
        <f>VLOOKUP(A:A,'staff sales'!C:AI,33,)</f>
        <v>39</v>
      </c>
      <c r="R8" s="81">
        <f>VLOOKUP(A:A,'staff sales'!C:AL,36,)</f>
        <v>4</v>
      </c>
      <c r="S8" s="81">
        <f>VLOOKUP(A:A,'staff sales'!C:AO,39,)</f>
        <v>2</v>
      </c>
      <c r="T8" s="81">
        <f>VLOOKUP(A:A,'staff sales'!C:AR,42,)</f>
        <v>4</v>
      </c>
      <c r="U8" s="81">
        <f>VLOOKUP(A:A,'staff sales'!C:AU,45,)</f>
        <v>4</v>
      </c>
      <c r="V8" s="81">
        <f>VLOOKUP(A:A,'staff sales'!C:AX,48,)</f>
        <v>0</v>
      </c>
      <c r="W8" s="81">
        <f>VLOOKUP(A:A,'staff sales'!C:BA,51,)</f>
        <v>2</v>
      </c>
    </row>
    <row r="9" spans="1:23" x14ac:dyDescent="0.25">
      <c r="A9" s="5">
        <v>1022527145</v>
      </c>
      <c r="B9" s="5" t="s">
        <v>833</v>
      </c>
      <c r="C9" s="5" t="s">
        <v>546</v>
      </c>
      <c r="D9" s="5" t="s">
        <v>546</v>
      </c>
      <c r="E9" s="5" t="s">
        <v>369</v>
      </c>
      <c r="F9" s="5" t="s">
        <v>369</v>
      </c>
      <c r="G9" s="5" t="s">
        <v>1218</v>
      </c>
      <c r="H9" s="5" t="s">
        <v>313</v>
      </c>
      <c r="I9" s="5" t="s">
        <v>314</v>
      </c>
      <c r="J9" s="5">
        <v>73008</v>
      </c>
      <c r="K9" s="80">
        <f>VLOOKUP(A:A,'staff sales'!C:Q,15,)</f>
        <v>74771.350000000006</v>
      </c>
      <c r="L9" s="81">
        <f>VLOOKUP(A:A,'staff sales'!C:T,18,)</f>
        <v>9388.7099999999991</v>
      </c>
      <c r="M9" s="81">
        <f>VLOOKUP(A:A,'staff sales'!C:W,21,)</f>
        <v>20600.47</v>
      </c>
      <c r="N9" s="81">
        <f>VLOOKUP(A:A,'staff sales'!C:Z,24,)</f>
        <v>1853</v>
      </c>
      <c r="O9" s="81">
        <f>VLOOKUP(A:A,'staff sales'!C:AC,27,)</f>
        <v>14</v>
      </c>
      <c r="P9" s="81">
        <f>VLOOKUP(A:A,'staff sales'!C:AF,30,)</f>
        <v>2</v>
      </c>
      <c r="Q9" s="81">
        <f>VLOOKUP(A:A,'staff sales'!C:AI,33,)</f>
        <v>26</v>
      </c>
      <c r="R9" s="81">
        <f>VLOOKUP(A:A,'staff sales'!C:AL,36,)</f>
        <v>3</v>
      </c>
      <c r="S9" s="81">
        <f>VLOOKUP(A:A,'staff sales'!C:AO,39,)</f>
        <v>1</v>
      </c>
      <c r="T9" s="81">
        <f>VLOOKUP(A:A,'staff sales'!C:AR,42,)</f>
        <v>2</v>
      </c>
      <c r="U9" s="81">
        <f>VLOOKUP(A:A,'staff sales'!C:AU,45,)</f>
        <v>2</v>
      </c>
      <c r="V9" s="81">
        <f>VLOOKUP(A:A,'staff sales'!C:AX,48,)</f>
        <v>0</v>
      </c>
      <c r="W9" s="81">
        <f>VLOOKUP(A:A,'staff sales'!C:BA,51,)</f>
        <v>0</v>
      </c>
    </row>
    <row r="10" spans="1:23" x14ac:dyDescent="0.25">
      <c r="A10" s="5">
        <v>1029116793</v>
      </c>
      <c r="B10" s="5" t="s">
        <v>880</v>
      </c>
      <c r="C10" s="5" t="s">
        <v>546</v>
      </c>
      <c r="D10" s="5" t="s">
        <v>546</v>
      </c>
      <c r="E10" s="5" t="s">
        <v>336</v>
      </c>
      <c r="F10" s="5" t="s">
        <v>336</v>
      </c>
      <c r="G10" s="5" t="s">
        <v>1218</v>
      </c>
      <c r="H10" s="5" t="s">
        <v>313</v>
      </c>
      <c r="I10" s="5" t="s">
        <v>314</v>
      </c>
      <c r="J10" s="5">
        <v>73008</v>
      </c>
      <c r="K10" s="80">
        <f>VLOOKUP(A:A,'staff sales'!C:Q,15,)</f>
        <v>65983.510000000009</v>
      </c>
      <c r="L10" s="81">
        <f>VLOOKUP(A:A,'staff sales'!C:T,18,)</f>
        <v>17273.05</v>
      </c>
      <c r="M10" s="81">
        <f>VLOOKUP(A:A,'staff sales'!C:W,21,)</f>
        <v>9240</v>
      </c>
      <c r="N10" s="81">
        <f>VLOOKUP(A:A,'staff sales'!C:Z,24,)</f>
        <v>0</v>
      </c>
      <c r="O10" s="81">
        <f>VLOOKUP(A:A,'staff sales'!C:AC,27,)</f>
        <v>5</v>
      </c>
      <c r="P10" s="81">
        <f>VLOOKUP(A:A,'staff sales'!C:AF,30,)</f>
        <v>1</v>
      </c>
      <c r="Q10" s="81">
        <f>VLOOKUP(A:A,'staff sales'!C:AI,33,)</f>
        <v>31</v>
      </c>
      <c r="R10" s="81">
        <f>VLOOKUP(A:A,'staff sales'!C:AL,36,)</f>
        <v>1</v>
      </c>
      <c r="S10" s="81">
        <f>VLOOKUP(A:A,'staff sales'!C:AO,39,)</f>
        <v>3</v>
      </c>
      <c r="T10" s="81">
        <f>VLOOKUP(A:A,'staff sales'!C:AR,42,)</f>
        <v>6</v>
      </c>
      <c r="U10" s="81">
        <f>VLOOKUP(A:A,'staff sales'!C:AU,45,)</f>
        <v>5</v>
      </c>
      <c r="V10" s="81">
        <f>VLOOKUP(A:A,'staff sales'!C:AX,48,)</f>
        <v>0</v>
      </c>
      <c r="W10" s="81">
        <f>VLOOKUP(A:A,'staff sales'!C:BA,51,)</f>
        <v>0</v>
      </c>
    </row>
    <row r="11" spans="1:23" x14ac:dyDescent="0.25">
      <c r="A11" s="7">
        <v>1032278804</v>
      </c>
      <c r="B11" s="7" t="s">
        <v>835</v>
      </c>
      <c r="C11" s="7" t="s">
        <v>546</v>
      </c>
      <c r="D11" s="7" t="s">
        <v>546</v>
      </c>
      <c r="E11" s="7" t="s">
        <v>442</v>
      </c>
      <c r="F11" s="7" t="s">
        <v>442</v>
      </c>
      <c r="G11" s="7" t="s">
        <v>1218</v>
      </c>
      <c r="H11" s="7" t="s">
        <v>313</v>
      </c>
      <c r="I11" s="5" t="s">
        <v>314</v>
      </c>
      <c r="J11" s="7">
        <v>73008</v>
      </c>
      <c r="K11" s="80">
        <f>VLOOKUP(A:A,'staff sales'!C:Q,15,)</f>
        <v>9735.66</v>
      </c>
      <c r="L11" s="81">
        <f>VLOOKUP(A:A,'staff sales'!C:T,18,)</f>
        <v>0</v>
      </c>
      <c r="M11" s="81">
        <f>VLOOKUP(A:A,'staff sales'!C:W,21,)</f>
        <v>753.04</v>
      </c>
      <c r="N11" s="81">
        <f>VLOOKUP(A:A,'staff sales'!C:Z,24,)</f>
        <v>0</v>
      </c>
      <c r="O11" s="81">
        <f>VLOOKUP(A:A,'staff sales'!C:AC,27,)</f>
        <v>0</v>
      </c>
      <c r="P11" s="81">
        <f>VLOOKUP(A:A,'staff sales'!C:AF,30,)</f>
        <v>0</v>
      </c>
      <c r="Q11" s="81">
        <f>VLOOKUP(A:A,'staff sales'!C:AI,33,)</f>
        <v>0</v>
      </c>
      <c r="R11" s="81">
        <f>VLOOKUP(A:A,'staff sales'!C:AL,36,)</f>
        <v>0</v>
      </c>
      <c r="S11" s="81">
        <f>VLOOKUP(A:A,'staff sales'!C:AO,39,)</f>
        <v>0</v>
      </c>
      <c r="T11" s="81">
        <f>VLOOKUP(A:A,'staff sales'!C:AR,42,)</f>
        <v>0</v>
      </c>
      <c r="U11" s="81">
        <f>VLOOKUP(A:A,'staff sales'!C:AU,45,)</f>
        <v>0</v>
      </c>
      <c r="V11" s="81">
        <f>VLOOKUP(A:A,'staff sales'!C:AX,48,)</f>
        <v>0</v>
      </c>
      <c r="W11" s="81">
        <f>VLOOKUP(A:A,'staff sales'!C:BA,51,)</f>
        <v>0</v>
      </c>
    </row>
    <row r="12" spans="1:23" x14ac:dyDescent="0.25">
      <c r="A12" s="5">
        <v>1007110701</v>
      </c>
      <c r="B12" s="5" t="s">
        <v>828</v>
      </c>
      <c r="C12" s="5" t="s">
        <v>546</v>
      </c>
      <c r="D12" s="5" t="s">
        <v>546</v>
      </c>
      <c r="E12" s="5" t="s">
        <v>318</v>
      </c>
      <c r="F12" s="5" t="s">
        <v>318</v>
      </c>
      <c r="G12" s="5" t="s">
        <v>1218</v>
      </c>
      <c r="H12" s="5" t="s">
        <v>313</v>
      </c>
      <c r="I12" s="5" t="s">
        <v>314</v>
      </c>
      <c r="J12" s="5">
        <v>73008</v>
      </c>
      <c r="K12" s="80">
        <f>VLOOKUP(A:A,'staff sales'!C:Q,15,)</f>
        <v>79690.47</v>
      </c>
      <c r="L12" s="81">
        <f>VLOOKUP(A:A,'staff sales'!C:T,18,)</f>
        <v>12429.58</v>
      </c>
      <c r="M12" s="81">
        <f>VLOOKUP(A:A,'staff sales'!C:W,21,)</f>
        <v>16334.789999999999</v>
      </c>
      <c r="N12" s="81">
        <f>VLOOKUP(A:A,'staff sales'!C:Z,24,)</f>
        <v>120</v>
      </c>
      <c r="O12" s="81">
        <f>VLOOKUP(A:A,'staff sales'!C:AC,27,)</f>
        <v>15</v>
      </c>
      <c r="P12" s="81">
        <f>VLOOKUP(A:A,'staff sales'!C:AF,30,)</f>
        <v>1</v>
      </c>
      <c r="Q12" s="81">
        <f>VLOOKUP(A:A,'staff sales'!C:AI,33,)</f>
        <v>36</v>
      </c>
      <c r="R12" s="81">
        <f>VLOOKUP(A:A,'staff sales'!C:AL,36,)</f>
        <v>2</v>
      </c>
      <c r="S12" s="81">
        <f>VLOOKUP(A:A,'staff sales'!C:AO,39,)</f>
        <v>2</v>
      </c>
      <c r="T12" s="81">
        <f>VLOOKUP(A:A,'staff sales'!C:AR,42,)</f>
        <v>6</v>
      </c>
      <c r="U12" s="81">
        <f>VLOOKUP(A:A,'staff sales'!C:AU,45,)</f>
        <v>8</v>
      </c>
      <c r="V12" s="81">
        <f>VLOOKUP(A:A,'staff sales'!C:AX,48,)</f>
        <v>0</v>
      </c>
      <c r="W12" s="81">
        <f>VLOOKUP(A:A,'staff sales'!C:BA,51,)</f>
        <v>2</v>
      </c>
    </row>
    <row r="13" spans="1:23" x14ac:dyDescent="0.25">
      <c r="A13" s="5">
        <v>1004517817</v>
      </c>
      <c r="B13" s="5" t="s">
        <v>825</v>
      </c>
      <c r="C13" s="5" t="s">
        <v>546</v>
      </c>
      <c r="D13" s="5" t="s">
        <v>546</v>
      </c>
      <c r="E13" s="5" t="s">
        <v>316</v>
      </c>
      <c r="F13" s="5" t="s">
        <v>316</v>
      </c>
      <c r="G13" s="5" t="s">
        <v>1218</v>
      </c>
      <c r="H13" s="5" t="s">
        <v>313</v>
      </c>
      <c r="I13" s="5" t="s">
        <v>314</v>
      </c>
      <c r="J13" s="5">
        <v>73008</v>
      </c>
      <c r="K13" s="80">
        <f>VLOOKUP(A:A,'staff sales'!C:Q,15,)</f>
        <v>78632.19</v>
      </c>
      <c r="L13" s="81">
        <f>VLOOKUP(A:A,'staff sales'!C:T,18,)</f>
        <v>9388.7099999999991</v>
      </c>
      <c r="M13" s="81">
        <f>VLOOKUP(A:A,'staff sales'!C:W,21,)</f>
        <v>5380</v>
      </c>
      <c r="N13" s="81">
        <f>VLOOKUP(A:A,'staff sales'!C:Z,24,)</f>
        <v>0</v>
      </c>
      <c r="O13" s="81">
        <f>VLOOKUP(A:A,'staff sales'!C:AC,27,)</f>
        <v>7</v>
      </c>
      <c r="P13" s="81">
        <f>VLOOKUP(A:A,'staff sales'!C:AF,30,)</f>
        <v>0</v>
      </c>
      <c r="Q13" s="81">
        <f>VLOOKUP(A:A,'staff sales'!C:AI,33,)</f>
        <v>37</v>
      </c>
      <c r="R13" s="81">
        <f>VLOOKUP(A:A,'staff sales'!C:AL,36,)</f>
        <v>0</v>
      </c>
      <c r="S13" s="81">
        <f>VLOOKUP(A:A,'staff sales'!C:AO,39,)</f>
        <v>2</v>
      </c>
      <c r="T13" s="81">
        <f>VLOOKUP(A:A,'staff sales'!C:AR,42,)</f>
        <v>2</v>
      </c>
      <c r="U13" s="81">
        <f>VLOOKUP(A:A,'staff sales'!C:AU,45,)</f>
        <v>3</v>
      </c>
      <c r="V13" s="81">
        <f>VLOOKUP(A:A,'staff sales'!C:AX,48,)</f>
        <v>0</v>
      </c>
      <c r="W13" s="81">
        <f>VLOOKUP(A:A,'staff sales'!C:BA,51,)</f>
        <v>1</v>
      </c>
    </row>
    <row r="14" spans="1:23" x14ac:dyDescent="0.25">
      <c r="A14" s="5">
        <v>1010783049</v>
      </c>
      <c r="B14" s="5" t="s">
        <v>830</v>
      </c>
      <c r="C14" s="5" t="s">
        <v>546</v>
      </c>
      <c r="D14" s="5" t="s">
        <v>546</v>
      </c>
      <c r="E14" s="5" t="s">
        <v>321</v>
      </c>
      <c r="F14" s="5" t="s">
        <v>321</v>
      </c>
      <c r="G14" s="5" t="s">
        <v>1218</v>
      </c>
      <c r="H14" s="5" t="s">
        <v>313</v>
      </c>
      <c r="I14" s="5" t="s">
        <v>314</v>
      </c>
      <c r="J14" s="5">
        <v>73008</v>
      </c>
      <c r="K14" s="80">
        <f>VLOOKUP(A:A,'staff sales'!C:Q,15,)</f>
        <v>48886.96</v>
      </c>
      <c r="L14" s="81">
        <f>VLOOKUP(A:A,'staff sales'!C:T,18,)</f>
        <v>9649.56</v>
      </c>
      <c r="M14" s="81">
        <f>VLOOKUP(A:A,'staff sales'!C:W,21,)</f>
        <v>6629.57</v>
      </c>
      <c r="N14" s="81">
        <f>VLOOKUP(A:A,'staff sales'!C:Z,24,)</f>
        <v>0</v>
      </c>
      <c r="O14" s="81">
        <f>VLOOKUP(A:A,'staff sales'!C:AC,27,)</f>
        <v>6</v>
      </c>
      <c r="P14" s="81">
        <f>VLOOKUP(A:A,'staff sales'!C:AF,30,)</f>
        <v>0</v>
      </c>
      <c r="Q14" s="81">
        <f>VLOOKUP(A:A,'staff sales'!C:AI,33,)</f>
        <v>38</v>
      </c>
      <c r="R14" s="81">
        <f>VLOOKUP(A:A,'staff sales'!C:AL,36,)</f>
        <v>4</v>
      </c>
      <c r="S14" s="81">
        <f>VLOOKUP(A:A,'staff sales'!C:AO,39,)</f>
        <v>1</v>
      </c>
      <c r="T14" s="81">
        <f>VLOOKUP(A:A,'staff sales'!C:AR,42,)</f>
        <v>4</v>
      </c>
      <c r="U14" s="81">
        <f>VLOOKUP(A:A,'staff sales'!C:AU,45,)</f>
        <v>1</v>
      </c>
      <c r="V14" s="81">
        <f>VLOOKUP(A:A,'staff sales'!C:AX,48,)</f>
        <v>0</v>
      </c>
      <c r="W14" s="81">
        <f>VLOOKUP(A:A,'staff sales'!C:BA,51,)</f>
        <v>1</v>
      </c>
    </row>
    <row r="15" spans="1:23" x14ac:dyDescent="0.25">
      <c r="A15" s="5">
        <v>1003289889</v>
      </c>
      <c r="B15" s="5" t="s">
        <v>829</v>
      </c>
      <c r="C15" s="5" t="s">
        <v>546</v>
      </c>
      <c r="D15" s="5" t="s">
        <v>546</v>
      </c>
      <c r="E15" s="5" t="s">
        <v>315</v>
      </c>
      <c r="F15" s="5" t="s">
        <v>315</v>
      </c>
      <c r="G15" s="5" t="s">
        <v>1218</v>
      </c>
      <c r="H15" s="5" t="s">
        <v>313</v>
      </c>
      <c r="I15" s="5" t="s">
        <v>314</v>
      </c>
      <c r="J15" s="5">
        <v>73008</v>
      </c>
      <c r="K15" s="80">
        <f>VLOOKUP(A:A,'staff sales'!C:Q,15,)</f>
        <v>61479.14</v>
      </c>
      <c r="L15" s="81">
        <f>VLOOKUP(A:A,'staff sales'!C:T,18,)</f>
        <v>6271.8899999999994</v>
      </c>
      <c r="M15" s="81">
        <f>VLOOKUP(A:A,'staff sales'!C:W,21,)</f>
        <v>13299.85</v>
      </c>
      <c r="N15" s="81">
        <f>VLOOKUP(A:A,'staff sales'!C:Z,24,)</f>
        <v>0</v>
      </c>
      <c r="O15" s="81">
        <f>VLOOKUP(A:A,'staff sales'!C:AC,27,)</f>
        <v>11</v>
      </c>
      <c r="P15" s="81">
        <f>VLOOKUP(A:A,'staff sales'!C:AF,30,)</f>
        <v>1</v>
      </c>
      <c r="Q15" s="81">
        <f>VLOOKUP(A:A,'staff sales'!C:AI,33,)</f>
        <v>81</v>
      </c>
      <c r="R15" s="81">
        <f>VLOOKUP(A:A,'staff sales'!C:AL,36,)</f>
        <v>3</v>
      </c>
      <c r="S15" s="81">
        <f>VLOOKUP(A:A,'staff sales'!C:AO,39,)</f>
        <v>4</v>
      </c>
      <c r="T15" s="81">
        <f>VLOOKUP(A:A,'staff sales'!C:AR,42,)</f>
        <v>6</v>
      </c>
      <c r="U15" s="81">
        <f>VLOOKUP(A:A,'staff sales'!C:AU,45,)</f>
        <v>5</v>
      </c>
      <c r="V15" s="81">
        <f>VLOOKUP(A:A,'staff sales'!C:AX,48,)</f>
        <v>0</v>
      </c>
      <c r="W15" s="81">
        <f>VLOOKUP(A:A,'staff sales'!C:BA,51,)</f>
        <v>0</v>
      </c>
    </row>
    <row r="16" spans="1:23" x14ac:dyDescent="0.25">
      <c r="A16" s="5">
        <v>1015192337</v>
      </c>
      <c r="B16" s="5" t="s">
        <v>870</v>
      </c>
      <c r="C16" s="5" t="s">
        <v>546</v>
      </c>
      <c r="D16" s="5" t="s">
        <v>546</v>
      </c>
      <c r="E16" s="5" t="s">
        <v>358</v>
      </c>
      <c r="F16" s="5" t="s">
        <v>358</v>
      </c>
      <c r="G16" s="5" t="s">
        <v>1218</v>
      </c>
      <c r="H16" s="5" t="s">
        <v>313</v>
      </c>
      <c r="I16" s="5" t="s">
        <v>314</v>
      </c>
      <c r="J16" s="5">
        <v>73008</v>
      </c>
      <c r="K16" s="80">
        <f>VLOOKUP(A:A,'staff sales'!C:Q,15,)</f>
        <v>127128.73999999998</v>
      </c>
      <c r="L16" s="81">
        <f>VLOOKUP(A:A,'staff sales'!C:T,18,)</f>
        <v>35729.599999999999</v>
      </c>
      <c r="M16" s="81">
        <f>VLOOKUP(A:A,'staff sales'!C:W,21,)</f>
        <v>16529.57</v>
      </c>
      <c r="N16" s="81">
        <f>VLOOKUP(A:A,'staff sales'!C:Z,24,)</f>
        <v>419</v>
      </c>
      <c r="O16" s="81">
        <f>VLOOKUP(A:A,'staff sales'!C:AC,27,)</f>
        <v>23</v>
      </c>
      <c r="P16" s="81">
        <f>VLOOKUP(A:A,'staff sales'!C:AF,30,)</f>
        <v>2</v>
      </c>
      <c r="Q16" s="81">
        <f>VLOOKUP(A:A,'staff sales'!C:AI,33,)</f>
        <v>56</v>
      </c>
      <c r="R16" s="81">
        <f>VLOOKUP(A:A,'staff sales'!C:AL,36,)</f>
        <v>0</v>
      </c>
      <c r="S16" s="81">
        <f>VLOOKUP(A:A,'staff sales'!C:AO,39,)</f>
        <v>4</v>
      </c>
      <c r="T16" s="81">
        <f>VLOOKUP(A:A,'staff sales'!C:AR,42,)</f>
        <v>7</v>
      </c>
      <c r="U16" s="81">
        <f>VLOOKUP(A:A,'staff sales'!C:AU,45,)</f>
        <v>5</v>
      </c>
      <c r="V16" s="81">
        <f>VLOOKUP(A:A,'staff sales'!C:AX,48,)</f>
        <v>0</v>
      </c>
      <c r="W16" s="81">
        <f>VLOOKUP(A:A,'staff sales'!C:BA,51,)</f>
        <v>1</v>
      </c>
    </row>
    <row r="17" spans="1:23" x14ac:dyDescent="0.25">
      <c r="A17" s="5">
        <v>1079132765</v>
      </c>
      <c r="B17" s="5" t="s">
        <v>866</v>
      </c>
      <c r="C17" s="5" t="s">
        <v>546</v>
      </c>
      <c r="D17" s="5" t="s">
        <v>546</v>
      </c>
      <c r="E17" s="5" t="s">
        <v>324</v>
      </c>
      <c r="F17" s="5" t="s">
        <v>324</v>
      </c>
      <c r="G17" s="5" t="s">
        <v>1218</v>
      </c>
      <c r="H17" s="5" t="s">
        <v>313</v>
      </c>
      <c r="I17" s="5" t="s">
        <v>314</v>
      </c>
      <c r="J17" s="5">
        <v>73008</v>
      </c>
      <c r="K17" s="80">
        <f>VLOOKUP(A:A,'staff sales'!C:Q,15,)</f>
        <v>34980.01</v>
      </c>
      <c r="L17" s="81">
        <f>VLOOKUP(A:A,'staff sales'!C:T,18,)</f>
        <v>0</v>
      </c>
      <c r="M17" s="81">
        <f>VLOOKUP(A:A,'staff sales'!C:W,21,)</f>
        <v>8220.74</v>
      </c>
      <c r="N17" s="81">
        <f>VLOOKUP(A:A,'staff sales'!C:Z,24,)</f>
        <v>0</v>
      </c>
      <c r="O17" s="81">
        <f>VLOOKUP(A:A,'staff sales'!C:AC,27,)</f>
        <v>13</v>
      </c>
      <c r="P17" s="81">
        <f>VLOOKUP(A:A,'staff sales'!C:AF,30,)</f>
        <v>0</v>
      </c>
      <c r="Q17" s="81">
        <f>VLOOKUP(A:A,'staff sales'!C:AI,33,)</f>
        <v>27</v>
      </c>
      <c r="R17" s="81">
        <f>VLOOKUP(A:A,'staff sales'!C:AL,36,)</f>
        <v>2</v>
      </c>
      <c r="S17" s="81">
        <f>VLOOKUP(A:A,'staff sales'!C:AO,39,)</f>
        <v>0</v>
      </c>
      <c r="T17" s="81">
        <f>VLOOKUP(A:A,'staff sales'!C:AR,42,)</f>
        <v>4</v>
      </c>
      <c r="U17" s="81">
        <f>VLOOKUP(A:A,'staff sales'!C:AU,45,)</f>
        <v>0</v>
      </c>
      <c r="V17" s="81">
        <f>VLOOKUP(A:A,'staff sales'!C:AX,48,)</f>
        <v>0</v>
      </c>
      <c r="W17" s="81">
        <f>VLOOKUP(A:A,'staff sales'!C:BA,51,)</f>
        <v>1</v>
      </c>
    </row>
    <row r="18" spans="1:23" x14ac:dyDescent="0.25">
      <c r="A18" s="5">
        <v>1007760216</v>
      </c>
      <c r="B18" s="5" t="s">
        <v>884</v>
      </c>
      <c r="C18" s="5" t="s">
        <v>546</v>
      </c>
      <c r="D18" s="5" t="s">
        <v>546</v>
      </c>
      <c r="E18" s="5" t="s">
        <v>443</v>
      </c>
      <c r="F18" s="5" t="s">
        <v>443</v>
      </c>
      <c r="G18" s="5" t="s">
        <v>1218</v>
      </c>
      <c r="H18" s="5" t="s">
        <v>313</v>
      </c>
      <c r="I18" s="5" t="s">
        <v>314</v>
      </c>
      <c r="J18" s="5">
        <v>73008</v>
      </c>
      <c r="K18" s="80">
        <f>VLOOKUP(A:A,'staff sales'!C:Q,15,)</f>
        <v>26579.129999999997</v>
      </c>
      <c r="L18" s="81">
        <f>VLOOKUP(A:A,'staff sales'!C:T,18,)</f>
        <v>9388.7100000000009</v>
      </c>
      <c r="M18" s="81">
        <f>VLOOKUP(A:A,'staff sales'!C:W,21,)</f>
        <v>18958.45</v>
      </c>
      <c r="N18" s="81">
        <f>VLOOKUP(A:A,'staff sales'!C:Z,24,)</f>
        <v>0</v>
      </c>
      <c r="O18" s="81">
        <f>VLOOKUP(A:A,'staff sales'!C:AC,27,)</f>
        <v>2</v>
      </c>
      <c r="P18" s="81">
        <f>VLOOKUP(A:A,'staff sales'!C:AF,30,)</f>
        <v>0</v>
      </c>
      <c r="Q18" s="81">
        <f>VLOOKUP(A:A,'staff sales'!C:AI,33,)</f>
        <v>7</v>
      </c>
      <c r="R18" s="81">
        <f>VLOOKUP(A:A,'staff sales'!C:AL,36,)</f>
        <v>0</v>
      </c>
      <c r="S18" s="81">
        <f>VLOOKUP(A:A,'staff sales'!C:AO,39,)</f>
        <v>0</v>
      </c>
      <c r="T18" s="81">
        <f>VLOOKUP(A:A,'staff sales'!C:AR,42,)</f>
        <v>0</v>
      </c>
      <c r="U18" s="81">
        <f>VLOOKUP(A:A,'staff sales'!C:AU,45,)</f>
        <v>1</v>
      </c>
      <c r="V18" s="81">
        <f>VLOOKUP(A:A,'staff sales'!C:AX,48,)</f>
        <v>0</v>
      </c>
      <c r="W18" s="81">
        <f>VLOOKUP(A:A,'staff sales'!C:BA,51,)</f>
        <v>2</v>
      </c>
    </row>
    <row r="19" spans="1:23" x14ac:dyDescent="0.25">
      <c r="A19" s="5">
        <v>1006592685</v>
      </c>
      <c r="B19" s="5" t="s">
        <v>843</v>
      </c>
      <c r="C19" s="5" t="s">
        <v>541</v>
      </c>
      <c r="D19" s="5" t="s">
        <v>541</v>
      </c>
      <c r="E19" s="5" t="s">
        <v>330</v>
      </c>
      <c r="F19" s="5" t="s">
        <v>330</v>
      </c>
      <c r="G19" s="5" t="s">
        <v>1218</v>
      </c>
      <c r="H19" s="5" t="s">
        <v>313</v>
      </c>
      <c r="I19" s="5" t="s">
        <v>325</v>
      </c>
      <c r="J19" s="5">
        <v>73009</v>
      </c>
      <c r="K19" s="80">
        <f>VLOOKUP(A:A,'staff sales'!C:Q,15,)</f>
        <v>0</v>
      </c>
      <c r="L19" s="81">
        <f>VLOOKUP(A:A,'staff sales'!C:T,18,)</f>
        <v>0</v>
      </c>
      <c r="M19" s="81">
        <f>VLOOKUP(A:A,'staff sales'!C:W,21,)</f>
        <v>0</v>
      </c>
      <c r="N19" s="81">
        <f>VLOOKUP(A:A,'staff sales'!C:Z,24,)</f>
        <v>239</v>
      </c>
      <c r="O19" s="81">
        <f>VLOOKUP(A:A,'staff sales'!C:AC,27,)</f>
        <v>0</v>
      </c>
      <c r="P19" s="81">
        <f>VLOOKUP(A:A,'staff sales'!C:AF,30,)</f>
        <v>0</v>
      </c>
      <c r="Q19" s="81">
        <f>VLOOKUP(A:A,'staff sales'!C:AI,33,)</f>
        <v>0</v>
      </c>
      <c r="R19" s="81">
        <f>VLOOKUP(A:A,'staff sales'!C:AL,36,)</f>
        <v>0</v>
      </c>
      <c r="S19" s="81">
        <f>VLOOKUP(A:A,'staff sales'!C:AO,39,)</f>
        <v>0</v>
      </c>
      <c r="T19" s="81">
        <f>VLOOKUP(A:A,'staff sales'!C:AR,42,)</f>
        <v>0</v>
      </c>
      <c r="U19" s="81">
        <f>VLOOKUP(A:A,'staff sales'!C:AU,45,)</f>
        <v>0</v>
      </c>
      <c r="V19" s="81">
        <f>VLOOKUP(A:A,'staff sales'!C:AX,48,)</f>
        <v>0</v>
      </c>
      <c r="W19" s="81">
        <f>VLOOKUP(A:A,'staff sales'!C:BA,51,)</f>
        <v>0</v>
      </c>
    </row>
    <row r="20" spans="1:23" x14ac:dyDescent="0.25">
      <c r="A20" s="5">
        <v>1067515153</v>
      </c>
      <c r="B20" s="5" t="s">
        <v>881</v>
      </c>
      <c r="C20" s="5" t="s">
        <v>544</v>
      </c>
      <c r="D20" s="5" t="s">
        <v>544</v>
      </c>
      <c r="E20" s="5" t="s">
        <v>1167</v>
      </c>
      <c r="F20" s="5" t="s">
        <v>1167</v>
      </c>
      <c r="G20" s="5" t="s">
        <v>1218</v>
      </c>
      <c r="H20" s="5" t="s">
        <v>313</v>
      </c>
      <c r="I20" s="5" t="s">
        <v>325</v>
      </c>
      <c r="J20" s="5">
        <v>73009</v>
      </c>
      <c r="K20" s="80">
        <f>VLOOKUP(A:A,'staff sales'!C:Q,15,)</f>
        <v>0</v>
      </c>
      <c r="L20" s="81">
        <f>VLOOKUP(A:A,'staff sales'!C:T,18,)</f>
        <v>0</v>
      </c>
      <c r="M20" s="81">
        <f>VLOOKUP(A:A,'staff sales'!C:W,21,)</f>
        <v>0</v>
      </c>
      <c r="N20" s="81">
        <f>VLOOKUP(A:A,'staff sales'!C:Z,24,)</f>
        <v>0</v>
      </c>
      <c r="O20" s="81">
        <f>VLOOKUP(A:A,'staff sales'!C:AC,27,)</f>
        <v>0</v>
      </c>
      <c r="P20" s="81">
        <f>VLOOKUP(A:A,'staff sales'!C:AF,30,)</f>
        <v>0</v>
      </c>
      <c r="Q20" s="81">
        <f>VLOOKUP(A:A,'staff sales'!C:AI,33,)</f>
        <v>0</v>
      </c>
      <c r="R20" s="81">
        <f>VLOOKUP(A:A,'staff sales'!C:AL,36,)</f>
        <v>0</v>
      </c>
      <c r="S20" s="81">
        <f>VLOOKUP(A:A,'staff sales'!C:AO,39,)</f>
        <v>4</v>
      </c>
      <c r="T20" s="81">
        <f>VLOOKUP(A:A,'staff sales'!C:AR,42,)</f>
        <v>0</v>
      </c>
      <c r="U20" s="81">
        <f>VLOOKUP(A:A,'staff sales'!C:AU,45,)</f>
        <v>0</v>
      </c>
      <c r="V20" s="81">
        <f>VLOOKUP(A:A,'staff sales'!C:AX,48,)</f>
        <v>0</v>
      </c>
      <c r="W20" s="81">
        <f>VLOOKUP(A:A,'staff sales'!C:BA,51,)</f>
        <v>0</v>
      </c>
    </row>
    <row r="21" spans="1:23" x14ac:dyDescent="0.25">
      <c r="A21" s="5">
        <v>1034255511</v>
      </c>
      <c r="B21" s="5" t="s">
        <v>837</v>
      </c>
      <c r="C21" s="5" t="s">
        <v>546</v>
      </c>
      <c r="D21" s="5" t="s">
        <v>546</v>
      </c>
      <c r="E21" s="5" t="s">
        <v>327</v>
      </c>
      <c r="F21" s="5" t="s">
        <v>327</v>
      </c>
      <c r="G21" s="5" t="s">
        <v>1218</v>
      </c>
      <c r="H21" s="5" t="s">
        <v>313</v>
      </c>
      <c r="I21" s="5" t="s">
        <v>325</v>
      </c>
      <c r="J21" s="5">
        <v>73009</v>
      </c>
      <c r="K21" s="80">
        <f>VLOOKUP(A:A,'staff sales'!C:Q,15,)</f>
        <v>59593.930000000015</v>
      </c>
      <c r="L21" s="81">
        <f>VLOOKUP(A:A,'staff sales'!C:T,18,)</f>
        <v>12692.18</v>
      </c>
      <c r="M21" s="81">
        <f>VLOOKUP(A:A,'staff sales'!C:W,21,)</f>
        <v>15498.25</v>
      </c>
      <c r="N21" s="81">
        <f>VLOOKUP(A:A,'staff sales'!C:Z,24,)</f>
        <v>598</v>
      </c>
      <c r="O21" s="81">
        <f>VLOOKUP(A:A,'staff sales'!C:AC,27,)</f>
        <v>11</v>
      </c>
      <c r="P21" s="81">
        <f>VLOOKUP(A:A,'staff sales'!C:AF,30,)</f>
        <v>1</v>
      </c>
      <c r="Q21" s="81">
        <f>VLOOKUP(A:A,'staff sales'!C:AI,33,)</f>
        <v>43</v>
      </c>
      <c r="R21" s="81">
        <f>VLOOKUP(A:A,'staff sales'!C:AL,36,)</f>
        <v>5</v>
      </c>
      <c r="S21" s="81">
        <f>VLOOKUP(A:A,'staff sales'!C:AO,39,)</f>
        <v>0</v>
      </c>
      <c r="T21" s="81">
        <f>VLOOKUP(A:A,'staff sales'!C:AR,42,)</f>
        <v>4</v>
      </c>
      <c r="U21" s="81">
        <f>VLOOKUP(A:A,'staff sales'!C:AU,45,)</f>
        <v>3</v>
      </c>
      <c r="V21" s="81">
        <f>VLOOKUP(A:A,'staff sales'!C:AX,48,)</f>
        <v>0</v>
      </c>
      <c r="W21" s="81">
        <f>VLOOKUP(A:A,'staff sales'!C:BA,51,)</f>
        <v>2</v>
      </c>
    </row>
    <row r="22" spans="1:23" x14ac:dyDescent="0.25">
      <c r="A22" s="5">
        <v>1049683111</v>
      </c>
      <c r="B22" s="5" t="s">
        <v>838</v>
      </c>
      <c r="C22" s="5" t="s">
        <v>546</v>
      </c>
      <c r="D22" s="5" t="s">
        <v>546</v>
      </c>
      <c r="E22" s="5" t="s">
        <v>326</v>
      </c>
      <c r="F22" s="5" t="s">
        <v>326</v>
      </c>
      <c r="G22" s="5" t="s">
        <v>1218</v>
      </c>
      <c r="H22" s="5" t="s">
        <v>313</v>
      </c>
      <c r="I22" s="5" t="s">
        <v>325</v>
      </c>
      <c r="J22" s="5">
        <v>73009</v>
      </c>
      <c r="K22" s="80">
        <f>VLOOKUP(A:A,'staff sales'!C:Q,15,)</f>
        <v>77069.58</v>
      </c>
      <c r="L22" s="81">
        <f>VLOOKUP(A:A,'staff sales'!C:T,18,)</f>
        <v>7315.45</v>
      </c>
      <c r="M22" s="81">
        <f>VLOOKUP(A:A,'staff sales'!C:W,21,)</f>
        <v>12183.68</v>
      </c>
      <c r="N22" s="81">
        <f>VLOOKUP(A:A,'staff sales'!C:Z,24,)</f>
        <v>0</v>
      </c>
      <c r="O22" s="81">
        <f>VLOOKUP(A:A,'staff sales'!C:AC,27,)</f>
        <v>6</v>
      </c>
      <c r="P22" s="81">
        <f>VLOOKUP(A:A,'staff sales'!C:AF,30,)</f>
        <v>1</v>
      </c>
      <c r="Q22" s="81">
        <f>VLOOKUP(A:A,'staff sales'!C:AI,33,)</f>
        <v>25</v>
      </c>
      <c r="R22" s="81">
        <f>VLOOKUP(A:A,'staff sales'!C:AL,36,)</f>
        <v>0</v>
      </c>
      <c r="S22" s="81">
        <f>VLOOKUP(A:A,'staff sales'!C:AO,39,)</f>
        <v>1</v>
      </c>
      <c r="T22" s="81">
        <f>VLOOKUP(A:A,'staff sales'!C:AR,42,)</f>
        <v>5</v>
      </c>
      <c r="U22" s="81">
        <f>VLOOKUP(A:A,'staff sales'!C:AU,45,)</f>
        <v>0</v>
      </c>
      <c r="V22" s="81">
        <f>VLOOKUP(A:A,'staff sales'!C:AX,48,)</f>
        <v>0</v>
      </c>
      <c r="W22" s="81">
        <f>VLOOKUP(A:A,'staff sales'!C:BA,51,)</f>
        <v>0</v>
      </c>
    </row>
    <row r="23" spans="1:23" x14ac:dyDescent="0.25">
      <c r="A23" s="5">
        <v>1031797200</v>
      </c>
      <c r="B23" s="5" t="s">
        <v>839</v>
      </c>
      <c r="C23" s="5" t="s">
        <v>546</v>
      </c>
      <c r="D23" s="5" t="s">
        <v>546</v>
      </c>
      <c r="E23" s="5" t="s">
        <v>329</v>
      </c>
      <c r="F23" s="5" t="s">
        <v>329</v>
      </c>
      <c r="G23" s="5" t="s">
        <v>1218</v>
      </c>
      <c r="H23" s="5" t="s">
        <v>313</v>
      </c>
      <c r="I23" s="5" t="s">
        <v>325</v>
      </c>
      <c r="J23" s="5">
        <v>73009</v>
      </c>
      <c r="K23" s="80">
        <f>VLOOKUP(A:A,'staff sales'!C:Q,15,)</f>
        <v>82580.919999999984</v>
      </c>
      <c r="L23" s="81">
        <f>VLOOKUP(A:A,'staff sales'!C:T,18,)</f>
        <v>14705.199999999999</v>
      </c>
      <c r="M23" s="81">
        <f>VLOOKUP(A:A,'staff sales'!C:W,21,)</f>
        <v>13596.950000000003</v>
      </c>
      <c r="N23" s="81">
        <f>VLOOKUP(A:A,'staff sales'!C:Z,24,)</f>
        <v>120</v>
      </c>
      <c r="O23" s="81">
        <f>VLOOKUP(A:A,'staff sales'!C:AC,27,)</f>
        <v>11</v>
      </c>
      <c r="P23" s="81">
        <f>VLOOKUP(A:A,'staff sales'!C:AF,30,)</f>
        <v>0</v>
      </c>
      <c r="Q23" s="81">
        <f>VLOOKUP(A:A,'staff sales'!C:AI,33,)</f>
        <v>56</v>
      </c>
      <c r="R23" s="81">
        <f>VLOOKUP(A:A,'staff sales'!C:AL,36,)</f>
        <v>1</v>
      </c>
      <c r="S23" s="81">
        <f>VLOOKUP(A:A,'staff sales'!C:AO,39,)</f>
        <v>5</v>
      </c>
      <c r="T23" s="81">
        <f>VLOOKUP(A:A,'staff sales'!C:AR,42,)</f>
        <v>4</v>
      </c>
      <c r="U23" s="81">
        <f>VLOOKUP(A:A,'staff sales'!C:AU,45,)</f>
        <v>2</v>
      </c>
      <c r="V23" s="81">
        <f>VLOOKUP(A:A,'staff sales'!C:AX,48,)</f>
        <v>0</v>
      </c>
      <c r="W23" s="81">
        <f>VLOOKUP(A:A,'staff sales'!C:BA,51,)</f>
        <v>8</v>
      </c>
    </row>
    <row r="24" spans="1:23" x14ac:dyDescent="0.25">
      <c r="A24" s="5">
        <v>1010803540</v>
      </c>
      <c r="B24" s="5" t="s">
        <v>879</v>
      </c>
      <c r="C24" s="5" t="s">
        <v>546</v>
      </c>
      <c r="D24" s="5" t="s">
        <v>546</v>
      </c>
      <c r="E24" s="5" t="s">
        <v>363</v>
      </c>
      <c r="F24" s="5" t="s">
        <v>363</v>
      </c>
      <c r="G24" s="5" t="s">
        <v>1218</v>
      </c>
      <c r="H24" s="5" t="s">
        <v>313</v>
      </c>
      <c r="I24" s="5" t="s">
        <v>325</v>
      </c>
      <c r="J24" s="5">
        <v>73009</v>
      </c>
      <c r="K24" s="80">
        <f>VLOOKUP(A:A,'staff sales'!C:Q,15,)</f>
        <v>31196.54</v>
      </c>
      <c r="L24" s="81">
        <f>VLOOKUP(A:A,'staff sales'!C:T,18,)</f>
        <v>312.17</v>
      </c>
      <c r="M24" s="81">
        <f>VLOOKUP(A:A,'staff sales'!C:W,21,)</f>
        <v>7070.8600000000006</v>
      </c>
      <c r="N24" s="81">
        <f>VLOOKUP(A:A,'staff sales'!C:Z,24,)</f>
        <v>0</v>
      </c>
      <c r="O24" s="81">
        <f>VLOOKUP(A:A,'staff sales'!C:AC,27,)</f>
        <v>6</v>
      </c>
      <c r="P24" s="81">
        <f>VLOOKUP(A:A,'staff sales'!C:AF,30,)</f>
        <v>0</v>
      </c>
      <c r="Q24" s="81">
        <f>VLOOKUP(A:A,'staff sales'!C:AI,33,)</f>
        <v>43</v>
      </c>
      <c r="R24" s="81">
        <f>VLOOKUP(A:A,'staff sales'!C:AL,36,)</f>
        <v>1</v>
      </c>
      <c r="S24" s="81">
        <f>VLOOKUP(A:A,'staff sales'!C:AO,39,)</f>
        <v>4</v>
      </c>
      <c r="T24" s="81">
        <f>VLOOKUP(A:A,'staff sales'!C:AR,42,)</f>
        <v>0</v>
      </c>
      <c r="U24" s="81">
        <f>VLOOKUP(A:A,'staff sales'!C:AU,45,)</f>
        <v>0</v>
      </c>
      <c r="V24" s="81">
        <f>VLOOKUP(A:A,'staff sales'!C:AX,48,)</f>
        <v>0</v>
      </c>
      <c r="W24" s="81">
        <f>VLOOKUP(A:A,'staff sales'!C:BA,51,)</f>
        <v>0</v>
      </c>
    </row>
    <row r="25" spans="1:23" x14ac:dyDescent="0.25">
      <c r="A25" s="5">
        <v>1002553905</v>
      </c>
      <c r="B25" s="5" t="s">
        <v>844</v>
      </c>
      <c r="C25" s="5" t="s">
        <v>546</v>
      </c>
      <c r="D25" s="5" t="s">
        <v>546</v>
      </c>
      <c r="E25" s="5" t="s">
        <v>346</v>
      </c>
      <c r="F25" s="5" t="s">
        <v>346</v>
      </c>
      <c r="G25" s="5" t="s">
        <v>1218</v>
      </c>
      <c r="H25" s="5" t="s">
        <v>313</v>
      </c>
      <c r="I25" s="5" t="s">
        <v>325</v>
      </c>
      <c r="J25" s="5">
        <v>73009</v>
      </c>
      <c r="K25" s="80">
        <f>VLOOKUP(A:A,'staff sales'!C:Q,15,)</f>
        <v>94572.239999999991</v>
      </c>
      <c r="L25" s="81">
        <f>VLOOKUP(A:A,'staff sales'!C:T,18,)</f>
        <v>17082.62</v>
      </c>
      <c r="M25" s="81">
        <f>VLOOKUP(A:A,'staff sales'!C:W,21,)</f>
        <v>19008.249999999993</v>
      </c>
      <c r="N25" s="81">
        <f>VLOOKUP(A:A,'staff sales'!C:Z,24,)</f>
        <v>0</v>
      </c>
      <c r="O25" s="81">
        <f>VLOOKUP(A:A,'staff sales'!C:AC,27,)</f>
        <v>11</v>
      </c>
      <c r="P25" s="81">
        <f>VLOOKUP(A:A,'staff sales'!C:AF,30,)</f>
        <v>1</v>
      </c>
      <c r="Q25" s="81">
        <f>VLOOKUP(A:A,'staff sales'!C:AI,33,)</f>
        <v>90</v>
      </c>
      <c r="R25" s="81">
        <f>VLOOKUP(A:A,'staff sales'!C:AL,36,)</f>
        <v>3</v>
      </c>
      <c r="S25" s="81">
        <f>VLOOKUP(A:A,'staff sales'!C:AO,39,)</f>
        <v>2</v>
      </c>
      <c r="T25" s="81">
        <f>VLOOKUP(A:A,'staff sales'!C:AR,42,)</f>
        <v>7</v>
      </c>
      <c r="U25" s="81">
        <f>VLOOKUP(A:A,'staff sales'!C:AU,45,)</f>
        <v>7</v>
      </c>
      <c r="V25" s="81">
        <f>VLOOKUP(A:A,'staff sales'!C:AX,48,)</f>
        <v>0</v>
      </c>
      <c r="W25" s="81">
        <f>VLOOKUP(A:A,'staff sales'!C:BA,51,)</f>
        <v>0</v>
      </c>
    </row>
    <row r="26" spans="1:23" x14ac:dyDescent="0.25">
      <c r="A26" s="5">
        <v>1068470671</v>
      </c>
      <c r="B26" s="5" t="s">
        <v>842</v>
      </c>
      <c r="C26" s="5" t="s">
        <v>546</v>
      </c>
      <c r="D26" s="5" t="s">
        <v>546</v>
      </c>
      <c r="E26" s="5" t="s">
        <v>356</v>
      </c>
      <c r="F26" s="5" t="s">
        <v>357</v>
      </c>
      <c r="G26" s="5" t="s">
        <v>1218</v>
      </c>
      <c r="H26" s="5" t="s">
        <v>313</v>
      </c>
      <c r="I26" s="5" t="s">
        <v>325</v>
      </c>
      <c r="J26" s="5">
        <v>73009</v>
      </c>
      <c r="K26" s="80">
        <f>VLOOKUP(A:A,'staff sales'!C:Q,15,)</f>
        <v>98957.48000000001</v>
      </c>
      <c r="L26" s="81">
        <f>VLOOKUP(A:A,'staff sales'!C:T,18,)</f>
        <v>10960.880000000001</v>
      </c>
      <c r="M26" s="81">
        <f>VLOOKUP(A:A,'staff sales'!C:W,21,)</f>
        <v>22393.439999999995</v>
      </c>
      <c r="N26" s="81">
        <f>VLOOKUP(A:A,'staff sales'!C:Z,24,)</f>
        <v>0</v>
      </c>
      <c r="O26" s="81">
        <f>VLOOKUP(A:A,'staff sales'!C:AC,27,)</f>
        <v>10</v>
      </c>
      <c r="P26" s="81">
        <f>VLOOKUP(A:A,'staff sales'!C:AF,30,)</f>
        <v>2</v>
      </c>
      <c r="Q26" s="81">
        <f>VLOOKUP(A:A,'staff sales'!C:AI,33,)</f>
        <v>73</v>
      </c>
      <c r="R26" s="81">
        <f>VLOOKUP(A:A,'staff sales'!C:AL,36,)</f>
        <v>2</v>
      </c>
      <c r="S26" s="81">
        <f>VLOOKUP(A:A,'staff sales'!C:AO,39,)</f>
        <v>3</v>
      </c>
      <c r="T26" s="81">
        <f>VLOOKUP(A:A,'staff sales'!C:AR,42,)</f>
        <v>3</v>
      </c>
      <c r="U26" s="81">
        <f>VLOOKUP(A:A,'staff sales'!C:AU,45,)</f>
        <v>2</v>
      </c>
      <c r="V26" s="81">
        <f>VLOOKUP(A:A,'staff sales'!C:AX,48,)</f>
        <v>0</v>
      </c>
      <c r="W26" s="81">
        <f>VLOOKUP(A:A,'staff sales'!C:BA,51,)</f>
        <v>6</v>
      </c>
    </row>
    <row r="27" spans="1:23" x14ac:dyDescent="0.25">
      <c r="A27" s="5">
        <v>1027399235</v>
      </c>
      <c r="B27" s="5" t="s">
        <v>841</v>
      </c>
      <c r="C27" s="5" t="s">
        <v>546</v>
      </c>
      <c r="D27" s="5" t="s">
        <v>546</v>
      </c>
      <c r="E27" s="5" t="s">
        <v>446</v>
      </c>
      <c r="F27" s="5" t="s">
        <v>446</v>
      </c>
      <c r="G27" s="5" t="s">
        <v>1218</v>
      </c>
      <c r="H27" s="5" t="s">
        <v>313</v>
      </c>
      <c r="I27" s="5" t="s">
        <v>325</v>
      </c>
      <c r="J27" s="5">
        <v>73009</v>
      </c>
      <c r="K27" s="80">
        <f>VLOOKUP(A:A,'staff sales'!C:Q,15,)</f>
        <v>19788.7</v>
      </c>
      <c r="L27" s="81">
        <f>VLOOKUP(A:A,'staff sales'!C:T,18,)</f>
        <v>11894.869999999999</v>
      </c>
      <c r="M27" s="81">
        <f>VLOOKUP(A:A,'staff sales'!C:W,21,)</f>
        <v>1870.7800000000002</v>
      </c>
      <c r="N27" s="81">
        <f>VLOOKUP(A:A,'staff sales'!C:Z,24,)</f>
        <v>0</v>
      </c>
      <c r="O27" s="81">
        <f>VLOOKUP(A:A,'staff sales'!C:AC,27,)</f>
        <v>9</v>
      </c>
      <c r="P27" s="81">
        <f>VLOOKUP(A:A,'staff sales'!C:AF,30,)</f>
        <v>1</v>
      </c>
      <c r="Q27" s="81">
        <f>VLOOKUP(A:A,'staff sales'!C:AI,33,)</f>
        <v>43</v>
      </c>
      <c r="R27" s="81">
        <f>VLOOKUP(A:A,'staff sales'!C:AL,36,)</f>
        <v>1</v>
      </c>
      <c r="S27" s="81">
        <f>VLOOKUP(A:A,'staff sales'!C:AO,39,)</f>
        <v>2</v>
      </c>
      <c r="T27" s="81">
        <f>VLOOKUP(A:A,'staff sales'!C:AR,42,)</f>
        <v>1</v>
      </c>
      <c r="U27" s="81">
        <f>VLOOKUP(A:A,'staff sales'!C:AU,45,)</f>
        <v>0</v>
      </c>
      <c r="V27" s="81">
        <f>VLOOKUP(A:A,'staff sales'!C:AX,48,)</f>
        <v>0</v>
      </c>
      <c r="W27" s="81">
        <f>VLOOKUP(A:A,'staff sales'!C:BA,51,)</f>
        <v>0</v>
      </c>
    </row>
    <row r="28" spans="1:23" x14ac:dyDescent="0.25">
      <c r="A28" s="5">
        <v>1005302656</v>
      </c>
      <c r="B28" s="5" t="s">
        <v>845</v>
      </c>
      <c r="C28" s="5" t="s">
        <v>546</v>
      </c>
      <c r="D28" s="5" t="s">
        <v>546</v>
      </c>
      <c r="E28" s="5" t="s">
        <v>331</v>
      </c>
      <c r="F28" s="5" t="s">
        <v>331</v>
      </c>
      <c r="G28" s="5" t="s">
        <v>1218</v>
      </c>
      <c r="H28" s="5" t="s">
        <v>313</v>
      </c>
      <c r="I28" s="5" t="s">
        <v>325</v>
      </c>
      <c r="J28" s="5">
        <v>73009</v>
      </c>
      <c r="K28" s="80">
        <f>VLOOKUP(A:A,'staff sales'!C:Q,15,)</f>
        <v>126536.57</v>
      </c>
      <c r="L28" s="81">
        <f>VLOOKUP(A:A,'staff sales'!C:T,18,)</f>
        <v>5997.4</v>
      </c>
      <c r="M28" s="81">
        <f>VLOOKUP(A:A,'staff sales'!C:W,21,)</f>
        <v>32147.739999999994</v>
      </c>
      <c r="N28" s="81">
        <f>VLOOKUP(A:A,'staff sales'!C:Z,24,)</f>
        <v>0</v>
      </c>
      <c r="O28" s="81">
        <f>VLOOKUP(A:A,'staff sales'!C:AC,27,)</f>
        <v>9</v>
      </c>
      <c r="P28" s="81">
        <f>VLOOKUP(A:A,'staff sales'!C:AF,30,)</f>
        <v>0</v>
      </c>
      <c r="Q28" s="81">
        <f>VLOOKUP(A:A,'staff sales'!C:AI,33,)</f>
        <v>72</v>
      </c>
      <c r="R28" s="81">
        <f>VLOOKUP(A:A,'staff sales'!C:AL,36,)</f>
        <v>1</v>
      </c>
      <c r="S28" s="81">
        <f>VLOOKUP(A:A,'staff sales'!C:AO,39,)</f>
        <v>4</v>
      </c>
      <c r="T28" s="81">
        <f>VLOOKUP(A:A,'staff sales'!C:AR,42,)</f>
        <v>6</v>
      </c>
      <c r="U28" s="81">
        <f>VLOOKUP(A:A,'staff sales'!C:AU,45,)</f>
        <v>6</v>
      </c>
      <c r="V28" s="81">
        <f>VLOOKUP(A:A,'staff sales'!C:AX,48,)</f>
        <v>0</v>
      </c>
      <c r="W28" s="81">
        <f>VLOOKUP(A:A,'staff sales'!C:BA,51,)</f>
        <v>3</v>
      </c>
    </row>
    <row r="29" spans="1:23" x14ac:dyDescent="0.25">
      <c r="A29" s="5">
        <v>1077552790</v>
      </c>
      <c r="B29" s="5" t="s">
        <v>865</v>
      </c>
      <c r="C29" s="5" t="s">
        <v>546</v>
      </c>
      <c r="D29" s="5" t="s">
        <v>546</v>
      </c>
      <c r="E29" s="5" t="s">
        <v>365</v>
      </c>
      <c r="F29" s="5" t="s">
        <v>366</v>
      </c>
      <c r="G29" s="5" t="s">
        <v>1218</v>
      </c>
      <c r="H29" s="5" t="s">
        <v>313</v>
      </c>
      <c r="I29" s="5" t="s">
        <v>325</v>
      </c>
      <c r="J29" s="5">
        <v>73009</v>
      </c>
      <c r="K29" s="80">
        <f>VLOOKUP(A:A,'staff sales'!C:Q,15,)</f>
        <v>44671.320000000007</v>
      </c>
      <c r="L29" s="81">
        <f>VLOOKUP(A:A,'staff sales'!C:T,18,)</f>
        <v>18186.090000000004</v>
      </c>
      <c r="M29" s="81">
        <f>VLOOKUP(A:A,'staff sales'!C:W,21,)</f>
        <v>6555.6600000000008</v>
      </c>
      <c r="N29" s="81">
        <f>VLOOKUP(A:A,'staff sales'!C:Z,24,)</f>
        <v>1604</v>
      </c>
      <c r="O29" s="81">
        <f>VLOOKUP(A:A,'staff sales'!C:AC,27,)</f>
        <v>14</v>
      </c>
      <c r="P29" s="81">
        <f>VLOOKUP(A:A,'staff sales'!C:AF,30,)</f>
        <v>1</v>
      </c>
      <c r="Q29" s="81">
        <f>VLOOKUP(A:A,'staff sales'!C:AI,33,)</f>
        <v>42</v>
      </c>
      <c r="R29" s="81">
        <f>VLOOKUP(A:A,'staff sales'!C:AL,36,)</f>
        <v>3</v>
      </c>
      <c r="S29" s="81">
        <f>VLOOKUP(A:A,'staff sales'!C:AO,39,)</f>
        <v>3</v>
      </c>
      <c r="T29" s="81">
        <f>VLOOKUP(A:A,'staff sales'!C:AR,42,)</f>
        <v>2</v>
      </c>
      <c r="U29" s="81">
        <f>VLOOKUP(A:A,'staff sales'!C:AU,45,)</f>
        <v>5</v>
      </c>
      <c r="V29" s="81">
        <f>VLOOKUP(A:A,'staff sales'!C:AX,48,)</f>
        <v>0</v>
      </c>
      <c r="W29" s="81">
        <f>VLOOKUP(A:A,'staff sales'!C:BA,51,)</f>
        <v>2</v>
      </c>
    </row>
    <row r="30" spans="1:23" x14ac:dyDescent="0.25">
      <c r="A30" s="5">
        <v>1004938344</v>
      </c>
      <c r="B30" s="5" t="s">
        <v>846</v>
      </c>
      <c r="C30" s="5" t="s">
        <v>546</v>
      </c>
      <c r="D30" s="5" t="s">
        <v>546</v>
      </c>
      <c r="E30" s="5" t="s">
        <v>332</v>
      </c>
      <c r="F30" s="5" t="s">
        <v>332</v>
      </c>
      <c r="G30" s="5" t="s">
        <v>1218</v>
      </c>
      <c r="H30" s="5" t="s">
        <v>313</v>
      </c>
      <c r="I30" s="5" t="s">
        <v>325</v>
      </c>
      <c r="J30" s="5">
        <v>73009</v>
      </c>
      <c r="K30" s="80">
        <f>VLOOKUP(A:A,'staff sales'!C:Q,15,)</f>
        <v>50514.8</v>
      </c>
      <c r="L30" s="81">
        <f>VLOOKUP(A:A,'staff sales'!C:T,18,)</f>
        <v>9388.7099999999991</v>
      </c>
      <c r="M30" s="81">
        <f>VLOOKUP(A:A,'staff sales'!C:W,21,)</f>
        <v>6646.52</v>
      </c>
      <c r="N30" s="81">
        <f>VLOOKUP(A:A,'staff sales'!C:Z,24,)</f>
        <v>0</v>
      </c>
      <c r="O30" s="81">
        <f>VLOOKUP(A:A,'staff sales'!C:AC,27,)</f>
        <v>9</v>
      </c>
      <c r="P30" s="81">
        <f>VLOOKUP(A:A,'staff sales'!C:AF,30,)</f>
        <v>2</v>
      </c>
      <c r="Q30" s="81">
        <f>VLOOKUP(A:A,'staff sales'!C:AI,33,)</f>
        <v>40</v>
      </c>
      <c r="R30" s="81">
        <f>VLOOKUP(A:A,'staff sales'!C:AL,36,)</f>
        <v>1</v>
      </c>
      <c r="S30" s="81">
        <f>VLOOKUP(A:A,'staff sales'!C:AO,39,)</f>
        <v>4</v>
      </c>
      <c r="T30" s="81">
        <f>VLOOKUP(A:A,'staff sales'!C:AR,42,)</f>
        <v>2</v>
      </c>
      <c r="U30" s="81">
        <f>VLOOKUP(A:A,'staff sales'!C:AU,45,)</f>
        <v>2</v>
      </c>
      <c r="V30" s="81">
        <f>VLOOKUP(A:A,'staff sales'!C:AX,48,)</f>
        <v>0</v>
      </c>
      <c r="W30" s="81">
        <f>VLOOKUP(A:A,'staff sales'!C:BA,51,)</f>
        <v>2</v>
      </c>
    </row>
    <row r="31" spans="1:23" x14ac:dyDescent="0.25">
      <c r="A31" s="5">
        <v>1019831138</v>
      </c>
      <c r="B31" s="5" t="s">
        <v>847</v>
      </c>
      <c r="C31" s="5" t="s">
        <v>546</v>
      </c>
      <c r="D31" s="5" t="s">
        <v>546</v>
      </c>
      <c r="E31" s="5" t="s">
        <v>333</v>
      </c>
      <c r="F31" s="5" t="s">
        <v>333</v>
      </c>
      <c r="G31" s="5" t="s">
        <v>1218</v>
      </c>
      <c r="H31" s="5" t="s">
        <v>313</v>
      </c>
      <c r="I31" s="5" t="s">
        <v>325</v>
      </c>
      <c r="J31" s="5">
        <v>73009</v>
      </c>
      <c r="K31" s="80">
        <f>VLOOKUP(A:A,'staff sales'!C:Q,15,)</f>
        <v>150586.15000000002</v>
      </c>
      <c r="L31" s="81">
        <f>VLOOKUP(A:A,'staff sales'!C:T,18,)</f>
        <v>14352.18</v>
      </c>
      <c r="M31" s="81">
        <f>VLOOKUP(A:A,'staff sales'!C:W,21,)</f>
        <v>20013.91</v>
      </c>
      <c r="N31" s="81">
        <f>VLOOKUP(A:A,'staff sales'!C:Z,24,)</f>
        <v>0</v>
      </c>
      <c r="O31" s="81">
        <f>VLOOKUP(A:A,'staff sales'!C:AC,27,)</f>
        <v>13</v>
      </c>
      <c r="P31" s="81">
        <f>VLOOKUP(A:A,'staff sales'!C:AF,30,)</f>
        <v>2</v>
      </c>
      <c r="Q31" s="81">
        <f>VLOOKUP(A:A,'staff sales'!C:AI,33,)</f>
        <v>44</v>
      </c>
      <c r="R31" s="81">
        <f>VLOOKUP(A:A,'staff sales'!C:AL,36,)</f>
        <v>4</v>
      </c>
      <c r="S31" s="81">
        <f>VLOOKUP(A:A,'staff sales'!C:AO,39,)</f>
        <v>0</v>
      </c>
      <c r="T31" s="81">
        <f>VLOOKUP(A:A,'staff sales'!C:AR,42,)</f>
        <v>7</v>
      </c>
      <c r="U31" s="81">
        <f>VLOOKUP(A:A,'staff sales'!C:AU,45,)</f>
        <v>4</v>
      </c>
      <c r="V31" s="81">
        <f>VLOOKUP(A:A,'staff sales'!C:AX,48,)</f>
        <v>0</v>
      </c>
      <c r="W31" s="81">
        <f>VLOOKUP(A:A,'staff sales'!C:BA,51,)</f>
        <v>3</v>
      </c>
    </row>
    <row r="32" spans="1:23" x14ac:dyDescent="0.25">
      <c r="A32" s="5">
        <v>1003737390</v>
      </c>
      <c r="B32" s="5" t="s">
        <v>832</v>
      </c>
      <c r="C32" s="5" t="s">
        <v>546</v>
      </c>
      <c r="D32" s="5" t="s">
        <v>546</v>
      </c>
      <c r="E32" s="5" t="s">
        <v>367</v>
      </c>
      <c r="F32" s="5" t="s">
        <v>367</v>
      </c>
      <c r="G32" s="5" t="s">
        <v>1218</v>
      </c>
      <c r="H32" s="5" t="s">
        <v>313</v>
      </c>
      <c r="I32" s="5" t="s">
        <v>325</v>
      </c>
      <c r="J32" s="5">
        <v>73009</v>
      </c>
      <c r="K32" s="80">
        <f>VLOOKUP(A:A,'staff sales'!C:Q,15,)</f>
        <v>59644.39</v>
      </c>
      <c r="L32" s="81">
        <f>VLOOKUP(A:A,'staff sales'!C:T,18,)</f>
        <v>9700.8799999999992</v>
      </c>
      <c r="M32" s="81">
        <f>VLOOKUP(A:A,'staff sales'!C:W,21,)</f>
        <v>23162.94</v>
      </c>
      <c r="N32" s="81">
        <f>VLOOKUP(A:A,'staff sales'!C:Z,24,)</f>
        <v>0</v>
      </c>
      <c r="O32" s="81">
        <f>VLOOKUP(A:A,'staff sales'!C:AC,27,)</f>
        <v>14</v>
      </c>
      <c r="P32" s="81">
        <f>VLOOKUP(A:A,'staff sales'!C:AF,30,)</f>
        <v>2</v>
      </c>
      <c r="Q32" s="81">
        <f>VLOOKUP(A:A,'staff sales'!C:AI,33,)</f>
        <v>52</v>
      </c>
      <c r="R32" s="81">
        <f>VLOOKUP(A:A,'staff sales'!C:AL,36,)</f>
        <v>4</v>
      </c>
      <c r="S32" s="81">
        <f>VLOOKUP(A:A,'staff sales'!C:AO,39,)</f>
        <v>3</v>
      </c>
      <c r="T32" s="81">
        <f>VLOOKUP(A:A,'staff sales'!C:AR,42,)</f>
        <v>17</v>
      </c>
      <c r="U32" s="81">
        <f>VLOOKUP(A:A,'staff sales'!C:AU,45,)</f>
        <v>2</v>
      </c>
      <c r="V32" s="81">
        <f>VLOOKUP(A:A,'staff sales'!C:AX,48,)</f>
        <v>0</v>
      </c>
      <c r="W32" s="81">
        <f>VLOOKUP(A:A,'staff sales'!C:BA,51,)</f>
        <v>3</v>
      </c>
    </row>
    <row r="33" spans="1:23" x14ac:dyDescent="0.25">
      <c r="A33" s="5">
        <v>1073487082</v>
      </c>
      <c r="B33" s="5" t="s">
        <v>848</v>
      </c>
      <c r="C33" s="5" t="s">
        <v>546</v>
      </c>
      <c r="D33" s="5" t="s">
        <v>546</v>
      </c>
      <c r="E33" s="5" t="s">
        <v>334</v>
      </c>
      <c r="F33" s="5" t="s">
        <v>335</v>
      </c>
      <c r="G33" s="5" t="s">
        <v>1218</v>
      </c>
      <c r="H33" s="5" t="s">
        <v>313</v>
      </c>
      <c r="I33" s="5" t="s">
        <v>325</v>
      </c>
      <c r="J33" s="5">
        <v>73009</v>
      </c>
      <c r="K33" s="80">
        <f>VLOOKUP(A:A,'staff sales'!C:Q,15,)</f>
        <v>85623.510000000009</v>
      </c>
      <c r="L33" s="81">
        <f>VLOOKUP(A:A,'staff sales'!C:T,18,)</f>
        <v>5663.5599999999995</v>
      </c>
      <c r="M33" s="81">
        <f>VLOOKUP(A:A,'staff sales'!C:W,21,)</f>
        <v>15130.779999999999</v>
      </c>
      <c r="N33" s="81">
        <f>VLOOKUP(A:A,'staff sales'!C:Z,24,)</f>
        <v>0</v>
      </c>
      <c r="O33" s="81">
        <f>VLOOKUP(A:A,'staff sales'!C:AC,27,)</f>
        <v>12</v>
      </c>
      <c r="P33" s="81">
        <f>VLOOKUP(A:A,'staff sales'!C:AF,30,)</f>
        <v>0</v>
      </c>
      <c r="Q33" s="81">
        <f>VLOOKUP(A:A,'staff sales'!C:AI,33,)</f>
        <v>61</v>
      </c>
      <c r="R33" s="81">
        <f>VLOOKUP(A:A,'staff sales'!C:AL,36,)</f>
        <v>4</v>
      </c>
      <c r="S33" s="81">
        <f>VLOOKUP(A:A,'staff sales'!C:AO,39,)</f>
        <v>2</v>
      </c>
      <c r="T33" s="81">
        <f>VLOOKUP(A:A,'staff sales'!C:AR,42,)</f>
        <v>3</v>
      </c>
      <c r="U33" s="81">
        <f>VLOOKUP(A:A,'staff sales'!C:AU,45,)</f>
        <v>6</v>
      </c>
      <c r="V33" s="81">
        <f>VLOOKUP(A:A,'staff sales'!C:AX,48,)</f>
        <v>0</v>
      </c>
      <c r="W33" s="81">
        <f>VLOOKUP(A:A,'staff sales'!C:BA,51,)</f>
        <v>1</v>
      </c>
    </row>
    <row r="34" spans="1:23" x14ac:dyDescent="0.25">
      <c r="A34" s="5">
        <v>1067766806</v>
      </c>
      <c r="B34" s="5" t="s">
        <v>849</v>
      </c>
      <c r="C34" s="5" t="s">
        <v>546</v>
      </c>
      <c r="D34" s="5" t="s">
        <v>546</v>
      </c>
      <c r="E34" s="5" t="s">
        <v>444</v>
      </c>
      <c r="F34" s="5" t="s">
        <v>445</v>
      </c>
      <c r="G34" s="5" t="s">
        <v>1218</v>
      </c>
      <c r="H34" s="5" t="s">
        <v>313</v>
      </c>
      <c r="I34" s="5" t="s">
        <v>325</v>
      </c>
      <c r="J34" s="5">
        <v>73009</v>
      </c>
      <c r="K34" s="80">
        <f>VLOOKUP(A:A,'staff sales'!C:Q,15,)</f>
        <v>13215.66</v>
      </c>
      <c r="L34" s="81">
        <f>VLOOKUP(A:A,'staff sales'!C:T,18,)</f>
        <v>6259.14</v>
      </c>
      <c r="M34" s="81">
        <f>VLOOKUP(A:A,'staff sales'!C:W,21,)</f>
        <v>4607.83</v>
      </c>
      <c r="N34" s="81">
        <f>VLOOKUP(A:A,'staff sales'!C:Z,24,)</f>
        <v>0</v>
      </c>
      <c r="O34" s="81">
        <f>VLOOKUP(A:A,'staff sales'!C:AC,27,)</f>
        <v>0</v>
      </c>
      <c r="P34" s="81">
        <f>VLOOKUP(A:A,'staff sales'!C:AF,30,)</f>
        <v>0</v>
      </c>
      <c r="Q34" s="81">
        <f>VLOOKUP(A:A,'staff sales'!C:AI,33,)</f>
        <v>29</v>
      </c>
      <c r="R34" s="81">
        <f>VLOOKUP(A:A,'staff sales'!C:AL,36,)</f>
        <v>1</v>
      </c>
      <c r="S34" s="81">
        <f>VLOOKUP(A:A,'staff sales'!C:AO,39,)</f>
        <v>3</v>
      </c>
      <c r="T34" s="81">
        <f>VLOOKUP(A:A,'staff sales'!C:AR,42,)</f>
        <v>2</v>
      </c>
      <c r="U34" s="81">
        <f>VLOOKUP(A:A,'staff sales'!C:AU,45,)</f>
        <v>4</v>
      </c>
      <c r="V34" s="81">
        <f>VLOOKUP(A:A,'staff sales'!C:AX,48,)</f>
        <v>0</v>
      </c>
      <c r="W34" s="81">
        <f>VLOOKUP(A:A,'staff sales'!C:BA,51,)</f>
        <v>1</v>
      </c>
    </row>
    <row r="35" spans="1:23" x14ac:dyDescent="0.25">
      <c r="A35" s="5">
        <v>1024520437</v>
      </c>
      <c r="B35" s="5" t="s">
        <v>856</v>
      </c>
      <c r="C35" s="5" t="s">
        <v>541</v>
      </c>
      <c r="D35" s="5" t="s">
        <v>541</v>
      </c>
      <c r="E35" s="5" t="s">
        <v>343</v>
      </c>
      <c r="F35" s="5" t="s">
        <v>343</v>
      </c>
      <c r="G35" s="5" t="s">
        <v>1218</v>
      </c>
      <c r="H35" s="5" t="s">
        <v>313</v>
      </c>
      <c r="I35" s="5" t="s">
        <v>526</v>
      </c>
      <c r="J35" s="5">
        <v>73010</v>
      </c>
      <c r="K35" s="80">
        <f>VLOOKUP(A:A,'staff sales'!C:Q,15,)</f>
        <v>0</v>
      </c>
      <c r="L35" s="81">
        <f>VLOOKUP(A:A,'staff sales'!C:T,18,)</f>
        <v>0</v>
      </c>
      <c r="M35" s="81">
        <f>VLOOKUP(A:A,'staff sales'!C:W,21,)</f>
        <v>0</v>
      </c>
      <c r="N35" s="81">
        <f>VLOOKUP(A:A,'staff sales'!C:Z,24,)</f>
        <v>0</v>
      </c>
      <c r="O35" s="81">
        <f>VLOOKUP(A:A,'staff sales'!C:AC,27,)</f>
        <v>0</v>
      </c>
      <c r="P35" s="81">
        <f>VLOOKUP(A:A,'staff sales'!C:AF,30,)</f>
        <v>0</v>
      </c>
      <c r="Q35" s="81">
        <f>VLOOKUP(A:A,'staff sales'!C:AI,33,)</f>
        <v>0</v>
      </c>
      <c r="R35" s="81">
        <f>VLOOKUP(A:A,'staff sales'!C:AL,36,)</f>
        <v>0</v>
      </c>
      <c r="S35" s="81">
        <f>VLOOKUP(A:A,'staff sales'!C:AO,39,)</f>
        <v>0</v>
      </c>
      <c r="T35" s="81">
        <f>VLOOKUP(A:A,'staff sales'!C:AR,42,)</f>
        <v>0</v>
      </c>
      <c r="U35" s="81">
        <f>VLOOKUP(A:A,'staff sales'!C:AU,45,)</f>
        <v>0</v>
      </c>
      <c r="V35" s="81">
        <f>VLOOKUP(A:A,'staff sales'!C:AX,48,)</f>
        <v>0</v>
      </c>
      <c r="W35" s="81">
        <f>VLOOKUP(A:A,'staff sales'!C:BA,51,)</f>
        <v>0</v>
      </c>
    </row>
    <row r="36" spans="1:23" x14ac:dyDescent="0.25">
      <c r="A36" s="5">
        <v>1060533427</v>
      </c>
      <c r="B36" s="5" t="s">
        <v>858</v>
      </c>
      <c r="C36" s="5" t="s">
        <v>546</v>
      </c>
      <c r="D36" s="5" t="s">
        <v>546</v>
      </c>
      <c r="E36" s="5" t="s">
        <v>347</v>
      </c>
      <c r="F36" s="5" t="s">
        <v>348</v>
      </c>
      <c r="G36" s="5" t="s">
        <v>1218</v>
      </c>
      <c r="H36" s="5" t="s">
        <v>313</v>
      </c>
      <c r="I36" s="5" t="s">
        <v>526</v>
      </c>
      <c r="J36" s="5">
        <v>73010</v>
      </c>
      <c r="K36" s="80">
        <f>VLOOKUP(A:A,'staff sales'!C:Q,15,)</f>
        <v>32107.83</v>
      </c>
      <c r="L36" s="81">
        <f>VLOOKUP(A:A,'staff sales'!C:T,18,)</f>
        <v>6867.82</v>
      </c>
      <c r="M36" s="81">
        <f>VLOOKUP(A:A,'staff sales'!C:W,21,)</f>
        <v>11675.610000000002</v>
      </c>
      <c r="N36" s="81">
        <f>VLOOKUP(A:A,'staff sales'!C:Z,24,)</f>
        <v>0</v>
      </c>
      <c r="O36" s="81">
        <f>VLOOKUP(A:A,'staff sales'!C:AC,27,)</f>
        <v>4</v>
      </c>
      <c r="P36" s="81">
        <f>VLOOKUP(A:A,'staff sales'!C:AF,30,)</f>
        <v>0</v>
      </c>
      <c r="Q36" s="81">
        <f>VLOOKUP(A:A,'staff sales'!C:AI,33,)</f>
        <v>25</v>
      </c>
      <c r="R36" s="81">
        <f>VLOOKUP(A:A,'staff sales'!C:AL,36,)</f>
        <v>1</v>
      </c>
      <c r="S36" s="81">
        <f>VLOOKUP(A:A,'staff sales'!C:AO,39,)</f>
        <v>1</v>
      </c>
      <c r="T36" s="81">
        <f>VLOOKUP(A:A,'staff sales'!C:AR,42,)</f>
        <v>2</v>
      </c>
      <c r="U36" s="81">
        <f>VLOOKUP(A:A,'staff sales'!C:AU,45,)</f>
        <v>0</v>
      </c>
      <c r="V36" s="81">
        <f>VLOOKUP(A:A,'staff sales'!C:AX,48,)</f>
        <v>0</v>
      </c>
      <c r="W36" s="81">
        <f>VLOOKUP(A:A,'staff sales'!C:BA,51,)</f>
        <v>6</v>
      </c>
    </row>
    <row r="37" spans="1:23" x14ac:dyDescent="0.25">
      <c r="A37" s="5">
        <v>1017434091</v>
      </c>
      <c r="B37" s="5" t="s">
        <v>851</v>
      </c>
      <c r="C37" s="5" t="s">
        <v>546</v>
      </c>
      <c r="D37" s="5" t="s">
        <v>546</v>
      </c>
      <c r="E37" s="5" t="s">
        <v>340</v>
      </c>
      <c r="F37" s="5" t="s">
        <v>341</v>
      </c>
      <c r="G37" s="5" t="s">
        <v>1218</v>
      </c>
      <c r="H37" s="5" t="s">
        <v>313</v>
      </c>
      <c r="I37" s="5" t="s">
        <v>526</v>
      </c>
      <c r="J37" s="5">
        <v>73010</v>
      </c>
      <c r="K37" s="80">
        <f>VLOOKUP(A:A,'staff sales'!C:Q,15,)</f>
        <v>29907.829999999998</v>
      </c>
      <c r="L37" s="81">
        <f>VLOOKUP(A:A,'staff sales'!C:T,18,)</f>
        <v>3129.57</v>
      </c>
      <c r="M37" s="81">
        <f>VLOOKUP(A:A,'staff sales'!C:W,21,)</f>
        <v>7249.5599999999995</v>
      </c>
      <c r="N37" s="81">
        <f>VLOOKUP(A:A,'staff sales'!C:Z,24,)</f>
        <v>0</v>
      </c>
      <c r="O37" s="81">
        <f>VLOOKUP(A:A,'staff sales'!C:AC,27,)</f>
        <v>8</v>
      </c>
      <c r="P37" s="81">
        <f>VLOOKUP(A:A,'staff sales'!C:AF,30,)</f>
        <v>0</v>
      </c>
      <c r="Q37" s="81">
        <f>VLOOKUP(A:A,'staff sales'!C:AI,33,)</f>
        <v>16</v>
      </c>
      <c r="R37" s="81">
        <f>VLOOKUP(A:A,'staff sales'!C:AL,36,)</f>
        <v>0</v>
      </c>
      <c r="S37" s="81">
        <f>VLOOKUP(A:A,'staff sales'!C:AO,39,)</f>
        <v>1</v>
      </c>
      <c r="T37" s="81">
        <f>VLOOKUP(A:A,'staff sales'!C:AR,42,)</f>
        <v>2</v>
      </c>
      <c r="U37" s="81">
        <f>VLOOKUP(A:A,'staff sales'!C:AU,45,)</f>
        <v>0</v>
      </c>
      <c r="V37" s="81">
        <f>VLOOKUP(A:A,'staff sales'!C:AX,48,)</f>
        <v>0</v>
      </c>
      <c r="W37" s="81">
        <f>VLOOKUP(A:A,'staff sales'!C:BA,51,)</f>
        <v>1</v>
      </c>
    </row>
    <row r="38" spans="1:23" x14ac:dyDescent="0.25">
      <c r="A38" s="5">
        <v>1015700162</v>
      </c>
      <c r="B38" s="5" t="s">
        <v>852</v>
      </c>
      <c r="C38" s="5" t="s">
        <v>546</v>
      </c>
      <c r="D38" s="5" t="s">
        <v>546</v>
      </c>
      <c r="E38" s="5" t="s">
        <v>339</v>
      </c>
      <c r="F38" s="5" t="s">
        <v>339</v>
      </c>
      <c r="G38" s="5" t="s">
        <v>1218</v>
      </c>
      <c r="H38" s="5" t="s">
        <v>313</v>
      </c>
      <c r="I38" s="5" t="s">
        <v>526</v>
      </c>
      <c r="J38" s="5">
        <v>73010</v>
      </c>
      <c r="K38" s="80">
        <f>VLOOKUP(A:A,'staff sales'!C:Q,15,)</f>
        <v>48189.58</v>
      </c>
      <c r="L38" s="81">
        <f>VLOOKUP(A:A,'staff sales'!C:T,18,)</f>
        <v>0</v>
      </c>
      <c r="M38" s="81">
        <f>VLOOKUP(A:A,'staff sales'!C:W,21,)</f>
        <v>16893.509999999998</v>
      </c>
      <c r="N38" s="81">
        <f>VLOOKUP(A:A,'staff sales'!C:Z,24,)</f>
        <v>0</v>
      </c>
      <c r="O38" s="81">
        <f>VLOOKUP(A:A,'staff sales'!C:AC,27,)</f>
        <v>15</v>
      </c>
      <c r="P38" s="81">
        <f>VLOOKUP(A:A,'staff sales'!C:AF,30,)</f>
        <v>0</v>
      </c>
      <c r="Q38" s="81">
        <f>VLOOKUP(A:A,'staff sales'!C:AI,33,)</f>
        <v>33</v>
      </c>
      <c r="R38" s="81">
        <f>VLOOKUP(A:A,'staff sales'!C:AL,36,)</f>
        <v>3</v>
      </c>
      <c r="S38" s="81">
        <f>VLOOKUP(A:A,'staff sales'!C:AO,39,)</f>
        <v>4</v>
      </c>
      <c r="T38" s="81">
        <f>VLOOKUP(A:A,'staff sales'!C:AR,42,)</f>
        <v>3</v>
      </c>
      <c r="U38" s="81">
        <f>VLOOKUP(A:A,'staff sales'!C:AU,45,)</f>
        <v>4</v>
      </c>
      <c r="V38" s="81">
        <f>VLOOKUP(A:A,'staff sales'!C:AX,48,)</f>
        <v>0</v>
      </c>
      <c r="W38" s="81">
        <f>VLOOKUP(A:A,'staff sales'!C:BA,51,)</f>
        <v>3</v>
      </c>
    </row>
    <row r="39" spans="1:23" x14ac:dyDescent="0.25">
      <c r="A39" s="5">
        <v>1090166685</v>
      </c>
      <c r="B39" s="5" t="s">
        <v>882</v>
      </c>
      <c r="C39" s="5" t="s">
        <v>546</v>
      </c>
      <c r="D39" s="5" t="s">
        <v>546</v>
      </c>
      <c r="E39" s="5" t="s">
        <v>459</v>
      </c>
      <c r="F39" s="5" t="s">
        <v>459</v>
      </c>
      <c r="G39" s="5" t="s">
        <v>1218</v>
      </c>
      <c r="H39" s="5" t="s">
        <v>313</v>
      </c>
      <c r="I39" s="5" t="s">
        <v>526</v>
      </c>
      <c r="J39" s="5">
        <v>73010</v>
      </c>
      <c r="K39" s="80">
        <f>VLOOKUP(A:A,'staff sales'!C:Q,15,)</f>
        <v>52225.240000000005</v>
      </c>
      <c r="L39" s="81">
        <f>VLOOKUP(A:A,'staff sales'!C:T,18,)</f>
        <v>0</v>
      </c>
      <c r="M39" s="81">
        <f>VLOOKUP(A:A,'staff sales'!C:W,21,)</f>
        <v>29261.360000000001</v>
      </c>
      <c r="N39" s="81">
        <f>VLOOKUP(A:A,'staff sales'!C:Z,24,)</f>
        <v>0</v>
      </c>
      <c r="O39" s="81">
        <f>VLOOKUP(A:A,'staff sales'!C:AC,27,)</f>
        <v>6</v>
      </c>
      <c r="P39" s="81">
        <f>VLOOKUP(A:A,'staff sales'!C:AF,30,)</f>
        <v>1</v>
      </c>
      <c r="Q39" s="81">
        <f>VLOOKUP(A:A,'staff sales'!C:AI,33,)</f>
        <v>16</v>
      </c>
      <c r="R39" s="81">
        <f>VLOOKUP(A:A,'staff sales'!C:AL,36,)</f>
        <v>1</v>
      </c>
      <c r="S39" s="81">
        <f>VLOOKUP(A:A,'staff sales'!C:AO,39,)</f>
        <v>0</v>
      </c>
      <c r="T39" s="81">
        <f>VLOOKUP(A:A,'staff sales'!C:AR,42,)</f>
        <v>5</v>
      </c>
      <c r="U39" s="81">
        <f>VLOOKUP(A:A,'staff sales'!C:AU,45,)</f>
        <v>0</v>
      </c>
      <c r="V39" s="81">
        <f>VLOOKUP(A:A,'staff sales'!C:AX,48,)</f>
        <v>0</v>
      </c>
      <c r="W39" s="81">
        <f>VLOOKUP(A:A,'staff sales'!C:BA,51,)</f>
        <v>4</v>
      </c>
    </row>
    <row r="40" spans="1:23" x14ac:dyDescent="0.25">
      <c r="A40" s="5">
        <v>1054866429</v>
      </c>
      <c r="B40" s="5" t="s">
        <v>855</v>
      </c>
      <c r="C40" s="5" t="s">
        <v>546</v>
      </c>
      <c r="D40" s="5" t="s">
        <v>546</v>
      </c>
      <c r="E40" s="5" t="s">
        <v>447</v>
      </c>
      <c r="F40" s="5" t="s">
        <v>448</v>
      </c>
      <c r="G40" s="5" t="s">
        <v>1218</v>
      </c>
      <c r="H40" s="5" t="s">
        <v>313</v>
      </c>
      <c r="I40" s="5" t="s">
        <v>526</v>
      </c>
      <c r="J40" s="5">
        <v>73010</v>
      </c>
      <c r="K40" s="80">
        <f>VLOOKUP(A:A,'staff sales'!C:Q,15,)</f>
        <v>39933.050000000003</v>
      </c>
      <c r="L40" s="81">
        <f>VLOOKUP(A:A,'staff sales'!C:T,18,)</f>
        <v>0</v>
      </c>
      <c r="M40" s="81">
        <f>VLOOKUP(A:A,'staff sales'!C:W,21,)</f>
        <v>3570</v>
      </c>
      <c r="N40" s="81">
        <f>VLOOKUP(A:A,'staff sales'!C:Z,24,)</f>
        <v>0</v>
      </c>
      <c r="O40" s="81">
        <f>VLOOKUP(A:A,'staff sales'!C:AC,27,)</f>
        <v>14</v>
      </c>
      <c r="P40" s="81">
        <f>VLOOKUP(A:A,'staff sales'!C:AF,30,)</f>
        <v>0</v>
      </c>
      <c r="Q40" s="81">
        <f>VLOOKUP(A:A,'staff sales'!C:AI,33,)</f>
        <v>19</v>
      </c>
      <c r="R40" s="81">
        <f>VLOOKUP(A:A,'staff sales'!C:AL,36,)</f>
        <v>2</v>
      </c>
      <c r="S40" s="81">
        <f>VLOOKUP(A:A,'staff sales'!C:AO,39,)</f>
        <v>1</v>
      </c>
      <c r="T40" s="81">
        <f>VLOOKUP(A:A,'staff sales'!C:AR,42,)</f>
        <v>3</v>
      </c>
      <c r="U40" s="81">
        <f>VLOOKUP(A:A,'staff sales'!C:AU,45,)</f>
        <v>0</v>
      </c>
      <c r="V40" s="81">
        <f>VLOOKUP(A:A,'staff sales'!C:AX,48,)</f>
        <v>0</v>
      </c>
      <c r="W40" s="81">
        <f>VLOOKUP(A:A,'staff sales'!C:BA,51,)</f>
        <v>2</v>
      </c>
    </row>
    <row r="41" spans="1:23" x14ac:dyDescent="0.25">
      <c r="A41" s="5">
        <v>1007893256</v>
      </c>
      <c r="B41" s="5" t="s">
        <v>836</v>
      </c>
      <c r="C41" s="5" t="s">
        <v>541</v>
      </c>
      <c r="D41" s="5" t="s">
        <v>541</v>
      </c>
      <c r="E41" s="5" t="s">
        <v>328</v>
      </c>
      <c r="F41" s="5" t="s">
        <v>328</v>
      </c>
      <c r="G41" s="5" t="s">
        <v>1218</v>
      </c>
      <c r="H41" s="5" t="s">
        <v>313</v>
      </c>
      <c r="I41" s="5" t="s">
        <v>342</v>
      </c>
      <c r="J41" s="5">
        <v>73015</v>
      </c>
      <c r="K41" s="80">
        <f>VLOOKUP(A:A,'staff sales'!C:Q,15,)</f>
        <v>0</v>
      </c>
      <c r="L41" s="81">
        <f>VLOOKUP(A:A,'staff sales'!C:T,18,)</f>
        <v>0</v>
      </c>
      <c r="M41" s="81">
        <f>VLOOKUP(A:A,'staff sales'!C:W,21,)</f>
        <v>0</v>
      </c>
      <c r="N41" s="81">
        <f>VLOOKUP(A:A,'staff sales'!C:Z,24,)</f>
        <v>0</v>
      </c>
      <c r="O41" s="81">
        <f>VLOOKUP(A:A,'staff sales'!C:AC,27,)</f>
        <v>0</v>
      </c>
      <c r="P41" s="81">
        <f>VLOOKUP(A:A,'staff sales'!C:AF,30,)</f>
        <v>0</v>
      </c>
      <c r="Q41" s="81">
        <f>VLOOKUP(A:A,'staff sales'!C:AI,33,)</f>
        <v>0</v>
      </c>
      <c r="R41" s="81">
        <f>VLOOKUP(A:A,'staff sales'!C:AL,36,)</f>
        <v>0</v>
      </c>
      <c r="S41" s="81">
        <f>VLOOKUP(A:A,'staff sales'!C:AO,39,)</f>
        <v>1</v>
      </c>
      <c r="T41" s="81">
        <f>VLOOKUP(A:A,'staff sales'!C:AR,42,)</f>
        <v>0</v>
      </c>
      <c r="U41" s="81">
        <f>VLOOKUP(A:A,'staff sales'!C:AU,45,)</f>
        <v>0</v>
      </c>
      <c r="V41" s="81">
        <f>VLOOKUP(A:A,'staff sales'!C:AX,48,)</f>
        <v>0</v>
      </c>
      <c r="W41" s="81">
        <f>VLOOKUP(A:A,'staff sales'!C:BA,51,)</f>
        <v>0</v>
      </c>
    </row>
    <row r="42" spans="1:23" x14ac:dyDescent="0.25">
      <c r="A42" s="5">
        <v>1041453059</v>
      </c>
      <c r="B42" s="5" t="s">
        <v>834</v>
      </c>
      <c r="C42" s="5" t="s">
        <v>544</v>
      </c>
      <c r="D42" s="5" t="s">
        <v>544</v>
      </c>
      <c r="E42" s="5" t="s">
        <v>440</v>
      </c>
      <c r="F42" s="5" t="s">
        <v>441</v>
      </c>
      <c r="G42" s="5" t="s">
        <v>1218</v>
      </c>
      <c r="H42" s="5" t="s">
        <v>313</v>
      </c>
      <c r="I42" s="5" t="s">
        <v>342</v>
      </c>
      <c r="J42" s="5">
        <v>73015</v>
      </c>
      <c r="K42" s="80">
        <f>VLOOKUP(A:A,'staff sales'!C:Q,15,)</f>
        <v>0</v>
      </c>
      <c r="L42" s="81">
        <f>VLOOKUP(A:A,'staff sales'!C:T,18,)</f>
        <v>0</v>
      </c>
      <c r="M42" s="81">
        <f>VLOOKUP(A:A,'staff sales'!C:W,21,)</f>
        <v>0</v>
      </c>
      <c r="N42" s="81">
        <f>VLOOKUP(A:A,'staff sales'!C:Z,24,)</f>
        <v>0</v>
      </c>
      <c r="O42" s="81">
        <f>VLOOKUP(A:A,'staff sales'!C:AC,27,)</f>
        <v>0</v>
      </c>
      <c r="P42" s="81">
        <f>VLOOKUP(A:A,'staff sales'!C:AF,30,)</f>
        <v>0</v>
      </c>
      <c r="Q42" s="81">
        <f>VLOOKUP(A:A,'staff sales'!C:AI,33,)</f>
        <v>0</v>
      </c>
      <c r="R42" s="81">
        <f>VLOOKUP(A:A,'staff sales'!C:AL,36,)</f>
        <v>0</v>
      </c>
      <c r="S42" s="81">
        <f>VLOOKUP(A:A,'staff sales'!C:AO,39,)</f>
        <v>3</v>
      </c>
      <c r="T42" s="81">
        <f>VLOOKUP(A:A,'staff sales'!C:AR,42,)</f>
        <v>0</v>
      </c>
      <c r="U42" s="81">
        <f>VLOOKUP(A:A,'staff sales'!C:AU,45,)</f>
        <v>0</v>
      </c>
      <c r="V42" s="81">
        <f>VLOOKUP(A:A,'staff sales'!C:AX,48,)</f>
        <v>0</v>
      </c>
      <c r="W42" s="81">
        <f>VLOOKUP(A:A,'staff sales'!C:BA,51,)</f>
        <v>0</v>
      </c>
    </row>
    <row r="43" spans="1:23" x14ac:dyDescent="0.25">
      <c r="A43" s="5">
        <v>1022712143</v>
      </c>
      <c r="B43" s="5" t="s">
        <v>857</v>
      </c>
      <c r="C43" s="5" t="s">
        <v>546</v>
      </c>
      <c r="D43" s="5" t="s">
        <v>546</v>
      </c>
      <c r="E43" s="5" t="s">
        <v>350</v>
      </c>
      <c r="F43" s="5" t="s">
        <v>351</v>
      </c>
      <c r="G43" s="5" t="s">
        <v>1218</v>
      </c>
      <c r="H43" s="5" t="s">
        <v>313</v>
      </c>
      <c r="I43" s="5" t="s">
        <v>342</v>
      </c>
      <c r="J43" s="5">
        <v>73015</v>
      </c>
      <c r="K43" s="80">
        <f>VLOOKUP(A:A,'staff sales'!C:Q,15,)</f>
        <v>67015.680000000022</v>
      </c>
      <c r="L43" s="81">
        <f>VLOOKUP(A:A,'staff sales'!C:T,18,)</f>
        <v>28797.18</v>
      </c>
      <c r="M43" s="81">
        <f>VLOOKUP(A:A,'staff sales'!C:W,21,)</f>
        <v>21725.42</v>
      </c>
      <c r="N43" s="81">
        <f>VLOOKUP(A:A,'staff sales'!C:Z,24,)</f>
        <v>359</v>
      </c>
      <c r="O43" s="81">
        <f>VLOOKUP(A:A,'staff sales'!C:AC,27,)</f>
        <v>3</v>
      </c>
      <c r="P43" s="81">
        <f>VLOOKUP(A:A,'staff sales'!C:AF,30,)</f>
        <v>1</v>
      </c>
      <c r="Q43" s="81">
        <f>VLOOKUP(A:A,'staff sales'!C:AI,33,)</f>
        <v>19</v>
      </c>
      <c r="R43" s="81">
        <f>VLOOKUP(A:A,'staff sales'!C:AL,36,)</f>
        <v>1</v>
      </c>
      <c r="S43" s="81">
        <f>VLOOKUP(A:A,'staff sales'!C:AO,39,)</f>
        <v>5</v>
      </c>
      <c r="T43" s="81">
        <f>VLOOKUP(A:A,'staff sales'!C:AR,42,)</f>
        <v>6</v>
      </c>
      <c r="U43" s="81">
        <f>VLOOKUP(A:A,'staff sales'!C:AU,45,)</f>
        <v>19</v>
      </c>
      <c r="V43" s="81">
        <f>VLOOKUP(A:A,'staff sales'!C:AX,48,)</f>
        <v>0</v>
      </c>
      <c r="W43" s="81">
        <f>VLOOKUP(A:A,'staff sales'!C:BA,51,)</f>
        <v>4</v>
      </c>
    </row>
    <row r="44" spans="1:23" x14ac:dyDescent="0.25">
      <c r="A44" s="5">
        <v>1069090783</v>
      </c>
      <c r="B44" s="5" t="s">
        <v>853</v>
      </c>
      <c r="C44" s="5" t="s">
        <v>546</v>
      </c>
      <c r="D44" s="5" t="s">
        <v>546</v>
      </c>
      <c r="E44" s="5" t="s">
        <v>322</v>
      </c>
      <c r="F44" s="5" t="s">
        <v>323</v>
      </c>
      <c r="G44" s="5" t="s">
        <v>1218</v>
      </c>
      <c r="H44" s="5" t="s">
        <v>313</v>
      </c>
      <c r="I44" s="5" t="s">
        <v>342</v>
      </c>
      <c r="J44" s="5">
        <v>73015</v>
      </c>
      <c r="K44" s="80">
        <f>VLOOKUP(A:A,'staff sales'!C:Q,15,)</f>
        <v>36406.089999999997</v>
      </c>
      <c r="L44" s="81">
        <f>VLOOKUP(A:A,'staff sales'!C:T,18,)</f>
        <v>0</v>
      </c>
      <c r="M44" s="81">
        <f>VLOOKUP(A:A,'staff sales'!C:W,21,)</f>
        <v>5323.4800000000005</v>
      </c>
      <c r="N44" s="81">
        <f>VLOOKUP(A:A,'staff sales'!C:Z,24,)</f>
        <v>0</v>
      </c>
      <c r="O44" s="81">
        <f>VLOOKUP(A:A,'staff sales'!C:AC,27,)</f>
        <v>3</v>
      </c>
      <c r="P44" s="81">
        <f>VLOOKUP(A:A,'staff sales'!C:AF,30,)</f>
        <v>0</v>
      </c>
      <c r="Q44" s="81">
        <f>VLOOKUP(A:A,'staff sales'!C:AI,33,)</f>
        <v>25</v>
      </c>
      <c r="R44" s="81">
        <f>VLOOKUP(A:A,'staff sales'!C:AL,36,)</f>
        <v>2</v>
      </c>
      <c r="S44" s="81">
        <f>VLOOKUP(A:A,'staff sales'!C:AO,39,)</f>
        <v>1</v>
      </c>
      <c r="T44" s="81">
        <f>VLOOKUP(A:A,'staff sales'!C:AR,42,)</f>
        <v>2</v>
      </c>
      <c r="U44" s="81">
        <f>VLOOKUP(A:A,'staff sales'!C:AU,45,)</f>
        <v>1</v>
      </c>
      <c r="V44" s="81">
        <f>VLOOKUP(A:A,'staff sales'!C:AX,48,)</f>
        <v>0</v>
      </c>
      <c r="W44" s="81">
        <f>VLOOKUP(A:A,'staff sales'!C:BA,51,)</f>
        <v>1</v>
      </c>
    </row>
    <row r="45" spans="1:23" x14ac:dyDescent="0.25">
      <c r="A45" s="5">
        <v>1003593264</v>
      </c>
      <c r="B45" s="5" t="s">
        <v>867</v>
      </c>
      <c r="C45" s="5" t="s">
        <v>546</v>
      </c>
      <c r="D45" s="5" t="s">
        <v>546</v>
      </c>
      <c r="E45" s="5" t="s">
        <v>355</v>
      </c>
      <c r="F45" s="5" t="s">
        <v>355</v>
      </c>
      <c r="G45" s="5" t="s">
        <v>1218</v>
      </c>
      <c r="H45" s="5" t="s">
        <v>313</v>
      </c>
      <c r="I45" s="5" t="s">
        <v>342</v>
      </c>
      <c r="J45" s="5">
        <v>73015</v>
      </c>
      <c r="K45" s="80">
        <f>VLOOKUP(A:A,'staff sales'!C:Q,15,)</f>
        <v>45206.98000000001</v>
      </c>
      <c r="L45" s="81">
        <f>VLOOKUP(A:A,'staff sales'!C:T,18,)</f>
        <v>0</v>
      </c>
      <c r="M45" s="81">
        <f>VLOOKUP(A:A,'staff sales'!C:W,21,)</f>
        <v>8736.52</v>
      </c>
      <c r="N45" s="81">
        <f>VLOOKUP(A:A,'staff sales'!C:Z,24,)</f>
        <v>0</v>
      </c>
      <c r="O45" s="81">
        <f>VLOOKUP(A:A,'staff sales'!C:AC,27,)</f>
        <v>5</v>
      </c>
      <c r="P45" s="81">
        <f>VLOOKUP(A:A,'staff sales'!C:AF,30,)</f>
        <v>1</v>
      </c>
      <c r="Q45" s="81">
        <f>VLOOKUP(A:A,'staff sales'!C:AI,33,)</f>
        <v>39</v>
      </c>
      <c r="R45" s="81">
        <f>VLOOKUP(A:A,'staff sales'!C:AL,36,)</f>
        <v>1</v>
      </c>
      <c r="S45" s="81">
        <f>VLOOKUP(A:A,'staff sales'!C:AO,39,)</f>
        <v>1</v>
      </c>
      <c r="T45" s="81">
        <f>VLOOKUP(A:A,'staff sales'!C:AR,42,)</f>
        <v>4</v>
      </c>
      <c r="U45" s="81">
        <f>VLOOKUP(A:A,'staff sales'!C:AU,45,)</f>
        <v>0</v>
      </c>
      <c r="V45" s="81">
        <f>VLOOKUP(A:A,'staff sales'!C:AX,48,)</f>
        <v>0</v>
      </c>
      <c r="W45" s="81">
        <f>VLOOKUP(A:A,'staff sales'!C:BA,51,)</f>
        <v>0</v>
      </c>
    </row>
    <row r="46" spans="1:23" x14ac:dyDescent="0.25">
      <c r="A46" s="5">
        <v>1074176551</v>
      </c>
      <c r="B46" s="5" t="s">
        <v>863</v>
      </c>
      <c r="C46" s="5" t="s">
        <v>546</v>
      </c>
      <c r="D46" s="5" t="s">
        <v>546</v>
      </c>
      <c r="E46" s="5" t="s">
        <v>349</v>
      </c>
      <c r="F46" s="5" t="s">
        <v>349</v>
      </c>
      <c r="G46" s="5" t="s">
        <v>1218</v>
      </c>
      <c r="H46" s="5" t="s">
        <v>313</v>
      </c>
      <c r="I46" s="5" t="s">
        <v>342</v>
      </c>
      <c r="J46" s="5">
        <v>73015</v>
      </c>
      <c r="K46" s="80">
        <f>VLOOKUP(A:A,'staff sales'!C:Q,15,)</f>
        <v>78535.670000000013</v>
      </c>
      <c r="L46" s="81">
        <f>VLOOKUP(A:A,'staff sales'!C:T,18,)</f>
        <v>0</v>
      </c>
      <c r="M46" s="81">
        <f>VLOOKUP(A:A,'staff sales'!C:W,21,)</f>
        <v>13755.22</v>
      </c>
      <c r="N46" s="81">
        <f>VLOOKUP(A:A,'staff sales'!C:Z,24,)</f>
        <v>0</v>
      </c>
      <c r="O46" s="81">
        <f>VLOOKUP(A:A,'staff sales'!C:AC,27,)</f>
        <v>19</v>
      </c>
      <c r="P46" s="81">
        <f>VLOOKUP(A:A,'staff sales'!C:AF,30,)</f>
        <v>0</v>
      </c>
      <c r="Q46" s="81">
        <f>VLOOKUP(A:A,'staff sales'!C:AI,33,)</f>
        <v>45</v>
      </c>
      <c r="R46" s="81">
        <f>VLOOKUP(A:A,'staff sales'!C:AL,36,)</f>
        <v>3</v>
      </c>
      <c r="S46" s="81">
        <f>VLOOKUP(A:A,'staff sales'!C:AO,39,)</f>
        <v>0</v>
      </c>
      <c r="T46" s="81">
        <f>VLOOKUP(A:A,'staff sales'!C:AR,42,)</f>
        <v>11</v>
      </c>
      <c r="U46" s="81">
        <f>VLOOKUP(A:A,'staff sales'!C:AU,45,)</f>
        <v>4</v>
      </c>
      <c r="V46" s="81">
        <f>VLOOKUP(A:A,'staff sales'!C:AX,48,)</f>
        <v>0</v>
      </c>
      <c r="W46" s="81">
        <f>VLOOKUP(A:A,'staff sales'!C:BA,51,)</f>
        <v>1</v>
      </c>
    </row>
    <row r="47" spans="1:23" x14ac:dyDescent="0.25">
      <c r="A47" s="5">
        <v>1076354982</v>
      </c>
      <c r="B47" s="5" t="s">
        <v>877</v>
      </c>
      <c r="C47" s="5" t="s">
        <v>546</v>
      </c>
      <c r="D47" s="5" t="s">
        <v>546</v>
      </c>
      <c r="E47" s="5" t="s">
        <v>360</v>
      </c>
      <c r="F47" s="5" t="s">
        <v>361</v>
      </c>
      <c r="G47" s="5" t="s">
        <v>1218</v>
      </c>
      <c r="H47" s="5" t="s">
        <v>313</v>
      </c>
      <c r="I47" s="5" t="s">
        <v>342</v>
      </c>
      <c r="J47" s="5">
        <v>73015</v>
      </c>
      <c r="K47" s="80">
        <f>VLOOKUP(A:A,'staff sales'!C:Q,15,)</f>
        <v>38748.710000000006</v>
      </c>
      <c r="L47" s="81">
        <f>VLOOKUP(A:A,'staff sales'!C:T,18,)</f>
        <v>3216.52</v>
      </c>
      <c r="M47" s="81">
        <f>VLOOKUP(A:A,'staff sales'!C:W,21,)</f>
        <v>8637.39</v>
      </c>
      <c r="N47" s="81">
        <f>VLOOKUP(A:A,'staff sales'!C:Z,24,)</f>
        <v>0</v>
      </c>
      <c r="O47" s="81">
        <f>VLOOKUP(A:A,'staff sales'!C:AC,27,)</f>
        <v>7</v>
      </c>
      <c r="P47" s="81">
        <f>VLOOKUP(A:A,'staff sales'!C:AF,30,)</f>
        <v>1</v>
      </c>
      <c r="Q47" s="81">
        <f>VLOOKUP(A:A,'staff sales'!C:AI,33,)</f>
        <v>44</v>
      </c>
      <c r="R47" s="81">
        <f>VLOOKUP(A:A,'staff sales'!C:AL,36,)</f>
        <v>1</v>
      </c>
      <c r="S47" s="81">
        <f>VLOOKUP(A:A,'staff sales'!C:AO,39,)</f>
        <v>2</v>
      </c>
      <c r="T47" s="81">
        <f>VLOOKUP(A:A,'staff sales'!C:AR,42,)</f>
        <v>7</v>
      </c>
      <c r="U47" s="81">
        <f>VLOOKUP(A:A,'staff sales'!C:AU,45,)</f>
        <v>3</v>
      </c>
      <c r="V47" s="81">
        <f>VLOOKUP(A:A,'staff sales'!C:AX,48,)</f>
        <v>0</v>
      </c>
      <c r="W47" s="81">
        <f>VLOOKUP(A:A,'staff sales'!C:BA,51,)</f>
        <v>0</v>
      </c>
    </row>
    <row r="48" spans="1:23" x14ac:dyDescent="0.25">
      <c r="A48" s="5">
        <v>1033935568</v>
      </c>
      <c r="B48" s="5" t="s">
        <v>854</v>
      </c>
      <c r="C48" s="5" t="s">
        <v>546</v>
      </c>
      <c r="D48" s="5" t="s">
        <v>546</v>
      </c>
      <c r="E48" s="5" t="s">
        <v>364</v>
      </c>
      <c r="F48" s="5" t="s">
        <v>364</v>
      </c>
      <c r="G48" s="5" t="s">
        <v>1218</v>
      </c>
      <c r="H48" s="5" t="s">
        <v>313</v>
      </c>
      <c r="I48" s="5" t="s">
        <v>342</v>
      </c>
      <c r="J48" s="5">
        <v>73015</v>
      </c>
      <c r="K48" s="80">
        <f>VLOOKUP(A:A,'staff sales'!C:Q,15,)</f>
        <v>26369.57</v>
      </c>
      <c r="L48" s="81">
        <f>VLOOKUP(A:A,'staff sales'!C:T,18,)</f>
        <v>3651.3</v>
      </c>
      <c r="M48" s="81">
        <f>VLOOKUP(A:A,'staff sales'!C:W,21,)</f>
        <v>4427.3900000000003</v>
      </c>
      <c r="N48" s="81">
        <f>VLOOKUP(A:A,'staff sales'!C:Z,24,)</f>
        <v>0</v>
      </c>
      <c r="O48" s="81">
        <f>VLOOKUP(A:A,'staff sales'!C:AC,27,)</f>
        <v>14</v>
      </c>
      <c r="P48" s="81">
        <f>VLOOKUP(A:A,'staff sales'!C:AF,30,)</f>
        <v>0</v>
      </c>
      <c r="Q48" s="81">
        <f>VLOOKUP(A:A,'staff sales'!C:AI,33,)</f>
        <v>27</v>
      </c>
      <c r="R48" s="81">
        <f>VLOOKUP(A:A,'staff sales'!C:AL,36,)</f>
        <v>1</v>
      </c>
      <c r="S48" s="81">
        <f>VLOOKUP(A:A,'staff sales'!C:AO,39,)</f>
        <v>0</v>
      </c>
      <c r="T48" s="81">
        <f>VLOOKUP(A:A,'staff sales'!C:AR,42,)</f>
        <v>5</v>
      </c>
      <c r="U48" s="81">
        <f>VLOOKUP(A:A,'staff sales'!C:AU,45,)</f>
        <v>0</v>
      </c>
      <c r="V48" s="81">
        <f>VLOOKUP(A:A,'staff sales'!C:AX,48,)</f>
        <v>0</v>
      </c>
      <c r="W48" s="81">
        <f>VLOOKUP(A:A,'staff sales'!C:BA,51,)</f>
        <v>0</v>
      </c>
    </row>
    <row r="49" spans="1:23" x14ac:dyDescent="0.25">
      <c r="A49" s="5">
        <v>1017611763</v>
      </c>
      <c r="B49" s="5" t="s">
        <v>859</v>
      </c>
      <c r="C49" s="5" t="s">
        <v>546</v>
      </c>
      <c r="D49" s="5" t="s">
        <v>546</v>
      </c>
      <c r="E49" s="5" t="s">
        <v>449</v>
      </c>
      <c r="F49" s="5" t="s">
        <v>449</v>
      </c>
      <c r="G49" s="5" t="s">
        <v>1218</v>
      </c>
      <c r="H49" s="5" t="s">
        <v>313</v>
      </c>
      <c r="I49" s="5" t="s">
        <v>342</v>
      </c>
      <c r="J49" s="5">
        <v>73015</v>
      </c>
      <c r="K49" s="80">
        <f>VLOOKUP(A:A,'staff sales'!C:Q,15,)</f>
        <v>65538.28</v>
      </c>
      <c r="L49" s="81">
        <f>VLOOKUP(A:A,'staff sales'!C:T,18,)</f>
        <v>1216.52</v>
      </c>
      <c r="M49" s="81">
        <f>VLOOKUP(A:A,'staff sales'!C:W,21,)</f>
        <v>11726.96</v>
      </c>
      <c r="N49" s="81">
        <f>VLOOKUP(A:A,'staff sales'!C:Z,24,)</f>
        <v>0</v>
      </c>
      <c r="O49" s="81">
        <f>VLOOKUP(A:A,'staff sales'!C:AC,27,)</f>
        <v>4</v>
      </c>
      <c r="P49" s="81">
        <f>VLOOKUP(A:A,'staff sales'!C:AF,30,)</f>
        <v>0</v>
      </c>
      <c r="Q49" s="81">
        <f>VLOOKUP(A:A,'staff sales'!C:AI,33,)</f>
        <v>19</v>
      </c>
      <c r="R49" s="81">
        <f>VLOOKUP(A:A,'staff sales'!C:AL,36,)</f>
        <v>2</v>
      </c>
      <c r="S49" s="81">
        <f>VLOOKUP(A:A,'staff sales'!C:AO,39,)</f>
        <v>2</v>
      </c>
      <c r="T49" s="81">
        <f>VLOOKUP(A:A,'staff sales'!C:AR,42,)</f>
        <v>4</v>
      </c>
      <c r="U49" s="81">
        <f>VLOOKUP(A:A,'staff sales'!C:AU,45,)</f>
        <v>8</v>
      </c>
      <c r="V49" s="81">
        <f>VLOOKUP(A:A,'staff sales'!C:AX,48,)</f>
        <v>0</v>
      </c>
      <c r="W49" s="81">
        <f>VLOOKUP(A:A,'staff sales'!C:BA,51,)</f>
        <v>4</v>
      </c>
    </row>
    <row r="50" spans="1:23" x14ac:dyDescent="0.25">
      <c r="A50" s="5">
        <v>1019895109</v>
      </c>
      <c r="B50" s="5" t="s">
        <v>862</v>
      </c>
      <c r="C50" s="5" t="s">
        <v>546</v>
      </c>
      <c r="D50" s="5" t="s">
        <v>546</v>
      </c>
      <c r="E50" s="5" t="s">
        <v>344</v>
      </c>
      <c r="F50" s="5" t="s">
        <v>345</v>
      </c>
      <c r="G50" s="5" t="s">
        <v>1218</v>
      </c>
      <c r="H50" s="5" t="s">
        <v>313</v>
      </c>
      <c r="I50" s="5" t="s">
        <v>342</v>
      </c>
      <c r="J50" s="5">
        <v>73015</v>
      </c>
      <c r="K50" s="80">
        <f>VLOOKUP(A:A,'staff sales'!C:Q,15,)</f>
        <v>51940.020000000004</v>
      </c>
      <c r="L50" s="81">
        <f>VLOOKUP(A:A,'staff sales'!C:T,18,)</f>
        <v>8953.91</v>
      </c>
      <c r="M50" s="81">
        <f>VLOOKUP(A:A,'staff sales'!C:W,21,)</f>
        <v>18309.999999999996</v>
      </c>
      <c r="N50" s="81">
        <f>VLOOKUP(A:A,'staff sales'!C:Z,24,)</f>
        <v>0</v>
      </c>
      <c r="O50" s="81">
        <f>VLOOKUP(A:A,'staff sales'!C:AC,27,)</f>
        <v>14</v>
      </c>
      <c r="P50" s="81">
        <f>VLOOKUP(A:A,'staff sales'!C:AF,30,)</f>
        <v>0</v>
      </c>
      <c r="Q50" s="81">
        <f>VLOOKUP(A:A,'staff sales'!C:AI,33,)</f>
        <v>31</v>
      </c>
      <c r="R50" s="81">
        <f>VLOOKUP(A:A,'staff sales'!C:AL,36,)</f>
        <v>3</v>
      </c>
      <c r="S50" s="81">
        <f>VLOOKUP(A:A,'staff sales'!C:AO,39,)</f>
        <v>5</v>
      </c>
      <c r="T50" s="81">
        <f>VLOOKUP(A:A,'staff sales'!C:AR,42,)</f>
        <v>7</v>
      </c>
      <c r="U50" s="81">
        <f>VLOOKUP(A:A,'staff sales'!C:AU,45,)</f>
        <v>6</v>
      </c>
      <c r="V50" s="81">
        <f>VLOOKUP(A:A,'staff sales'!C:AX,48,)</f>
        <v>0</v>
      </c>
      <c r="W50" s="81">
        <f>VLOOKUP(A:A,'staff sales'!C:BA,51,)</f>
        <v>0</v>
      </c>
    </row>
    <row r="51" spans="1:23" x14ac:dyDescent="0.25">
      <c r="A51" s="5">
        <v>1003125992</v>
      </c>
      <c r="B51" s="5" t="s">
        <v>876</v>
      </c>
      <c r="C51" s="5" t="s">
        <v>546</v>
      </c>
      <c r="D51" s="5" t="s">
        <v>546</v>
      </c>
      <c r="E51" s="5" t="s">
        <v>359</v>
      </c>
      <c r="F51" s="5" t="s">
        <v>359</v>
      </c>
      <c r="G51" s="5" t="s">
        <v>1218</v>
      </c>
      <c r="H51" s="5" t="s">
        <v>313</v>
      </c>
      <c r="I51" s="5" t="s">
        <v>342</v>
      </c>
      <c r="J51" s="5">
        <v>73015</v>
      </c>
      <c r="K51" s="80">
        <f>VLOOKUP(A:A,'staff sales'!C:Q,15,)</f>
        <v>64161.760000000002</v>
      </c>
      <c r="L51" s="81">
        <f>VLOOKUP(A:A,'staff sales'!C:T,18,)</f>
        <v>6215.66</v>
      </c>
      <c r="M51" s="81">
        <f>VLOOKUP(A:A,'staff sales'!C:W,21,)</f>
        <v>28221.78</v>
      </c>
      <c r="N51" s="81">
        <f>VLOOKUP(A:A,'staff sales'!C:Z,24,)</f>
        <v>115</v>
      </c>
      <c r="O51" s="81">
        <f>VLOOKUP(A:A,'staff sales'!C:AC,27,)</f>
        <v>6</v>
      </c>
      <c r="P51" s="81">
        <f>VLOOKUP(A:A,'staff sales'!C:AF,30,)</f>
        <v>0</v>
      </c>
      <c r="Q51" s="81">
        <f>VLOOKUP(A:A,'staff sales'!C:AI,33,)</f>
        <v>24</v>
      </c>
      <c r="R51" s="81">
        <f>VLOOKUP(A:A,'staff sales'!C:AL,36,)</f>
        <v>0</v>
      </c>
      <c r="S51" s="81">
        <f>VLOOKUP(A:A,'staff sales'!C:AO,39,)</f>
        <v>2</v>
      </c>
      <c r="T51" s="81">
        <f>VLOOKUP(A:A,'staff sales'!C:AR,42,)</f>
        <v>1</v>
      </c>
      <c r="U51" s="81">
        <f>VLOOKUP(A:A,'staff sales'!C:AU,45,)</f>
        <v>2</v>
      </c>
      <c r="V51" s="81">
        <f>VLOOKUP(A:A,'staff sales'!C:AX,48,)</f>
        <v>0</v>
      </c>
      <c r="W51" s="81">
        <f>VLOOKUP(A:A,'staff sales'!C:BA,51,)</f>
        <v>2</v>
      </c>
    </row>
    <row r="52" spans="1:23" x14ac:dyDescent="0.25">
      <c r="A52" s="5">
        <v>1005751506</v>
      </c>
      <c r="B52" s="5" t="s">
        <v>878</v>
      </c>
      <c r="C52" s="5" t="s">
        <v>546</v>
      </c>
      <c r="D52" s="5" t="s">
        <v>546</v>
      </c>
      <c r="E52" s="5" t="s">
        <v>362</v>
      </c>
      <c r="F52" s="5" t="s">
        <v>362</v>
      </c>
      <c r="G52" s="5" t="s">
        <v>1218</v>
      </c>
      <c r="H52" s="5" t="s">
        <v>313</v>
      </c>
      <c r="I52" s="5" t="s">
        <v>342</v>
      </c>
      <c r="J52" s="5">
        <v>73015</v>
      </c>
      <c r="K52" s="80">
        <f>VLOOKUP(A:A,'staff sales'!C:Q,15,)</f>
        <v>62381.759999999995</v>
      </c>
      <c r="L52" s="81">
        <f>VLOOKUP(A:A,'staff sales'!C:T,18,)</f>
        <v>14440</v>
      </c>
      <c r="M52" s="81">
        <f>VLOOKUP(A:A,'staff sales'!C:W,21,)</f>
        <v>11983.91</v>
      </c>
      <c r="N52" s="81">
        <f>VLOOKUP(A:A,'staff sales'!C:Z,24,)</f>
        <v>0</v>
      </c>
      <c r="O52" s="81">
        <f>VLOOKUP(A:A,'staff sales'!C:AC,27,)</f>
        <v>9</v>
      </c>
      <c r="P52" s="81">
        <f>VLOOKUP(A:A,'staff sales'!C:AF,30,)</f>
        <v>0</v>
      </c>
      <c r="Q52" s="81">
        <f>VLOOKUP(A:A,'staff sales'!C:AI,33,)</f>
        <v>21</v>
      </c>
      <c r="R52" s="81">
        <f>VLOOKUP(A:A,'staff sales'!C:AL,36,)</f>
        <v>3</v>
      </c>
      <c r="S52" s="81">
        <f>VLOOKUP(A:A,'staff sales'!C:AO,39,)</f>
        <v>0</v>
      </c>
      <c r="T52" s="81">
        <f>VLOOKUP(A:A,'staff sales'!C:AR,42,)</f>
        <v>3</v>
      </c>
      <c r="U52" s="81">
        <f>VLOOKUP(A:A,'staff sales'!C:AU,45,)</f>
        <v>1</v>
      </c>
      <c r="V52" s="81">
        <f>VLOOKUP(A:A,'staff sales'!C:AX,48,)</f>
        <v>0</v>
      </c>
      <c r="W52" s="81">
        <f>VLOOKUP(A:A,'staff sales'!C:BA,51,)</f>
        <v>2</v>
      </c>
    </row>
    <row r="53" spans="1:23" x14ac:dyDescent="0.25">
      <c r="A53" s="5">
        <v>1073850503</v>
      </c>
      <c r="B53" s="5" t="s">
        <v>860</v>
      </c>
      <c r="C53" s="5" t="s">
        <v>546</v>
      </c>
      <c r="D53" s="5" t="s">
        <v>546</v>
      </c>
      <c r="E53" s="5" t="s">
        <v>454</v>
      </c>
      <c r="F53" s="5" t="s">
        <v>455</v>
      </c>
      <c r="G53" s="5" t="s">
        <v>1218</v>
      </c>
      <c r="H53" s="5" t="s">
        <v>313</v>
      </c>
      <c r="I53" s="5" t="s">
        <v>342</v>
      </c>
      <c r="J53" s="5">
        <v>73015</v>
      </c>
      <c r="K53" s="80">
        <f>VLOOKUP(A:A,'staff sales'!C:Q,15,)</f>
        <v>40337.410000000003</v>
      </c>
      <c r="L53" s="81">
        <f>VLOOKUP(A:A,'staff sales'!C:T,18,)</f>
        <v>0</v>
      </c>
      <c r="M53" s="81">
        <f>VLOOKUP(A:A,'staff sales'!C:W,21,)</f>
        <v>10214.799999999999</v>
      </c>
      <c r="N53" s="81">
        <f>VLOOKUP(A:A,'staff sales'!C:Z,24,)</f>
        <v>0</v>
      </c>
      <c r="O53" s="81">
        <f>VLOOKUP(A:A,'staff sales'!C:AC,27,)</f>
        <v>10</v>
      </c>
      <c r="P53" s="81">
        <f>VLOOKUP(A:A,'staff sales'!C:AF,30,)</f>
        <v>0</v>
      </c>
      <c r="Q53" s="81">
        <f>VLOOKUP(A:A,'staff sales'!C:AI,33,)</f>
        <v>16</v>
      </c>
      <c r="R53" s="81">
        <f>VLOOKUP(A:A,'staff sales'!C:AL,36,)</f>
        <v>1</v>
      </c>
      <c r="S53" s="81">
        <f>VLOOKUP(A:A,'staff sales'!C:AO,39,)</f>
        <v>0</v>
      </c>
      <c r="T53" s="81">
        <f>VLOOKUP(A:A,'staff sales'!C:AR,42,)</f>
        <v>4</v>
      </c>
      <c r="U53" s="81">
        <f>VLOOKUP(A:A,'staff sales'!C:AU,45,)</f>
        <v>7</v>
      </c>
      <c r="V53" s="81">
        <f>VLOOKUP(A:A,'staff sales'!C:AX,48,)</f>
        <v>0</v>
      </c>
      <c r="W53" s="81">
        <f>VLOOKUP(A:A,'staff sales'!C:BA,51,)</f>
        <v>0</v>
      </c>
    </row>
    <row r="54" spans="1:23" x14ac:dyDescent="0.25">
      <c r="A54" s="5">
        <v>1044166013</v>
      </c>
      <c r="B54" s="5" t="s">
        <v>864</v>
      </c>
      <c r="C54" s="5" t="s">
        <v>546</v>
      </c>
      <c r="D54" s="5" t="s">
        <v>546</v>
      </c>
      <c r="E54" s="5" t="s">
        <v>450</v>
      </c>
      <c r="F54" s="5" t="s">
        <v>451</v>
      </c>
      <c r="G54" s="5" t="s">
        <v>1218</v>
      </c>
      <c r="H54" s="5" t="s">
        <v>313</v>
      </c>
      <c r="I54" s="5" t="s">
        <v>342</v>
      </c>
      <c r="J54" s="5">
        <v>73015</v>
      </c>
      <c r="K54" s="80">
        <f>VLOOKUP(A:A,'staff sales'!C:Q,15,)</f>
        <v>69193.950000000012</v>
      </c>
      <c r="L54" s="81">
        <f>VLOOKUP(A:A,'staff sales'!C:T,18,)</f>
        <v>320.87</v>
      </c>
      <c r="M54" s="81">
        <f>VLOOKUP(A:A,'staff sales'!C:W,21,)</f>
        <v>4625.6399999999994</v>
      </c>
      <c r="N54" s="81">
        <f>VLOOKUP(A:A,'staff sales'!C:Z,24,)</f>
        <v>60</v>
      </c>
      <c r="O54" s="81">
        <f>VLOOKUP(A:A,'staff sales'!C:AC,27,)</f>
        <v>3</v>
      </c>
      <c r="P54" s="81">
        <f>VLOOKUP(A:A,'staff sales'!C:AF,30,)</f>
        <v>1</v>
      </c>
      <c r="Q54" s="81">
        <f>VLOOKUP(A:A,'staff sales'!C:AI,33,)</f>
        <v>28</v>
      </c>
      <c r="R54" s="81">
        <f>VLOOKUP(A:A,'staff sales'!C:AL,36,)</f>
        <v>0</v>
      </c>
      <c r="S54" s="81">
        <f>VLOOKUP(A:A,'staff sales'!C:AO,39,)</f>
        <v>3</v>
      </c>
      <c r="T54" s="81">
        <f>VLOOKUP(A:A,'staff sales'!C:AR,42,)</f>
        <v>3</v>
      </c>
      <c r="U54" s="81">
        <f>VLOOKUP(A:A,'staff sales'!C:AU,45,)</f>
        <v>1</v>
      </c>
      <c r="V54" s="81">
        <f>VLOOKUP(A:A,'staff sales'!C:AX,48,)</f>
        <v>0</v>
      </c>
      <c r="W54" s="81">
        <f>VLOOKUP(A:A,'staff sales'!C:BA,51,)</f>
        <v>0</v>
      </c>
    </row>
    <row r="55" spans="1:23" x14ac:dyDescent="0.25">
      <c r="A55" s="5" t="s">
        <v>972</v>
      </c>
      <c r="B55" s="5" t="s">
        <v>973</v>
      </c>
      <c r="C55" s="5" t="s">
        <v>541</v>
      </c>
      <c r="D55" s="5" t="s">
        <v>541</v>
      </c>
      <c r="E55" s="5"/>
      <c r="F55" s="5"/>
      <c r="G55" s="5" t="s">
        <v>1218</v>
      </c>
      <c r="H55" s="5" t="s">
        <v>313</v>
      </c>
      <c r="I55" s="5" t="s">
        <v>1169</v>
      </c>
      <c r="J55" s="5">
        <v>73031</v>
      </c>
      <c r="K55" s="80">
        <f>VLOOKUP(A:A,'staff sales'!C:Q,15,)</f>
        <v>0</v>
      </c>
      <c r="L55" s="81">
        <f>VLOOKUP(A:A,'staff sales'!C:T,18,)</f>
        <v>0</v>
      </c>
      <c r="M55" s="81">
        <f>VLOOKUP(A:A,'staff sales'!C:W,21,)</f>
        <v>0</v>
      </c>
      <c r="N55" s="81">
        <f>VLOOKUP(A:A,'staff sales'!C:Z,24,)</f>
        <v>0</v>
      </c>
      <c r="O55" s="81">
        <f>VLOOKUP(A:A,'staff sales'!C:AC,27,)</f>
        <v>0</v>
      </c>
      <c r="P55" s="81">
        <f>VLOOKUP(A:A,'staff sales'!C:AF,30,)</f>
        <v>0</v>
      </c>
      <c r="Q55" s="81">
        <f>VLOOKUP(A:A,'staff sales'!C:AI,33,)</f>
        <v>0</v>
      </c>
      <c r="R55" s="81">
        <f>VLOOKUP(A:A,'staff sales'!C:AL,36,)</f>
        <v>0</v>
      </c>
      <c r="S55" s="81">
        <f>VLOOKUP(A:A,'staff sales'!C:AO,39,)</f>
        <v>0</v>
      </c>
      <c r="T55" s="81">
        <f>VLOOKUP(A:A,'staff sales'!C:AR,42,)</f>
        <v>0</v>
      </c>
      <c r="U55" s="81">
        <f>VLOOKUP(A:A,'staff sales'!C:AU,45,)</f>
        <v>0</v>
      </c>
      <c r="V55" s="81">
        <f>VLOOKUP(A:A,'staff sales'!C:AX,48,)</f>
        <v>0</v>
      </c>
      <c r="W55" s="81">
        <f>VLOOKUP(A:A,'staff sales'!C:BA,51,)</f>
        <v>0</v>
      </c>
    </row>
    <row r="56" spans="1:23" x14ac:dyDescent="0.25">
      <c r="A56" s="5">
        <v>1073438556</v>
      </c>
      <c r="B56" s="5" t="s">
        <v>871</v>
      </c>
      <c r="C56" s="5" t="s">
        <v>544</v>
      </c>
      <c r="D56" s="5" t="s">
        <v>544</v>
      </c>
      <c r="E56" s="5" t="s">
        <v>456</v>
      </c>
      <c r="F56" s="5" t="s">
        <v>456</v>
      </c>
      <c r="G56" s="5" t="s">
        <v>1218</v>
      </c>
      <c r="H56" s="5" t="s">
        <v>313</v>
      </c>
      <c r="I56" s="5" t="s">
        <v>1169</v>
      </c>
      <c r="J56" s="5">
        <v>73031</v>
      </c>
      <c r="K56" s="80">
        <f>VLOOKUP(A:A,'staff sales'!C:Q,15,)</f>
        <v>0</v>
      </c>
      <c r="L56" s="81">
        <f>VLOOKUP(A:A,'staff sales'!C:T,18,)</f>
        <v>0</v>
      </c>
      <c r="M56" s="81">
        <f>VLOOKUP(A:A,'staff sales'!C:W,21,)</f>
        <v>0</v>
      </c>
      <c r="N56" s="81">
        <f>VLOOKUP(A:A,'staff sales'!C:Z,24,)</f>
        <v>0</v>
      </c>
      <c r="O56" s="81">
        <f>VLOOKUP(A:A,'staff sales'!C:AC,27,)</f>
        <v>0</v>
      </c>
      <c r="P56" s="81">
        <f>VLOOKUP(A:A,'staff sales'!C:AF,30,)</f>
        <v>0</v>
      </c>
      <c r="Q56" s="81">
        <f>VLOOKUP(A:A,'staff sales'!C:AI,33,)</f>
        <v>1</v>
      </c>
      <c r="R56" s="81">
        <f>VLOOKUP(A:A,'staff sales'!C:AL,36,)</f>
        <v>0</v>
      </c>
      <c r="S56" s="81">
        <f>VLOOKUP(A:A,'staff sales'!C:AO,39,)</f>
        <v>1</v>
      </c>
      <c r="T56" s="81">
        <f>VLOOKUP(A:A,'staff sales'!C:AR,42,)</f>
        <v>0</v>
      </c>
      <c r="U56" s="81">
        <f>VLOOKUP(A:A,'staff sales'!C:AU,45,)</f>
        <v>0</v>
      </c>
      <c r="V56" s="81">
        <f>VLOOKUP(A:A,'staff sales'!C:AX,48,)</f>
        <v>0</v>
      </c>
      <c r="W56" s="81">
        <f>VLOOKUP(A:A,'staff sales'!C:BA,51,)</f>
        <v>0</v>
      </c>
    </row>
    <row r="57" spans="1:23" x14ac:dyDescent="0.25">
      <c r="A57" s="5">
        <v>1004603856</v>
      </c>
      <c r="B57" s="5" t="s">
        <v>868</v>
      </c>
      <c r="C57" s="5" t="s">
        <v>546</v>
      </c>
      <c r="D57" s="5" t="s">
        <v>546</v>
      </c>
      <c r="E57" s="5" t="s">
        <v>353</v>
      </c>
      <c r="F57" s="5" t="s">
        <v>353</v>
      </c>
      <c r="G57" s="5" t="s">
        <v>1218</v>
      </c>
      <c r="H57" s="5" t="s">
        <v>313</v>
      </c>
      <c r="I57" s="5" t="s">
        <v>1169</v>
      </c>
      <c r="J57" s="5">
        <v>73031</v>
      </c>
      <c r="K57" s="80">
        <f>VLOOKUP(A:A,'staff sales'!C:Q,15,)</f>
        <v>51471.320000000007</v>
      </c>
      <c r="L57" s="81">
        <f>VLOOKUP(A:A,'staff sales'!C:T,18,)</f>
        <v>0</v>
      </c>
      <c r="M57" s="81">
        <f>VLOOKUP(A:A,'staff sales'!C:W,21,)</f>
        <v>5773.0400000000009</v>
      </c>
      <c r="N57" s="81">
        <f>VLOOKUP(A:A,'staff sales'!C:Z,24,)</f>
        <v>238</v>
      </c>
      <c r="O57" s="81">
        <f>VLOOKUP(A:A,'staff sales'!C:AC,27,)</f>
        <v>4</v>
      </c>
      <c r="P57" s="81">
        <f>VLOOKUP(A:A,'staff sales'!C:AF,30,)</f>
        <v>1</v>
      </c>
      <c r="Q57" s="81">
        <f>VLOOKUP(A:A,'staff sales'!C:AI,33,)</f>
        <v>24</v>
      </c>
      <c r="R57" s="81">
        <f>VLOOKUP(A:A,'staff sales'!C:AL,36,)</f>
        <v>0</v>
      </c>
      <c r="S57" s="81">
        <f>VLOOKUP(A:A,'staff sales'!C:AO,39,)</f>
        <v>1</v>
      </c>
      <c r="T57" s="81">
        <f>VLOOKUP(A:A,'staff sales'!C:AR,42,)</f>
        <v>6</v>
      </c>
      <c r="U57" s="81">
        <f>VLOOKUP(A:A,'staff sales'!C:AU,45,)</f>
        <v>0</v>
      </c>
      <c r="V57" s="81">
        <f>VLOOKUP(A:A,'staff sales'!C:AX,48,)</f>
        <v>0</v>
      </c>
      <c r="W57" s="81">
        <f>VLOOKUP(A:A,'staff sales'!C:BA,51,)</f>
        <v>0</v>
      </c>
    </row>
    <row r="58" spans="1:23" x14ac:dyDescent="0.25">
      <c r="A58" s="5">
        <v>1026683472</v>
      </c>
      <c r="B58" s="5" t="s">
        <v>869</v>
      </c>
      <c r="C58" s="5" t="s">
        <v>546</v>
      </c>
      <c r="D58" s="5" t="s">
        <v>546</v>
      </c>
      <c r="E58" s="5" t="s">
        <v>354</v>
      </c>
      <c r="F58" s="5" t="s">
        <v>354</v>
      </c>
      <c r="G58" s="5" t="s">
        <v>1218</v>
      </c>
      <c r="H58" s="5" t="s">
        <v>313</v>
      </c>
      <c r="I58" s="5" t="s">
        <v>1169</v>
      </c>
      <c r="J58" s="5">
        <v>73031</v>
      </c>
      <c r="K58" s="80">
        <f>VLOOKUP(A:A,'staff sales'!C:Q,15,)</f>
        <v>79403.500000000015</v>
      </c>
      <c r="L58" s="81">
        <f>VLOOKUP(A:A,'staff sales'!C:T,18,)</f>
        <v>381.74</v>
      </c>
      <c r="M58" s="81">
        <f>VLOOKUP(A:A,'staff sales'!C:W,21,)</f>
        <v>3570</v>
      </c>
      <c r="N58" s="81">
        <f>VLOOKUP(A:A,'staff sales'!C:Z,24,)</f>
        <v>0</v>
      </c>
      <c r="O58" s="81">
        <f>VLOOKUP(A:A,'staff sales'!C:AC,27,)</f>
        <v>8</v>
      </c>
      <c r="P58" s="81">
        <f>VLOOKUP(A:A,'staff sales'!C:AF,30,)</f>
        <v>1</v>
      </c>
      <c r="Q58" s="81">
        <f>VLOOKUP(A:A,'staff sales'!C:AI,33,)</f>
        <v>45</v>
      </c>
      <c r="R58" s="81">
        <f>VLOOKUP(A:A,'staff sales'!C:AL,36,)</f>
        <v>1</v>
      </c>
      <c r="S58" s="81">
        <f>VLOOKUP(A:A,'staff sales'!C:AO,39,)</f>
        <v>3</v>
      </c>
      <c r="T58" s="81">
        <f>VLOOKUP(A:A,'staff sales'!C:AR,42,)</f>
        <v>3</v>
      </c>
      <c r="U58" s="81">
        <f>VLOOKUP(A:A,'staff sales'!C:AU,45,)</f>
        <v>3</v>
      </c>
      <c r="V58" s="81">
        <f>VLOOKUP(A:A,'staff sales'!C:AX,48,)</f>
        <v>0</v>
      </c>
      <c r="W58" s="81">
        <f>VLOOKUP(A:A,'staff sales'!C:BA,51,)</f>
        <v>1</v>
      </c>
    </row>
    <row r="59" spans="1:23" x14ac:dyDescent="0.25">
      <c r="A59" s="5">
        <v>1003732284</v>
      </c>
      <c r="B59" s="5" t="s">
        <v>872</v>
      </c>
      <c r="C59" s="5" t="s">
        <v>546</v>
      </c>
      <c r="D59" s="5" t="s">
        <v>546</v>
      </c>
      <c r="E59" s="5" t="s">
        <v>368</v>
      </c>
      <c r="F59" s="5" t="s">
        <v>368</v>
      </c>
      <c r="G59" s="5" t="s">
        <v>1218</v>
      </c>
      <c r="H59" s="5" t="s">
        <v>313</v>
      </c>
      <c r="I59" s="5" t="s">
        <v>1169</v>
      </c>
      <c r="J59" s="5">
        <v>73031</v>
      </c>
      <c r="K59" s="80">
        <f>VLOOKUP(A:A,'staff sales'!C:Q,15,)</f>
        <v>13474.789999999999</v>
      </c>
      <c r="L59" s="81">
        <f>VLOOKUP(A:A,'staff sales'!C:T,18,)</f>
        <v>1216.52</v>
      </c>
      <c r="M59" s="81">
        <f>VLOOKUP(A:A,'staff sales'!C:W,21,)</f>
        <v>3480</v>
      </c>
      <c r="N59" s="81">
        <f>VLOOKUP(A:A,'staff sales'!C:Z,24,)</f>
        <v>0</v>
      </c>
      <c r="O59" s="81">
        <f>VLOOKUP(A:A,'staff sales'!C:AC,27,)</f>
        <v>6</v>
      </c>
      <c r="P59" s="81">
        <f>VLOOKUP(A:A,'staff sales'!C:AF,30,)</f>
        <v>0</v>
      </c>
      <c r="Q59" s="81">
        <f>VLOOKUP(A:A,'staff sales'!C:AI,33,)</f>
        <v>33</v>
      </c>
      <c r="R59" s="81">
        <f>VLOOKUP(A:A,'staff sales'!C:AL,36,)</f>
        <v>0</v>
      </c>
      <c r="S59" s="81">
        <f>VLOOKUP(A:A,'staff sales'!C:AO,39,)</f>
        <v>3</v>
      </c>
      <c r="T59" s="81">
        <f>VLOOKUP(A:A,'staff sales'!C:AR,42,)</f>
        <v>4</v>
      </c>
      <c r="U59" s="81">
        <f>VLOOKUP(A:A,'staff sales'!C:AU,45,)</f>
        <v>0</v>
      </c>
      <c r="V59" s="81">
        <f>VLOOKUP(A:A,'staff sales'!C:AX,48,)</f>
        <v>0</v>
      </c>
      <c r="W59" s="81">
        <f>VLOOKUP(A:A,'staff sales'!C:BA,51,)</f>
        <v>0</v>
      </c>
    </row>
    <row r="60" spans="1:23" x14ac:dyDescent="0.25">
      <c r="A60" s="5">
        <v>1060515499</v>
      </c>
      <c r="B60" s="5" t="s">
        <v>840</v>
      </c>
      <c r="C60" s="5" t="s">
        <v>546</v>
      </c>
      <c r="D60" s="5" t="s">
        <v>546</v>
      </c>
      <c r="E60" s="5" t="s">
        <v>320</v>
      </c>
      <c r="F60" s="5" t="s">
        <v>320</v>
      </c>
      <c r="G60" s="5" t="s">
        <v>1218</v>
      </c>
      <c r="H60" s="5" t="s">
        <v>313</v>
      </c>
      <c r="I60" s="5" t="s">
        <v>1169</v>
      </c>
      <c r="J60" s="5">
        <v>73031</v>
      </c>
      <c r="K60" s="80">
        <f>VLOOKUP(A:A,'staff sales'!C:Q,15,)</f>
        <v>40967.840000000004</v>
      </c>
      <c r="L60" s="81">
        <f>VLOOKUP(A:A,'staff sales'!C:T,18,)</f>
        <v>0</v>
      </c>
      <c r="M60" s="81">
        <f>VLOOKUP(A:A,'staff sales'!C:W,21,)</f>
        <v>12909.15</v>
      </c>
      <c r="N60" s="81">
        <f>VLOOKUP(A:A,'staff sales'!C:Z,24,)</f>
        <v>0</v>
      </c>
      <c r="O60" s="81">
        <f>VLOOKUP(A:A,'staff sales'!C:AC,27,)</f>
        <v>2</v>
      </c>
      <c r="P60" s="81">
        <f>VLOOKUP(A:A,'staff sales'!C:AF,30,)</f>
        <v>0</v>
      </c>
      <c r="Q60" s="81">
        <f>VLOOKUP(A:A,'staff sales'!C:AI,33,)</f>
        <v>23</v>
      </c>
      <c r="R60" s="81">
        <f>VLOOKUP(A:A,'staff sales'!C:AL,36,)</f>
        <v>1</v>
      </c>
      <c r="S60" s="81">
        <f>VLOOKUP(A:A,'staff sales'!C:AO,39,)</f>
        <v>0</v>
      </c>
      <c r="T60" s="81">
        <f>VLOOKUP(A:A,'staff sales'!C:AR,42,)</f>
        <v>5</v>
      </c>
      <c r="U60" s="81">
        <f>VLOOKUP(A:A,'staff sales'!C:AU,45,)</f>
        <v>0</v>
      </c>
      <c r="V60" s="81">
        <f>VLOOKUP(A:A,'staff sales'!C:AX,48,)</f>
        <v>0</v>
      </c>
      <c r="W60" s="81">
        <f>VLOOKUP(A:A,'staff sales'!C:BA,51,)</f>
        <v>0</v>
      </c>
    </row>
    <row r="61" spans="1:23" x14ac:dyDescent="0.25">
      <c r="A61" s="5">
        <v>1002391686</v>
      </c>
      <c r="B61" s="5" t="s">
        <v>873</v>
      </c>
      <c r="C61" s="5" t="s">
        <v>546</v>
      </c>
      <c r="D61" s="5" t="s">
        <v>546</v>
      </c>
      <c r="E61" s="5" t="s">
        <v>458</v>
      </c>
      <c r="F61" s="5" t="s">
        <v>458</v>
      </c>
      <c r="G61" s="5" t="s">
        <v>1218</v>
      </c>
      <c r="H61" s="5" t="s">
        <v>313</v>
      </c>
      <c r="I61" s="5" t="s">
        <v>1169</v>
      </c>
      <c r="J61" s="5">
        <v>73031</v>
      </c>
      <c r="K61" s="80">
        <f>VLOOKUP(A:A,'staff sales'!C:Q,15,)</f>
        <v>34340.01</v>
      </c>
      <c r="L61" s="81">
        <f>VLOOKUP(A:A,'staff sales'!C:T,18,)</f>
        <v>3216.52</v>
      </c>
      <c r="M61" s="81">
        <f>VLOOKUP(A:A,'staff sales'!C:W,21,)</f>
        <v>10149.58</v>
      </c>
      <c r="N61" s="81">
        <f>VLOOKUP(A:A,'staff sales'!C:Z,24,)</f>
        <v>0</v>
      </c>
      <c r="O61" s="81">
        <f>VLOOKUP(A:A,'staff sales'!C:AC,27,)</f>
        <v>10</v>
      </c>
      <c r="P61" s="81">
        <f>VLOOKUP(A:A,'staff sales'!C:AF,30,)</f>
        <v>0</v>
      </c>
      <c r="Q61" s="81">
        <f>VLOOKUP(A:A,'staff sales'!C:AI,33,)</f>
        <v>39</v>
      </c>
      <c r="R61" s="81">
        <f>VLOOKUP(A:A,'staff sales'!C:AL,36,)</f>
        <v>0</v>
      </c>
      <c r="S61" s="81">
        <f>VLOOKUP(A:A,'staff sales'!C:AO,39,)</f>
        <v>1</v>
      </c>
      <c r="T61" s="81">
        <f>VLOOKUP(A:A,'staff sales'!C:AR,42,)</f>
        <v>2</v>
      </c>
      <c r="U61" s="81">
        <f>VLOOKUP(A:A,'staff sales'!C:AU,45,)</f>
        <v>0</v>
      </c>
      <c r="V61" s="81">
        <f>VLOOKUP(A:A,'staff sales'!C:AX,48,)</f>
        <v>0</v>
      </c>
      <c r="W61" s="81">
        <f>VLOOKUP(A:A,'staff sales'!C:BA,51,)</f>
        <v>3</v>
      </c>
    </row>
    <row r="62" spans="1:23" x14ac:dyDescent="0.25">
      <c r="A62" s="5">
        <v>1049989674</v>
      </c>
      <c r="B62" s="5" t="s">
        <v>874</v>
      </c>
      <c r="C62" s="5" t="s">
        <v>546</v>
      </c>
      <c r="D62" s="5" t="s">
        <v>546</v>
      </c>
      <c r="E62" s="5" t="s">
        <v>457</v>
      </c>
      <c r="F62" s="5" t="s">
        <v>457</v>
      </c>
      <c r="G62" s="5" t="s">
        <v>1218</v>
      </c>
      <c r="H62" s="5" t="s">
        <v>313</v>
      </c>
      <c r="I62" s="5" t="s">
        <v>1169</v>
      </c>
      <c r="J62" s="5">
        <v>73031</v>
      </c>
      <c r="K62" s="80">
        <f>VLOOKUP(A:A,'staff sales'!C:Q,15,)</f>
        <v>22689.57</v>
      </c>
      <c r="L62" s="81">
        <f>VLOOKUP(A:A,'staff sales'!C:T,18,)</f>
        <v>3651.3</v>
      </c>
      <c r="M62" s="81">
        <f>VLOOKUP(A:A,'staff sales'!C:W,21,)</f>
        <v>738.26</v>
      </c>
      <c r="N62" s="81">
        <f>VLOOKUP(A:A,'staff sales'!C:Z,24,)</f>
        <v>0</v>
      </c>
      <c r="O62" s="81">
        <f>VLOOKUP(A:A,'staff sales'!C:AC,27,)</f>
        <v>5</v>
      </c>
      <c r="P62" s="81">
        <f>VLOOKUP(A:A,'staff sales'!C:AF,30,)</f>
        <v>0</v>
      </c>
      <c r="Q62" s="81">
        <f>VLOOKUP(A:A,'staff sales'!C:AI,33,)</f>
        <v>29</v>
      </c>
      <c r="R62" s="81">
        <f>VLOOKUP(A:A,'staff sales'!C:AL,36,)</f>
        <v>0</v>
      </c>
      <c r="S62" s="81">
        <f>VLOOKUP(A:A,'staff sales'!C:AO,39,)</f>
        <v>1</v>
      </c>
      <c r="T62" s="81">
        <f>VLOOKUP(A:A,'staff sales'!C:AR,42,)</f>
        <v>0</v>
      </c>
      <c r="U62" s="81">
        <f>VLOOKUP(A:A,'staff sales'!C:AU,45,)</f>
        <v>0</v>
      </c>
      <c r="V62" s="81">
        <f>VLOOKUP(A:A,'staff sales'!C:AX,48,)</f>
        <v>0</v>
      </c>
      <c r="W62" s="81">
        <f>VLOOKUP(A:A,'staff sales'!C:BA,51,)</f>
        <v>0</v>
      </c>
    </row>
    <row r="63" spans="1:23" x14ac:dyDescent="0.25">
      <c r="A63" s="5">
        <v>1004947477</v>
      </c>
      <c r="B63" s="5" t="s">
        <v>629</v>
      </c>
      <c r="C63" s="5" t="s">
        <v>537</v>
      </c>
      <c r="D63" s="5" t="s">
        <v>537</v>
      </c>
      <c r="E63" s="5" t="s">
        <v>111</v>
      </c>
      <c r="F63" s="5" t="s">
        <v>111</v>
      </c>
      <c r="G63" s="5" t="s">
        <v>1218</v>
      </c>
      <c r="H63" s="5" t="s">
        <v>112</v>
      </c>
      <c r="I63" s="5" t="s">
        <v>538</v>
      </c>
      <c r="J63" s="5" t="s">
        <v>539</v>
      </c>
      <c r="K63" s="80">
        <f>VLOOKUP(A:A,'staff sales'!C:Q,15,)</f>
        <v>0</v>
      </c>
      <c r="L63" s="81">
        <f>VLOOKUP(A:A,'staff sales'!C:T,18,)</f>
        <v>0</v>
      </c>
      <c r="M63" s="81">
        <f>VLOOKUP(A:A,'staff sales'!C:W,21,)</f>
        <v>0</v>
      </c>
      <c r="N63" s="81">
        <f>VLOOKUP(A:A,'staff sales'!C:Z,24,)</f>
        <v>0</v>
      </c>
      <c r="O63" s="81">
        <f>VLOOKUP(A:A,'staff sales'!C:AC,27,)</f>
        <v>0</v>
      </c>
      <c r="P63" s="81">
        <f>VLOOKUP(A:A,'staff sales'!C:AF,30,)</f>
        <v>0</v>
      </c>
      <c r="Q63" s="81">
        <f>VLOOKUP(A:A,'staff sales'!C:AI,33,)</f>
        <v>0</v>
      </c>
      <c r="R63" s="81">
        <f>VLOOKUP(A:A,'staff sales'!C:AL,36,)</f>
        <v>0</v>
      </c>
      <c r="S63" s="81">
        <f>VLOOKUP(A:A,'staff sales'!C:AO,39,)</f>
        <v>0</v>
      </c>
      <c r="T63" s="81">
        <f>VLOOKUP(A:A,'staff sales'!C:AR,42,)</f>
        <v>0</v>
      </c>
      <c r="U63" s="81">
        <f>VLOOKUP(A:A,'staff sales'!C:AU,45,)</f>
        <v>0</v>
      </c>
      <c r="V63" s="81">
        <f>VLOOKUP(A:A,'staff sales'!C:AX,48,)</f>
        <v>0</v>
      </c>
      <c r="W63" s="81">
        <f>VLOOKUP(A:A,'staff sales'!C:BA,51,)</f>
        <v>0</v>
      </c>
    </row>
    <row r="64" spans="1:23" x14ac:dyDescent="0.25">
      <c r="A64" s="12">
        <v>1012641120</v>
      </c>
      <c r="B64" s="12" t="s">
        <v>644</v>
      </c>
      <c r="C64" s="14" t="s">
        <v>541</v>
      </c>
      <c r="D64" s="14" t="s">
        <v>541</v>
      </c>
      <c r="E64" s="14" t="s">
        <v>134</v>
      </c>
      <c r="F64" s="14" t="s">
        <v>134</v>
      </c>
      <c r="G64" s="14" t="s">
        <v>1218</v>
      </c>
      <c r="H64" s="14" t="s">
        <v>112</v>
      </c>
      <c r="I64" s="14" t="s">
        <v>509</v>
      </c>
      <c r="J64" s="14">
        <v>3000</v>
      </c>
      <c r="K64" s="80">
        <f>VLOOKUP(A:A,'staff sales'!C:Q,15,)</f>
        <v>0</v>
      </c>
      <c r="L64" s="81">
        <f>VLOOKUP(A:A,'staff sales'!C:T,18,)</f>
        <v>0</v>
      </c>
      <c r="M64" s="81">
        <f>VLOOKUP(A:A,'staff sales'!C:W,21,)</f>
        <v>0</v>
      </c>
      <c r="N64" s="81">
        <f>VLOOKUP(A:A,'staff sales'!C:Z,24,)</f>
        <v>0</v>
      </c>
      <c r="O64" s="81">
        <f>VLOOKUP(A:A,'staff sales'!C:AC,27,)</f>
        <v>0</v>
      </c>
      <c r="P64" s="81">
        <f>VLOOKUP(A:A,'staff sales'!C:AF,30,)</f>
        <v>0</v>
      </c>
      <c r="Q64" s="81">
        <f>VLOOKUP(A:A,'staff sales'!C:AI,33,)</f>
        <v>0</v>
      </c>
      <c r="R64" s="81">
        <f>VLOOKUP(A:A,'staff sales'!C:AL,36,)</f>
        <v>0</v>
      </c>
      <c r="S64" s="81">
        <f>VLOOKUP(A:A,'staff sales'!C:AO,39,)</f>
        <v>0</v>
      </c>
      <c r="T64" s="81">
        <f>VLOOKUP(A:A,'staff sales'!C:AR,42,)</f>
        <v>0</v>
      </c>
      <c r="U64" s="81">
        <f>VLOOKUP(A:A,'staff sales'!C:AU,45,)</f>
        <v>0</v>
      </c>
      <c r="V64" s="81">
        <f>VLOOKUP(A:A,'staff sales'!C:AX,48,)</f>
        <v>0</v>
      </c>
      <c r="W64" s="81">
        <f>VLOOKUP(A:A,'staff sales'!C:BA,51,)</f>
        <v>0</v>
      </c>
    </row>
    <row r="65" spans="1:23" x14ac:dyDescent="0.25">
      <c r="A65" s="27">
        <v>1007820903</v>
      </c>
      <c r="B65" s="8" t="s">
        <v>715</v>
      </c>
      <c r="C65" s="10" t="s">
        <v>544</v>
      </c>
      <c r="D65" s="10" t="s">
        <v>544</v>
      </c>
      <c r="E65" s="10" t="s">
        <v>232</v>
      </c>
      <c r="F65" s="10" t="s">
        <v>232</v>
      </c>
      <c r="G65" s="10" t="s">
        <v>1218</v>
      </c>
      <c r="H65" s="10" t="s">
        <v>112</v>
      </c>
      <c r="I65" s="10" t="s">
        <v>509</v>
      </c>
      <c r="J65" s="10">
        <v>3000</v>
      </c>
      <c r="K65" s="80">
        <f>VLOOKUP(A:A,'staff sales'!C:Q,15,)</f>
        <v>0</v>
      </c>
      <c r="L65" s="81">
        <f>VLOOKUP(A:A,'staff sales'!C:T,18,)</f>
        <v>0</v>
      </c>
      <c r="M65" s="81">
        <f>VLOOKUP(A:A,'staff sales'!C:W,21,)</f>
        <v>0</v>
      </c>
      <c r="N65" s="81">
        <f>VLOOKUP(A:A,'staff sales'!C:Z,24,)</f>
        <v>0</v>
      </c>
      <c r="O65" s="81">
        <f>VLOOKUP(A:A,'staff sales'!C:AC,27,)</f>
        <v>0</v>
      </c>
      <c r="P65" s="81">
        <f>VLOOKUP(A:A,'staff sales'!C:AF,30,)</f>
        <v>0</v>
      </c>
      <c r="Q65" s="81">
        <f>VLOOKUP(A:A,'staff sales'!C:AI,33,)</f>
        <v>0</v>
      </c>
      <c r="R65" s="81">
        <f>VLOOKUP(A:A,'staff sales'!C:AL,36,)</f>
        <v>0</v>
      </c>
      <c r="S65" s="81">
        <f>VLOOKUP(A:A,'staff sales'!C:AO,39,)</f>
        <v>0</v>
      </c>
      <c r="T65" s="81">
        <f>VLOOKUP(A:A,'staff sales'!C:AR,42,)</f>
        <v>0</v>
      </c>
      <c r="U65" s="81">
        <f>VLOOKUP(A:A,'staff sales'!C:AU,45,)</f>
        <v>2</v>
      </c>
      <c r="V65" s="81">
        <f>VLOOKUP(A:A,'staff sales'!C:AX,48,)</f>
        <v>0</v>
      </c>
      <c r="W65" s="81">
        <f>VLOOKUP(A:A,'staff sales'!C:BA,51,)</f>
        <v>0</v>
      </c>
    </row>
    <row r="66" spans="1:23" x14ac:dyDescent="0.25">
      <c r="A66" s="28">
        <v>1083311546</v>
      </c>
      <c r="B66" s="8" t="s">
        <v>642</v>
      </c>
      <c r="C66" s="10" t="s">
        <v>546</v>
      </c>
      <c r="D66" s="10" t="s">
        <v>546</v>
      </c>
      <c r="E66" s="10" t="s">
        <v>374</v>
      </c>
      <c r="F66" s="10" t="s">
        <v>374</v>
      </c>
      <c r="G66" s="10" t="s">
        <v>1218</v>
      </c>
      <c r="H66" s="10" t="s">
        <v>112</v>
      </c>
      <c r="I66" s="14" t="s">
        <v>509</v>
      </c>
      <c r="J66" s="14">
        <v>3000</v>
      </c>
      <c r="K66" s="80">
        <f>VLOOKUP(A:A,'staff sales'!C:Q,15,)</f>
        <v>75444.36</v>
      </c>
      <c r="L66" s="81">
        <f>VLOOKUP(A:A,'staff sales'!C:T,18,)</f>
        <v>0</v>
      </c>
      <c r="M66" s="81">
        <f>VLOOKUP(A:A,'staff sales'!C:W,21,)</f>
        <v>32615.200000000001</v>
      </c>
      <c r="N66" s="81">
        <f>VLOOKUP(A:A,'staff sales'!C:Z,24,)</f>
        <v>0</v>
      </c>
      <c r="O66" s="81">
        <f>VLOOKUP(A:A,'staff sales'!C:AC,27,)</f>
        <v>3</v>
      </c>
      <c r="P66" s="81">
        <f>VLOOKUP(A:A,'staff sales'!C:AF,30,)</f>
        <v>1</v>
      </c>
      <c r="Q66" s="81">
        <f>VLOOKUP(A:A,'staff sales'!C:AI,33,)</f>
        <v>31</v>
      </c>
      <c r="R66" s="81">
        <f>VLOOKUP(A:A,'staff sales'!C:AL,36,)</f>
        <v>1</v>
      </c>
      <c r="S66" s="81">
        <f>VLOOKUP(A:A,'staff sales'!C:AO,39,)</f>
        <v>3</v>
      </c>
      <c r="T66" s="81">
        <f>VLOOKUP(A:A,'staff sales'!C:AR,42,)</f>
        <v>1</v>
      </c>
      <c r="U66" s="81">
        <f>VLOOKUP(A:A,'staff sales'!C:AU,45,)</f>
        <v>7</v>
      </c>
      <c r="V66" s="81">
        <f>VLOOKUP(A:A,'staff sales'!C:AX,48,)</f>
        <v>0</v>
      </c>
      <c r="W66" s="81">
        <f>VLOOKUP(A:A,'staff sales'!C:BA,51,)</f>
        <v>5</v>
      </c>
    </row>
    <row r="67" spans="1:23" x14ac:dyDescent="0.25">
      <c r="A67" s="28">
        <v>1071206393</v>
      </c>
      <c r="B67" s="12" t="s">
        <v>640</v>
      </c>
      <c r="C67" s="14" t="s">
        <v>546</v>
      </c>
      <c r="D67" s="14" t="s">
        <v>546</v>
      </c>
      <c r="E67" s="14" t="s">
        <v>131</v>
      </c>
      <c r="F67" s="14" t="s">
        <v>132</v>
      </c>
      <c r="G67" s="14" t="s">
        <v>1218</v>
      </c>
      <c r="H67" s="14" t="s">
        <v>112</v>
      </c>
      <c r="I67" s="14" t="s">
        <v>509</v>
      </c>
      <c r="J67" s="14">
        <v>3000</v>
      </c>
      <c r="K67" s="80">
        <f>VLOOKUP(A:A,'staff sales'!C:Q,15,)</f>
        <v>6981.74</v>
      </c>
      <c r="L67" s="81">
        <f>VLOOKUP(A:A,'staff sales'!C:T,18,)</f>
        <v>0</v>
      </c>
      <c r="M67" s="81">
        <f>VLOOKUP(A:A,'staff sales'!C:W,21,)</f>
        <v>5600.87</v>
      </c>
      <c r="N67" s="81">
        <f>VLOOKUP(A:A,'staff sales'!C:Z,24,)</f>
        <v>0</v>
      </c>
      <c r="O67" s="81">
        <f>VLOOKUP(A:A,'staff sales'!C:AC,27,)</f>
        <v>6</v>
      </c>
      <c r="P67" s="81">
        <f>VLOOKUP(A:A,'staff sales'!C:AF,30,)</f>
        <v>1</v>
      </c>
      <c r="Q67" s="81">
        <f>VLOOKUP(A:A,'staff sales'!C:AI,33,)</f>
        <v>18</v>
      </c>
      <c r="R67" s="81">
        <f>VLOOKUP(A:A,'staff sales'!C:AL,36,)</f>
        <v>1</v>
      </c>
      <c r="S67" s="81">
        <f>VLOOKUP(A:A,'staff sales'!C:AO,39,)</f>
        <v>3</v>
      </c>
      <c r="T67" s="81">
        <f>VLOOKUP(A:A,'staff sales'!C:AR,42,)</f>
        <v>3</v>
      </c>
      <c r="U67" s="81">
        <f>VLOOKUP(A:A,'staff sales'!C:AU,45,)</f>
        <v>0</v>
      </c>
      <c r="V67" s="81">
        <f>VLOOKUP(A:A,'staff sales'!C:AX,48,)</f>
        <v>0</v>
      </c>
      <c r="W67" s="81">
        <f>VLOOKUP(A:A,'staff sales'!C:BA,51,)</f>
        <v>0</v>
      </c>
    </row>
    <row r="68" spans="1:23" x14ac:dyDescent="0.25">
      <c r="A68" s="27">
        <v>1068795028</v>
      </c>
      <c r="B68" s="8" t="s">
        <v>635</v>
      </c>
      <c r="C68" s="10" t="s">
        <v>546</v>
      </c>
      <c r="D68" s="10" t="s">
        <v>546</v>
      </c>
      <c r="E68" s="10" t="s">
        <v>375</v>
      </c>
      <c r="F68" s="10" t="s">
        <v>375</v>
      </c>
      <c r="G68" s="10" t="s">
        <v>1218</v>
      </c>
      <c r="H68" s="10" t="s">
        <v>112</v>
      </c>
      <c r="I68" s="10" t="s">
        <v>509</v>
      </c>
      <c r="J68" s="10">
        <v>3000</v>
      </c>
      <c r="K68" s="80">
        <f>VLOOKUP(A:A,'staff sales'!C:Q,15,)</f>
        <v>86139.199999999997</v>
      </c>
      <c r="L68" s="81">
        <f>VLOOKUP(A:A,'staff sales'!C:T,18,)</f>
        <v>0</v>
      </c>
      <c r="M68" s="81">
        <f>VLOOKUP(A:A,'staff sales'!C:W,21,)</f>
        <v>18486.52</v>
      </c>
      <c r="N68" s="81">
        <f>VLOOKUP(A:A,'staff sales'!C:Z,24,)</f>
        <v>0</v>
      </c>
      <c r="O68" s="81">
        <f>VLOOKUP(A:A,'staff sales'!C:AC,27,)</f>
        <v>5</v>
      </c>
      <c r="P68" s="81">
        <f>VLOOKUP(A:A,'staff sales'!C:AF,30,)</f>
        <v>0</v>
      </c>
      <c r="Q68" s="81">
        <f>VLOOKUP(A:A,'staff sales'!C:AI,33,)</f>
        <v>60</v>
      </c>
      <c r="R68" s="81">
        <f>VLOOKUP(A:A,'staff sales'!C:AL,36,)</f>
        <v>1</v>
      </c>
      <c r="S68" s="81">
        <f>VLOOKUP(A:A,'staff sales'!C:AO,39,)</f>
        <v>14</v>
      </c>
      <c r="T68" s="81">
        <f>VLOOKUP(A:A,'staff sales'!C:AR,42,)</f>
        <v>3</v>
      </c>
      <c r="U68" s="81">
        <f>VLOOKUP(A:A,'staff sales'!C:AU,45,)</f>
        <v>2</v>
      </c>
      <c r="V68" s="81">
        <f>VLOOKUP(A:A,'staff sales'!C:AX,48,)</f>
        <v>0</v>
      </c>
      <c r="W68" s="81">
        <f>VLOOKUP(A:A,'staff sales'!C:BA,51,)</f>
        <v>4</v>
      </c>
    </row>
    <row r="69" spans="1:23" x14ac:dyDescent="0.25">
      <c r="A69" s="28">
        <v>1066643220</v>
      </c>
      <c r="B69" s="12" t="s">
        <v>692</v>
      </c>
      <c r="C69" s="14" t="s">
        <v>546</v>
      </c>
      <c r="D69" s="14" t="s">
        <v>546</v>
      </c>
      <c r="E69" s="14" t="s">
        <v>186</v>
      </c>
      <c r="F69" s="14" t="s">
        <v>187</v>
      </c>
      <c r="G69" s="14" t="s">
        <v>1218</v>
      </c>
      <c r="H69" s="14" t="s">
        <v>112</v>
      </c>
      <c r="I69" s="14" t="s">
        <v>509</v>
      </c>
      <c r="J69" s="14">
        <v>3000</v>
      </c>
      <c r="K69" s="80">
        <f>VLOOKUP(A:A,'staff sales'!C:Q,15,)</f>
        <v>30196.54</v>
      </c>
      <c r="L69" s="81">
        <f>VLOOKUP(A:A,'staff sales'!C:T,18,)</f>
        <v>5172.17</v>
      </c>
      <c r="M69" s="81">
        <f>VLOOKUP(A:A,'staff sales'!C:W,21,)</f>
        <v>9896.1</v>
      </c>
      <c r="N69" s="81">
        <f>VLOOKUP(A:A,'staff sales'!C:Z,24,)</f>
        <v>0</v>
      </c>
      <c r="O69" s="81">
        <f>VLOOKUP(A:A,'staff sales'!C:AC,27,)</f>
        <v>12</v>
      </c>
      <c r="P69" s="81">
        <f>VLOOKUP(A:A,'staff sales'!C:AF,30,)</f>
        <v>0</v>
      </c>
      <c r="Q69" s="81">
        <f>VLOOKUP(A:A,'staff sales'!C:AI,33,)</f>
        <v>75</v>
      </c>
      <c r="R69" s="81">
        <f>VLOOKUP(A:A,'staff sales'!C:AL,36,)</f>
        <v>2</v>
      </c>
      <c r="S69" s="81">
        <f>VLOOKUP(A:A,'staff sales'!C:AO,39,)</f>
        <v>0</v>
      </c>
      <c r="T69" s="81">
        <f>VLOOKUP(A:A,'staff sales'!C:AR,42,)</f>
        <v>1</v>
      </c>
      <c r="U69" s="81">
        <f>VLOOKUP(A:A,'staff sales'!C:AU,45,)</f>
        <v>1</v>
      </c>
      <c r="V69" s="81">
        <f>VLOOKUP(A:A,'staff sales'!C:AX,48,)</f>
        <v>0</v>
      </c>
      <c r="W69" s="81">
        <f>VLOOKUP(A:A,'staff sales'!C:BA,51,)</f>
        <v>0</v>
      </c>
    </row>
    <row r="70" spans="1:23" x14ac:dyDescent="0.25">
      <c r="A70" s="28">
        <v>1071216921</v>
      </c>
      <c r="B70" s="8" t="s">
        <v>1190</v>
      </c>
      <c r="C70" s="10" t="s">
        <v>546</v>
      </c>
      <c r="D70" s="10" t="s">
        <v>546</v>
      </c>
      <c r="E70" s="10" t="s">
        <v>1191</v>
      </c>
      <c r="F70" s="10" t="s">
        <v>1191</v>
      </c>
      <c r="G70" s="10" t="s">
        <v>1218</v>
      </c>
      <c r="H70" s="10" t="s">
        <v>112</v>
      </c>
      <c r="I70" s="14" t="s">
        <v>509</v>
      </c>
      <c r="J70" s="14">
        <v>3000</v>
      </c>
      <c r="K70" s="80">
        <f>VLOOKUP(A:A,'staff sales'!C:Q,15,)</f>
        <v>76511.33</v>
      </c>
      <c r="L70" s="81">
        <f>VLOOKUP(A:A,'staff sales'!C:T,18,)</f>
        <v>4455.3600000000006</v>
      </c>
      <c r="M70" s="81">
        <f>VLOOKUP(A:A,'staff sales'!C:W,21,)</f>
        <v>10306.379999999999</v>
      </c>
      <c r="N70" s="81">
        <f>VLOOKUP(A:A,'staff sales'!C:Z,24,)</f>
        <v>0</v>
      </c>
      <c r="O70" s="81">
        <f>VLOOKUP(A:A,'staff sales'!C:AC,27,)</f>
        <v>7</v>
      </c>
      <c r="P70" s="81">
        <f>VLOOKUP(A:A,'staff sales'!C:AF,30,)</f>
        <v>2</v>
      </c>
      <c r="Q70" s="81">
        <f>VLOOKUP(A:A,'staff sales'!C:AI,33,)</f>
        <v>57</v>
      </c>
      <c r="R70" s="81">
        <f>VLOOKUP(A:A,'staff sales'!C:AL,36,)</f>
        <v>5</v>
      </c>
      <c r="S70" s="81">
        <f>VLOOKUP(A:A,'staff sales'!C:AO,39,)</f>
        <v>1</v>
      </c>
      <c r="T70" s="81">
        <f>VLOOKUP(A:A,'staff sales'!C:AR,42,)</f>
        <v>8</v>
      </c>
      <c r="U70" s="81">
        <f>VLOOKUP(A:A,'staff sales'!C:AU,45,)</f>
        <v>6</v>
      </c>
      <c r="V70" s="81">
        <f>VLOOKUP(A:A,'staff sales'!C:AX,48,)</f>
        <v>0</v>
      </c>
      <c r="W70" s="81">
        <f>VLOOKUP(A:A,'staff sales'!C:BA,51,)</f>
        <v>4</v>
      </c>
    </row>
    <row r="71" spans="1:23" x14ac:dyDescent="0.25">
      <c r="A71" s="28">
        <v>1077458253</v>
      </c>
      <c r="B71" s="12" t="s">
        <v>690</v>
      </c>
      <c r="C71" s="14" t="s">
        <v>544</v>
      </c>
      <c r="D71" s="14" t="s">
        <v>544</v>
      </c>
      <c r="E71" s="14" t="s">
        <v>183</v>
      </c>
      <c r="F71" s="14" t="s">
        <v>184</v>
      </c>
      <c r="G71" s="14" t="s">
        <v>1218</v>
      </c>
      <c r="H71" s="14" t="s">
        <v>112</v>
      </c>
      <c r="I71" s="14" t="s">
        <v>509</v>
      </c>
      <c r="J71" s="14">
        <v>3000</v>
      </c>
      <c r="K71" s="80">
        <f>VLOOKUP(A:A,'staff sales'!C:Q,15,)</f>
        <v>0</v>
      </c>
      <c r="L71" s="81">
        <f>VLOOKUP(A:A,'staff sales'!C:T,18,)</f>
        <v>0</v>
      </c>
      <c r="M71" s="81">
        <f>VLOOKUP(A:A,'staff sales'!C:W,21,)</f>
        <v>0</v>
      </c>
      <c r="N71" s="81">
        <f>VLOOKUP(A:A,'staff sales'!C:Z,24,)</f>
        <v>0</v>
      </c>
      <c r="O71" s="81">
        <f>VLOOKUP(A:A,'staff sales'!C:AC,27,)</f>
        <v>0</v>
      </c>
      <c r="P71" s="81">
        <f>VLOOKUP(A:A,'staff sales'!C:AF,30,)</f>
        <v>0</v>
      </c>
      <c r="Q71" s="81">
        <f>VLOOKUP(A:A,'staff sales'!C:AI,33,)</f>
        <v>0</v>
      </c>
      <c r="R71" s="81">
        <f>VLOOKUP(A:A,'staff sales'!C:AL,36,)</f>
        <v>0</v>
      </c>
      <c r="S71" s="81">
        <f>VLOOKUP(A:A,'staff sales'!C:AO,39,)</f>
        <v>0</v>
      </c>
      <c r="T71" s="81">
        <f>VLOOKUP(A:A,'staff sales'!C:AR,42,)</f>
        <v>0</v>
      </c>
      <c r="U71" s="81">
        <f>VLOOKUP(A:A,'staff sales'!C:AU,45,)</f>
        <v>0</v>
      </c>
      <c r="V71" s="81">
        <f>VLOOKUP(A:A,'staff sales'!C:AX,48,)</f>
        <v>0</v>
      </c>
      <c r="W71" s="81">
        <f>VLOOKUP(A:A,'staff sales'!C:BA,51,)</f>
        <v>0</v>
      </c>
    </row>
    <row r="72" spans="1:23" x14ac:dyDescent="0.25">
      <c r="A72" s="27">
        <v>1046800189</v>
      </c>
      <c r="B72" s="8" t="s">
        <v>632</v>
      </c>
      <c r="C72" s="10" t="s">
        <v>546</v>
      </c>
      <c r="D72" s="10" t="s">
        <v>546</v>
      </c>
      <c r="E72" s="10" t="s">
        <v>117</v>
      </c>
      <c r="F72" s="10" t="s">
        <v>117</v>
      </c>
      <c r="G72" s="10" t="s">
        <v>1218</v>
      </c>
      <c r="H72" s="10" t="s">
        <v>112</v>
      </c>
      <c r="I72" s="10" t="s">
        <v>509</v>
      </c>
      <c r="J72" s="10">
        <v>3000</v>
      </c>
      <c r="K72" s="80">
        <f>VLOOKUP(A:A,'staff sales'!C:Q,15,)</f>
        <v>70347.850000000006</v>
      </c>
      <c r="L72" s="81">
        <f>VLOOKUP(A:A,'staff sales'!C:T,18,)</f>
        <v>3225.22</v>
      </c>
      <c r="M72" s="81">
        <f>VLOOKUP(A:A,'staff sales'!C:W,21,)</f>
        <v>32050.46</v>
      </c>
      <c r="N72" s="81">
        <f>VLOOKUP(A:A,'staff sales'!C:Z,24,)</f>
        <v>0</v>
      </c>
      <c r="O72" s="81">
        <f>VLOOKUP(A:A,'staff sales'!C:AC,27,)</f>
        <v>11</v>
      </c>
      <c r="P72" s="81">
        <f>VLOOKUP(A:A,'staff sales'!C:AF,30,)</f>
        <v>0</v>
      </c>
      <c r="Q72" s="81">
        <f>VLOOKUP(A:A,'staff sales'!C:AI,33,)</f>
        <v>59</v>
      </c>
      <c r="R72" s="81">
        <f>VLOOKUP(A:A,'staff sales'!C:AL,36,)</f>
        <v>2</v>
      </c>
      <c r="S72" s="81">
        <f>VLOOKUP(A:A,'staff sales'!C:AO,39,)</f>
        <v>1</v>
      </c>
      <c r="T72" s="81">
        <f>VLOOKUP(A:A,'staff sales'!C:AR,42,)</f>
        <v>6</v>
      </c>
      <c r="U72" s="81">
        <f>VLOOKUP(A:A,'staff sales'!C:AU,45,)</f>
        <v>6</v>
      </c>
      <c r="V72" s="81">
        <f>VLOOKUP(A:A,'staff sales'!C:AX,48,)</f>
        <v>0</v>
      </c>
      <c r="W72" s="81">
        <f>VLOOKUP(A:A,'staff sales'!C:BA,51,)</f>
        <v>4</v>
      </c>
    </row>
    <row r="73" spans="1:23" x14ac:dyDescent="0.25">
      <c r="A73" s="28">
        <v>1030960825</v>
      </c>
      <c r="B73" s="12" t="s">
        <v>643</v>
      </c>
      <c r="C73" s="14" t="s">
        <v>546</v>
      </c>
      <c r="D73" s="14" t="s">
        <v>546</v>
      </c>
      <c r="E73" s="14" t="s">
        <v>376</v>
      </c>
      <c r="F73" s="14" t="s">
        <v>376</v>
      </c>
      <c r="G73" s="14" t="s">
        <v>1218</v>
      </c>
      <c r="H73" s="14" t="s">
        <v>112</v>
      </c>
      <c r="I73" s="14" t="s">
        <v>509</v>
      </c>
      <c r="J73" s="14">
        <v>3000</v>
      </c>
      <c r="K73" s="80">
        <f>VLOOKUP(A:A,'staff sales'!C:Q,15,)</f>
        <v>17850.45</v>
      </c>
      <c r="L73" s="81">
        <f>VLOOKUP(A:A,'staff sales'!C:T,18,)</f>
        <v>0</v>
      </c>
      <c r="M73" s="81">
        <f>VLOOKUP(A:A,'staff sales'!C:W,21,)</f>
        <v>7839.57</v>
      </c>
      <c r="N73" s="81">
        <f>VLOOKUP(A:A,'staff sales'!C:Z,24,)</f>
        <v>0</v>
      </c>
      <c r="O73" s="81">
        <f>VLOOKUP(A:A,'staff sales'!C:AC,27,)</f>
        <v>5</v>
      </c>
      <c r="P73" s="81">
        <f>VLOOKUP(A:A,'staff sales'!C:AF,30,)</f>
        <v>0</v>
      </c>
      <c r="Q73" s="81">
        <f>VLOOKUP(A:A,'staff sales'!C:AI,33,)</f>
        <v>20</v>
      </c>
      <c r="R73" s="81">
        <f>VLOOKUP(A:A,'staff sales'!C:AL,36,)</f>
        <v>1</v>
      </c>
      <c r="S73" s="81">
        <f>VLOOKUP(A:A,'staff sales'!C:AO,39,)</f>
        <v>1</v>
      </c>
      <c r="T73" s="81">
        <f>VLOOKUP(A:A,'staff sales'!C:AR,42,)</f>
        <v>2</v>
      </c>
      <c r="U73" s="81">
        <f>VLOOKUP(A:A,'staff sales'!C:AU,45,)</f>
        <v>1</v>
      </c>
      <c r="V73" s="81">
        <f>VLOOKUP(A:A,'staff sales'!C:AX,48,)</f>
        <v>0</v>
      </c>
      <c r="W73" s="81">
        <f>VLOOKUP(A:A,'staff sales'!C:BA,51,)</f>
        <v>0</v>
      </c>
    </row>
    <row r="74" spans="1:23" x14ac:dyDescent="0.25">
      <c r="A74" s="27">
        <v>1080205246</v>
      </c>
      <c r="B74" s="8" t="s">
        <v>638</v>
      </c>
      <c r="C74" s="10" t="s">
        <v>546</v>
      </c>
      <c r="D74" s="10" t="s">
        <v>546</v>
      </c>
      <c r="E74" s="10" t="s">
        <v>127</v>
      </c>
      <c r="F74" s="10" t="s">
        <v>128</v>
      </c>
      <c r="G74" s="10" t="s">
        <v>1218</v>
      </c>
      <c r="H74" s="10" t="s">
        <v>112</v>
      </c>
      <c r="I74" s="10" t="s">
        <v>509</v>
      </c>
      <c r="J74" s="10">
        <v>3000</v>
      </c>
      <c r="K74" s="80">
        <f>VLOOKUP(A:A,'staff sales'!C:Q,15,)</f>
        <v>42193.920000000006</v>
      </c>
      <c r="L74" s="81">
        <f>VLOOKUP(A:A,'staff sales'!C:T,18,)</f>
        <v>2520.87</v>
      </c>
      <c r="M74" s="81">
        <f>VLOOKUP(A:A,'staff sales'!C:W,21,)</f>
        <v>6384.7300000000005</v>
      </c>
      <c r="N74" s="81">
        <f>VLOOKUP(A:A,'staff sales'!C:Z,24,)</f>
        <v>952</v>
      </c>
      <c r="O74" s="81">
        <f>VLOOKUP(A:A,'staff sales'!C:AC,27,)</f>
        <v>11</v>
      </c>
      <c r="P74" s="81">
        <f>VLOOKUP(A:A,'staff sales'!C:AF,30,)</f>
        <v>0</v>
      </c>
      <c r="Q74" s="81">
        <f>VLOOKUP(A:A,'staff sales'!C:AI,33,)</f>
        <v>52</v>
      </c>
      <c r="R74" s="81">
        <f>VLOOKUP(A:A,'staff sales'!C:AL,36,)</f>
        <v>2</v>
      </c>
      <c r="S74" s="81">
        <f>VLOOKUP(A:A,'staff sales'!C:AO,39,)</f>
        <v>5</v>
      </c>
      <c r="T74" s="81">
        <f>VLOOKUP(A:A,'staff sales'!C:AR,42,)</f>
        <v>3</v>
      </c>
      <c r="U74" s="81">
        <f>VLOOKUP(A:A,'staff sales'!C:AU,45,)</f>
        <v>1</v>
      </c>
      <c r="V74" s="81">
        <f>VLOOKUP(A:A,'staff sales'!C:AX,48,)</f>
        <v>0</v>
      </c>
      <c r="W74" s="81">
        <f>VLOOKUP(A:A,'staff sales'!C:BA,51,)</f>
        <v>1</v>
      </c>
    </row>
    <row r="75" spans="1:23" x14ac:dyDescent="0.25">
      <c r="A75" s="27">
        <v>1075286219</v>
      </c>
      <c r="B75" s="8" t="s">
        <v>641</v>
      </c>
      <c r="C75" s="10" t="s">
        <v>546</v>
      </c>
      <c r="D75" s="10" t="s">
        <v>546</v>
      </c>
      <c r="E75" s="10" t="s">
        <v>133</v>
      </c>
      <c r="F75" s="10" t="s">
        <v>133</v>
      </c>
      <c r="G75" s="10" t="s">
        <v>1218</v>
      </c>
      <c r="H75" s="10" t="s">
        <v>112</v>
      </c>
      <c r="I75" s="10" t="s">
        <v>509</v>
      </c>
      <c r="J75" s="10">
        <v>3000</v>
      </c>
      <c r="K75" s="80">
        <f>VLOOKUP(A:A,'staff sales'!C:Q,15,)</f>
        <v>72700</v>
      </c>
      <c r="L75" s="81">
        <f>VLOOKUP(A:A,'staff sales'!C:T,18,)</f>
        <v>5215.66</v>
      </c>
      <c r="M75" s="81">
        <f>VLOOKUP(A:A,'staff sales'!C:W,21,)</f>
        <v>5760</v>
      </c>
      <c r="N75" s="81">
        <f>VLOOKUP(A:A,'staff sales'!C:Z,24,)</f>
        <v>419</v>
      </c>
      <c r="O75" s="81">
        <f>VLOOKUP(A:A,'staff sales'!C:AC,27,)</f>
        <v>11</v>
      </c>
      <c r="P75" s="81">
        <f>VLOOKUP(A:A,'staff sales'!C:AF,30,)</f>
        <v>2</v>
      </c>
      <c r="Q75" s="81">
        <f>VLOOKUP(A:A,'staff sales'!C:AI,33,)</f>
        <v>67</v>
      </c>
      <c r="R75" s="81">
        <f>VLOOKUP(A:A,'staff sales'!C:AL,36,)</f>
        <v>1</v>
      </c>
      <c r="S75" s="81">
        <f>VLOOKUP(A:A,'staff sales'!C:AO,39,)</f>
        <v>4</v>
      </c>
      <c r="T75" s="81">
        <f>VLOOKUP(A:A,'staff sales'!C:AR,42,)</f>
        <v>2</v>
      </c>
      <c r="U75" s="81">
        <f>VLOOKUP(A:A,'staff sales'!C:AU,45,)</f>
        <v>2</v>
      </c>
      <c r="V75" s="81">
        <f>VLOOKUP(A:A,'staff sales'!C:AX,48,)</f>
        <v>0</v>
      </c>
      <c r="W75" s="81">
        <f>VLOOKUP(A:A,'staff sales'!C:BA,51,)</f>
        <v>3</v>
      </c>
    </row>
    <row r="76" spans="1:23" x14ac:dyDescent="0.25">
      <c r="A76" s="28">
        <v>1053742787</v>
      </c>
      <c r="B76" s="12" t="s">
        <v>633</v>
      </c>
      <c r="C76" s="14" t="s">
        <v>546</v>
      </c>
      <c r="D76" s="14" t="s">
        <v>546</v>
      </c>
      <c r="E76" s="14" t="s">
        <v>121</v>
      </c>
      <c r="F76" s="14" t="s">
        <v>122</v>
      </c>
      <c r="G76" s="14" t="s">
        <v>1218</v>
      </c>
      <c r="H76" s="14" t="s">
        <v>112</v>
      </c>
      <c r="I76" s="14" t="s">
        <v>509</v>
      </c>
      <c r="J76" s="14">
        <v>3000</v>
      </c>
      <c r="K76" s="80">
        <f>VLOOKUP(A:A,'staff sales'!C:Q,15,)</f>
        <v>62230.45</v>
      </c>
      <c r="L76" s="81">
        <f>VLOOKUP(A:A,'staff sales'!C:T,18,)</f>
        <v>0</v>
      </c>
      <c r="M76" s="81">
        <f>VLOOKUP(A:A,'staff sales'!C:W,21,)</f>
        <v>10448.64</v>
      </c>
      <c r="N76" s="81">
        <f>VLOOKUP(A:A,'staff sales'!C:Z,24,)</f>
        <v>0</v>
      </c>
      <c r="O76" s="81">
        <f>VLOOKUP(A:A,'staff sales'!C:AC,27,)</f>
        <v>11</v>
      </c>
      <c r="P76" s="81">
        <f>VLOOKUP(A:A,'staff sales'!C:AF,30,)</f>
        <v>4</v>
      </c>
      <c r="Q76" s="81">
        <f>VLOOKUP(A:A,'staff sales'!C:AI,33,)</f>
        <v>39</v>
      </c>
      <c r="R76" s="81">
        <f>VLOOKUP(A:A,'staff sales'!C:AL,36,)</f>
        <v>0</v>
      </c>
      <c r="S76" s="81">
        <f>VLOOKUP(A:A,'staff sales'!C:AO,39,)</f>
        <v>6</v>
      </c>
      <c r="T76" s="81">
        <f>VLOOKUP(A:A,'staff sales'!C:AR,42,)</f>
        <v>8</v>
      </c>
      <c r="U76" s="81">
        <f>VLOOKUP(A:A,'staff sales'!C:AU,45,)</f>
        <v>3</v>
      </c>
      <c r="V76" s="81">
        <f>VLOOKUP(A:A,'staff sales'!C:AX,48,)</f>
        <v>0</v>
      </c>
      <c r="W76" s="81">
        <f>VLOOKUP(A:A,'staff sales'!C:BA,51,)</f>
        <v>2</v>
      </c>
    </row>
    <row r="77" spans="1:23" x14ac:dyDescent="0.25">
      <c r="A77" s="27">
        <v>1020043491</v>
      </c>
      <c r="B77" s="8" t="s">
        <v>630</v>
      </c>
      <c r="C77" s="10" t="s">
        <v>541</v>
      </c>
      <c r="D77" s="10" t="s">
        <v>541</v>
      </c>
      <c r="E77" s="10" t="s">
        <v>113</v>
      </c>
      <c r="F77" s="10" t="s">
        <v>113</v>
      </c>
      <c r="G77" s="10" t="s">
        <v>1218</v>
      </c>
      <c r="H77" s="10" t="s">
        <v>112</v>
      </c>
      <c r="I77" s="10" t="s">
        <v>135</v>
      </c>
      <c r="J77" s="10">
        <v>13006</v>
      </c>
      <c r="K77" s="80">
        <f>VLOOKUP(A:A,'staff sales'!C:Q,15,)</f>
        <v>0</v>
      </c>
      <c r="L77" s="81">
        <f>VLOOKUP(A:A,'staff sales'!C:T,18,)</f>
        <v>0</v>
      </c>
      <c r="M77" s="81">
        <f>VLOOKUP(A:A,'staff sales'!C:W,21,)</f>
        <v>0</v>
      </c>
      <c r="N77" s="81">
        <f>VLOOKUP(A:A,'staff sales'!C:Z,24,)</f>
        <v>0</v>
      </c>
      <c r="O77" s="81">
        <f>VLOOKUP(A:A,'staff sales'!C:AC,27,)</f>
        <v>0</v>
      </c>
      <c r="P77" s="81">
        <f>VLOOKUP(A:A,'staff sales'!C:AF,30,)</f>
        <v>0</v>
      </c>
      <c r="Q77" s="81">
        <f>VLOOKUP(A:A,'staff sales'!C:AI,33,)</f>
        <v>0</v>
      </c>
      <c r="R77" s="81">
        <f>VLOOKUP(A:A,'staff sales'!C:AL,36,)</f>
        <v>0</v>
      </c>
      <c r="S77" s="81">
        <f>VLOOKUP(A:A,'staff sales'!C:AO,39,)</f>
        <v>0</v>
      </c>
      <c r="T77" s="81">
        <f>VLOOKUP(A:A,'staff sales'!C:AR,42,)</f>
        <v>0</v>
      </c>
      <c r="U77" s="81">
        <f>VLOOKUP(A:A,'staff sales'!C:AU,45,)</f>
        <v>0</v>
      </c>
      <c r="V77" s="81">
        <f>VLOOKUP(A:A,'staff sales'!C:AX,48,)</f>
        <v>0</v>
      </c>
      <c r="W77" s="81">
        <f>VLOOKUP(A:A,'staff sales'!C:BA,51,)</f>
        <v>0</v>
      </c>
    </row>
    <row r="78" spans="1:23" x14ac:dyDescent="0.25">
      <c r="A78" s="28">
        <v>1060785159</v>
      </c>
      <c r="B78" s="12" t="s">
        <v>645</v>
      </c>
      <c r="C78" s="14" t="s">
        <v>544</v>
      </c>
      <c r="D78" s="14" t="s">
        <v>544</v>
      </c>
      <c r="E78" s="14" t="s">
        <v>136</v>
      </c>
      <c r="F78" s="14" t="s">
        <v>137</v>
      </c>
      <c r="G78" s="14" t="s">
        <v>1218</v>
      </c>
      <c r="H78" s="14" t="s">
        <v>112</v>
      </c>
      <c r="I78" s="14" t="s">
        <v>135</v>
      </c>
      <c r="J78" s="14">
        <v>13006</v>
      </c>
      <c r="K78" s="80">
        <f>VLOOKUP(A:A,'staff sales'!C:Q,15,)</f>
        <v>0</v>
      </c>
      <c r="L78" s="81">
        <f>VLOOKUP(A:A,'staff sales'!C:T,18,)</f>
        <v>0</v>
      </c>
      <c r="M78" s="81">
        <f>VLOOKUP(A:A,'staff sales'!C:W,21,)</f>
        <v>0</v>
      </c>
      <c r="N78" s="81">
        <f>VLOOKUP(A:A,'staff sales'!C:Z,24,)</f>
        <v>0</v>
      </c>
      <c r="O78" s="81">
        <f>VLOOKUP(A:A,'staff sales'!C:AC,27,)</f>
        <v>0</v>
      </c>
      <c r="P78" s="81">
        <f>VLOOKUP(A:A,'staff sales'!C:AF,30,)</f>
        <v>0</v>
      </c>
      <c r="Q78" s="81">
        <f>VLOOKUP(A:A,'staff sales'!C:AI,33,)</f>
        <v>0</v>
      </c>
      <c r="R78" s="81">
        <f>VLOOKUP(A:A,'staff sales'!C:AL,36,)</f>
        <v>0</v>
      </c>
      <c r="S78" s="81">
        <f>VLOOKUP(A:A,'staff sales'!C:AO,39,)</f>
        <v>0</v>
      </c>
      <c r="T78" s="81">
        <f>VLOOKUP(A:A,'staff sales'!C:AR,42,)</f>
        <v>0</v>
      </c>
      <c r="U78" s="81">
        <f>VLOOKUP(A:A,'staff sales'!C:AU,45,)</f>
        <v>0</v>
      </c>
      <c r="V78" s="81">
        <f>VLOOKUP(A:A,'staff sales'!C:AX,48,)</f>
        <v>0</v>
      </c>
      <c r="W78" s="81">
        <f>VLOOKUP(A:A,'staff sales'!C:BA,51,)</f>
        <v>0</v>
      </c>
    </row>
    <row r="79" spans="1:23" x14ac:dyDescent="0.25">
      <c r="A79" s="27">
        <v>1107914770</v>
      </c>
      <c r="B79" s="8" t="s">
        <v>655</v>
      </c>
      <c r="C79" s="10" t="s">
        <v>546</v>
      </c>
      <c r="D79" s="10" t="s">
        <v>546</v>
      </c>
      <c r="E79" s="10" t="s">
        <v>155</v>
      </c>
      <c r="F79" s="10" t="s">
        <v>156</v>
      </c>
      <c r="G79" s="10" t="s">
        <v>1218</v>
      </c>
      <c r="H79" s="10" t="s">
        <v>112</v>
      </c>
      <c r="I79" s="10" t="s">
        <v>135</v>
      </c>
      <c r="J79" s="10">
        <v>13006</v>
      </c>
      <c r="K79" s="80">
        <f>VLOOKUP(A:A,'staff sales'!C:Q,15,)</f>
        <v>5825.22</v>
      </c>
      <c r="L79" s="81">
        <f>VLOOKUP(A:A,'staff sales'!C:T,18,)</f>
        <v>0</v>
      </c>
      <c r="M79" s="81">
        <f>VLOOKUP(A:A,'staff sales'!C:W,21,)</f>
        <v>4396.9599999999991</v>
      </c>
      <c r="N79" s="81">
        <f>VLOOKUP(A:A,'staff sales'!C:Z,24,)</f>
        <v>480</v>
      </c>
      <c r="O79" s="81">
        <f>VLOOKUP(A:A,'staff sales'!C:AC,27,)</f>
        <v>1</v>
      </c>
      <c r="P79" s="81">
        <f>VLOOKUP(A:A,'staff sales'!C:AF,30,)</f>
        <v>2</v>
      </c>
      <c r="Q79" s="81">
        <f>VLOOKUP(A:A,'staff sales'!C:AI,33,)</f>
        <v>4</v>
      </c>
      <c r="R79" s="81">
        <f>VLOOKUP(A:A,'staff sales'!C:AL,36,)</f>
        <v>0</v>
      </c>
      <c r="S79" s="81">
        <f>VLOOKUP(A:A,'staff sales'!C:AO,39,)</f>
        <v>0</v>
      </c>
      <c r="T79" s="81">
        <f>VLOOKUP(A:A,'staff sales'!C:AR,42,)</f>
        <v>1</v>
      </c>
      <c r="U79" s="81">
        <f>VLOOKUP(A:A,'staff sales'!C:AU,45,)</f>
        <v>0</v>
      </c>
      <c r="V79" s="81">
        <f>VLOOKUP(A:A,'staff sales'!C:AX,48,)</f>
        <v>0</v>
      </c>
      <c r="W79" s="81">
        <f>VLOOKUP(A:A,'staff sales'!C:BA,51,)</f>
        <v>1</v>
      </c>
    </row>
    <row r="80" spans="1:23" x14ac:dyDescent="0.25">
      <c r="A80" s="28">
        <v>1007585415</v>
      </c>
      <c r="B80" s="12" t="s">
        <v>648</v>
      </c>
      <c r="C80" s="14" t="s">
        <v>546</v>
      </c>
      <c r="D80" s="14" t="s">
        <v>546</v>
      </c>
      <c r="E80" s="14" t="s">
        <v>146</v>
      </c>
      <c r="F80" s="14" t="s">
        <v>147</v>
      </c>
      <c r="G80" s="14" t="s">
        <v>1218</v>
      </c>
      <c r="H80" s="14" t="s">
        <v>112</v>
      </c>
      <c r="I80" s="14" t="s">
        <v>135</v>
      </c>
      <c r="J80" s="14">
        <v>13006</v>
      </c>
      <c r="K80" s="80">
        <f>VLOOKUP(A:A,'staff sales'!C:Q,15,)</f>
        <v>3600</v>
      </c>
      <c r="L80" s="81">
        <f>VLOOKUP(A:A,'staff sales'!C:T,18,)</f>
        <v>2781.74</v>
      </c>
      <c r="M80" s="81">
        <f>VLOOKUP(A:A,'staff sales'!C:W,21,)</f>
        <v>1806.52</v>
      </c>
      <c r="N80" s="81">
        <f>VLOOKUP(A:A,'staff sales'!C:Z,24,)</f>
        <v>320</v>
      </c>
      <c r="O80" s="81">
        <f>VLOOKUP(A:A,'staff sales'!C:AC,27,)</f>
        <v>10</v>
      </c>
      <c r="P80" s="81">
        <f>VLOOKUP(A:A,'staff sales'!C:AF,30,)</f>
        <v>1</v>
      </c>
      <c r="Q80" s="81">
        <f>VLOOKUP(A:A,'staff sales'!C:AI,33,)</f>
        <v>19</v>
      </c>
      <c r="R80" s="81">
        <f>VLOOKUP(A:A,'staff sales'!C:AL,36,)</f>
        <v>0</v>
      </c>
      <c r="S80" s="81">
        <f>VLOOKUP(A:A,'staff sales'!C:AO,39,)</f>
        <v>0</v>
      </c>
      <c r="T80" s="81">
        <f>VLOOKUP(A:A,'staff sales'!C:AR,42,)</f>
        <v>1</v>
      </c>
      <c r="U80" s="81">
        <f>VLOOKUP(A:A,'staff sales'!C:AU,45,)</f>
        <v>1</v>
      </c>
      <c r="V80" s="81">
        <f>VLOOKUP(A:A,'staff sales'!C:AX,48,)</f>
        <v>0</v>
      </c>
      <c r="W80" s="81">
        <f>VLOOKUP(A:A,'staff sales'!C:BA,51,)</f>
        <v>0</v>
      </c>
    </row>
    <row r="81" spans="1:23" x14ac:dyDescent="0.25">
      <c r="A81" s="28">
        <v>1071607582</v>
      </c>
      <c r="B81" s="8" t="s">
        <v>646</v>
      </c>
      <c r="C81" s="10" t="s">
        <v>546</v>
      </c>
      <c r="D81" s="10" t="s">
        <v>546</v>
      </c>
      <c r="E81" s="10" t="s">
        <v>140</v>
      </c>
      <c r="F81" s="10" t="s">
        <v>141</v>
      </c>
      <c r="G81" s="10" t="s">
        <v>1218</v>
      </c>
      <c r="H81" s="10" t="s">
        <v>112</v>
      </c>
      <c r="I81" s="14" t="s">
        <v>135</v>
      </c>
      <c r="J81" s="14">
        <v>13006</v>
      </c>
      <c r="K81" s="80">
        <f>VLOOKUP(A:A,'staff sales'!C:Q,15,)</f>
        <v>0</v>
      </c>
      <c r="L81" s="81">
        <f>VLOOKUP(A:A,'staff sales'!C:T,18,)</f>
        <v>0</v>
      </c>
      <c r="M81" s="81">
        <f>VLOOKUP(A:A,'staff sales'!C:W,21,)</f>
        <v>0</v>
      </c>
      <c r="N81" s="81">
        <f>VLOOKUP(A:A,'staff sales'!C:Z,24,)</f>
        <v>0</v>
      </c>
      <c r="O81" s="81">
        <f>VLOOKUP(A:A,'staff sales'!C:AC,27,)</f>
        <v>2</v>
      </c>
      <c r="P81" s="81">
        <f>VLOOKUP(A:A,'staff sales'!C:AF,30,)</f>
        <v>1</v>
      </c>
      <c r="Q81" s="81">
        <f>VLOOKUP(A:A,'staff sales'!C:AI,33,)</f>
        <v>0</v>
      </c>
      <c r="R81" s="81">
        <f>VLOOKUP(A:A,'staff sales'!C:AL,36,)</f>
        <v>0</v>
      </c>
      <c r="S81" s="81">
        <f>VLOOKUP(A:A,'staff sales'!C:AO,39,)</f>
        <v>0</v>
      </c>
      <c r="T81" s="81">
        <f>VLOOKUP(A:A,'staff sales'!C:AR,42,)</f>
        <v>0</v>
      </c>
      <c r="U81" s="81">
        <f>VLOOKUP(A:A,'staff sales'!C:AU,45,)</f>
        <v>0</v>
      </c>
      <c r="V81" s="81">
        <f>VLOOKUP(A:A,'staff sales'!C:AX,48,)</f>
        <v>0</v>
      </c>
      <c r="W81" s="81">
        <f>VLOOKUP(A:A,'staff sales'!C:BA,51,)</f>
        <v>0</v>
      </c>
    </row>
    <row r="82" spans="1:23" x14ac:dyDescent="0.25">
      <c r="A82" s="28">
        <v>1068952017</v>
      </c>
      <c r="B82" s="12" t="s">
        <v>650</v>
      </c>
      <c r="C82" s="14" t="s">
        <v>546</v>
      </c>
      <c r="D82" s="14" t="s">
        <v>546</v>
      </c>
      <c r="E82" s="14" t="s">
        <v>148</v>
      </c>
      <c r="F82" s="14" t="s">
        <v>148</v>
      </c>
      <c r="G82" s="14" t="s">
        <v>1218</v>
      </c>
      <c r="H82" s="14" t="s">
        <v>112</v>
      </c>
      <c r="I82" s="14" t="s">
        <v>135</v>
      </c>
      <c r="J82" s="14">
        <v>13006</v>
      </c>
      <c r="K82" s="80">
        <f>VLOOKUP(A:A,'staff sales'!C:Q,15,)</f>
        <v>0</v>
      </c>
      <c r="L82" s="81">
        <f>VLOOKUP(A:A,'staff sales'!C:T,18,)</f>
        <v>0</v>
      </c>
      <c r="M82" s="81">
        <f>VLOOKUP(A:A,'staff sales'!C:W,21,)</f>
        <v>4711.3099999999995</v>
      </c>
      <c r="N82" s="81">
        <f>VLOOKUP(A:A,'staff sales'!C:Z,24,)</f>
        <v>0</v>
      </c>
      <c r="O82" s="81">
        <f>VLOOKUP(A:A,'staff sales'!C:AC,27,)</f>
        <v>0</v>
      </c>
      <c r="P82" s="81">
        <f>VLOOKUP(A:A,'staff sales'!C:AF,30,)</f>
        <v>0</v>
      </c>
      <c r="Q82" s="81">
        <f>VLOOKUP(A:A,'staff sales'!C:AI,33,)</f>
        <v>3</v>
      </c>
      <c r="R82" s="81">
        <f>VLOOKUP(A:A,'staff sales'!C:AL,36,)</f>
        <v>0</v>
      </c>
      <c r="S82" s="81">
        <f>VLOOKUP(A:A,'staff sales'!C:AO,39,)</f>
        <v>0</v>
      </c>
      <c r="T82" s="81">
        <f>VLOOKUP(A:A,'staff sales'!C:AR,42,)</f>
        <v>0</v>
      </c>
      <c r="U82" s="81">
        <f>VLOOKUP(A:A,'staff sales'!C:AU,45,)</f>
        <v>2</v>
      </c>
      <c r="V82" s="81">
        <f>VLOOKUP(A:A,'staff sales'!C:AX,48,)</f>
        <v>0</v>
      </c>
      <c r="W82" s="81">
        <f>VLOOKUP(A:A,'staff sales'!C:BA,51,)</f>
        <v>0</v>
      </c>
    </row>
    <row r="83" spans="1:23" x14ac:dyDescent="0.25">
      <c r="A83" s="28">
        <v>1060270921</v>
      </c>
      <c r="B83" s="8" t="s">
        <v>639</v>
      </c>
      <c r="C83" s="10" t="s">
        <v>546</v>
      </c>
      <c r="D83" s="10" t="s">
        <v>546</v>
      </c>
      <c r="E83" s="10" t="s">
        <v>176</v>
      </c>
      <c r="F83" s="10" t="s">
        <v>176</v>
      </c>
      <c r="G83" s="10" t="s">
        <v>1218</v>
      </c>
      <c r="H83" s="10" t="s">
        <v>112</v>
      </c>
      <c r="I83" s="29" t="s">
        <v>135</v>
      </c>
      <c r="J83" s="14">
        <v>13006</v>
      </c>
      <c r="K83" s="80">
        <f>VLOOKUP(A:A,'staff sales'!C:Q,15,)</f>
        <v>0</v>
      </c>
      <c r="L83" s="81">
        <f>VLOOKUP(A:A,'staff sales'!C:T,18,)</f>
        <v>0</v>
      </c>
      <c r="M83" s="81">
        <f>VLOOKUP(A:A,'staff sales'!C:W,21,)</f>
        <v>0</v>
      </c>
      <c r="N83" s="81">
        <f>VLOOKUP(A:A,'staff sales'!C:Z,24,)</f>
        <v>120</v>
      </c>
      <c r="O83" s="81">
        <f>VLOOKUP(A:A,'staff sales'!C:AC,27,)</f>
        <v>1</v>
      </c>
      <c r="P83" s="81">
        <f>VLOOKUP(A:A,'staff sales'!C:AF,30,)</f>
        <v>0</v>
      </c>
      <c r="Q83" s="81">
        <f>VLOOKUP(A:A,'staff sales'!C:AI,33,)</f>
        <v>0</v>
      </c>
      <c r="R83" s="81">
        <f>VLOOKUP(A:A,'staff sales'!C:AL,36,)</f>
        <v>0</v>
      </c>
      <c r="S83" s="81">
        <f>VLOOKUP(A:A,'staff sales'!C:AO,39,)</f>
        <v>0</v>
      </c>
      <c r="T83" s="81">
        <f>VLOOKUP(A:A,'staff sales'!C:AR,42,)</f>
        <v>0</v>
      </c>
      <c r="U83" s="81">
        <f>VLOOKUP(A:A,'staff sales'!C:AU,45,)</f>
        <v>0</v>
      </c>
      <c r="V83" s="81">
        <f>VLOOKUP(A:A,'staff sales'!C:AX,48,)</f>
        <v>0</v>
      </c>
      <c r="W83" s="81">
        <f>VLOOKUP(A:A,'staff sales'!C:BA,51,)</f>
        <v>0</v>
      </c>
    </row>
    <row r="84" spans="1:23" x14ac:dyDescent="0.25">
      <c r="A84" s="28">
        <v>1073487306</v>
      </c>
      <c r="B84" s="12" t="s">
        <v>649</v>
      </c>
      <c r="C84" s="14" t="s">
        <v>544</v>
      </c>
      <c r="D84" s="14" t="s">
        <v>544</v>
      </c>
      <c r="E84" s="14" t="s">
        <v>115</v>
      </c>
      <c r="F84" s="14" t="s">
        <v>116</v>
      </c>
      <c r="G84" s="14" t="s">
        <v>1218</v>
      </c>
      <c r="H84" s="14" t="s">
        <v>112</v>
      </c>
      <c r="I84" s="14" t="s">
        <v>135</v>
      </c>
      <c r="J84" s="14">
        <v>13006</v>
      </c>
      <c r="K84" s="80">
        <f>VLOOKUP(A:A,'staff sales'!C:Q,15,)</f>
        <v>0</v>
      </c>
      <c r="L84" s="81">
        <f>VLOOKUP(A:A,'staff sales'!C:T,18,)</f>
        <v>0</v>
      </c>
      <c r="M84" s="81">
        <f>VLOOKUP(A:A,'staff sales'!C:W,21,)</f>
        <v>0</v>
      </c>
      <c r="N84" s="81">
        <f>VLOOKUP(A:A,'staff sales'!C:Z,24,)</f>
        <v>0</v>
      </c>
      <c r="O84" s="81">
        <f>VLOOKUP(A:A,'staff sales'!C:AC,27,)</f>
        <v>0</v>
      </c>
      <c r="P84" s="81">
        <f>VLOOKUP(A:A,'staff sales'!C:AF,30,)</f>
        <v>0</v>
      </c>
      <c r="Q84" s="81">
        <f>VLOOKUP(A:A,'staff sales'!C:AI,33,)</f>
        <v>0</v>
      </c>
      <c r="R84" s="81">
        <f>VLOOKUP(A:A,'staff sales'!C:AL,36,)</f>
        <v>0</v>
      </c>
      <c r="S84" s="81">
        <f>VLOOKUP(A:A,'staff sales'!C:AO,39,)</f>
        <v>0</v>
      </c>
      <c r="T84" s="81">
        <f>VLOOKUP(A:A,'staff sales'!C:AR,42,)</f>
        <v>0</v>
      </c>
      <c r="U84" s="81">
        <f>VLOOKUP(A:A,'staff sales'!C:AU,45,)</f>
        <v>0</v>
      </c>
      <c r="V84" s="81">
        <f>VLOOKUP(A:A,'staff sales'!C:AX,48,)</f>
        <v>0</v>
      </c>
      <c r="W84" s="81">
        <f>VLOOKUP(A:A,'staff sales'!C:BA,51,)</f>
        <v>0</v>
      </c>
    </row>
    <row r="85" spans="1:23" x14ac:dyDescent="0.25">
      <c r="A85" s="27">
        <v>1061804017</v>
      </c>
      <c r="B85" s="8" t="s">
        <v>647</v>
      </c>
      <c r="C85" s="10" t="s">
        <v>546</v>
      </c>
      <c r="D85" s="10" t="s">
        <v>546</v>
      </c>
      <c r="E85" s="10" t="s">
        <v>379</v>
      </c>
      <c r="F85" s="10" t="s">
        <v>380</v>
      </c>
      <c r="G85" s="10" t="s">
        <v>1218</v>
      </c>
      <c r="H85" s="10" t="s">
        <v>112</v>
      </c>
      <c r="I85" s="10" t="s">
        <v>135</v>
      </c>
      <c r="J85" s="10">
        <v>13006</v>
      </c>
      <c r="K85" s="80">
        <f>VLOOKUP(A:A,'staff sales'!C:Q,15,)</f>
        <v>3600</v>
      </c>
      <c r="L85" s="81">
        <f>VLOOKUP(A:A,'staff sales'!C:T,18,)</f>
        <v>0</v>
      </c>
      <c r="M85" s="81">
        <f>VLOOKUP(A:A,'staff sales'!C:W,21,)</f>
        <v>2961.73</v>
      </c>
      <c r="N85" s="81">
        <f>VLOOKUP(A:A,'staff sales'!C:Z,24,)</f>
        <v>0</v>
      </c>
      <c r="O85" s="81">
        <f>VLOOKUP(A:A,'staff sales'!C:AC,27,)</f>
        <v>2</v>
      </c>
      <c r="P85" s="81">
        <f>VLOOKUP(A:A,'staff sales'!C:AF,30,)</f>
        <v>2</v>
      </c>
      <c r="Q85" s="81">
        <f>VLOOKUP(A:A,'staff sales'!C:AI,33,)</f>
        <v>23</v>
      </c>
      <c r="R85" s="81">
        <f>VLOOKUP(A:A,'staff sales'!C:AL,36,)</f>
        <v>0</v>
      </c>
      <c r="S85" s="81">
        <f>VLOOKUP(A:A,'staff sales'!C:AO,39,)</f>
        <v>2</v>
      </c>
      <c r="T85" s="81">
        <f>VLOOKUP(A:A,'staff sales'!C:AR,42,)</f>
        <v>2</v>
      </c>
      <c r="U85" s="81">
        <f>VLOOKUP(A:A,'staff sales'!C:AU,45,)</f>
        <v>0</v>
      </c>
      <c r="V85" s="81">
        <f>VLOOKUP(A:A,'staff sales'!C:AX,48,)</f>
        <v>0</v>
      </c>
      <c r="W85" s="81">
        <f>VLOOKUP(A:A,'staff sales'!C:BA,51,)</f>
        <v>0</v>
      </c>
    </row>
    <row r="86" spans="1:23" x14ac:dyDescent="0.25">
      <c r="A86" s="28">
        <v>1079041156</v>
      </c>
      <c r="B86" s="12" t="s">
        <v>661</v>
      </c>
      <c r="C86" s="14" t="s">
        <v>546</v>
      </c>
      <c r="D86" s="14" t="s">
        <v>546</v>
      </c>
      <c r="E86" s="14" t="s">
        <v>1136</v>
      </c>
      <c r="F86" s="14" t="s">
        <v>1136</v>
      </c>
      <c r="G86" s="14" t="s">
        <v>1218</v>
      </c>
      <c r="H86" s="14" t="s">
        <v>112</v>
      </c>
      <c r="I86" s="14" t="s">
        <v>135</v>
      </c>
      <c r="J86" s="14">
        <v>13006</v>
      </c>
      <c r="K86" s="80">
        <f>VLOOKUP(A:A,'staff sales'!C:Q,15,)</f>
        <v>30863.489999999998</v>
      </c>
      <c r="L86" s="81">
        <f>VLOOKUP(A:A,'staff sales'!C:T,18,)</f>
        <v>781.74</v>
      </c>
      <c r="M86" s="81">
        <f>VLOOKUP(A:A,'staff sales'!C:W,21,)</f>
        <v>6326.1399999999994</v>
      </c>
      <c r="N86" s="81">
        <f>VLOOKUP(A:A,'staff sales'!C:Z,24,)</f>
        <v>410</v>
      </c>
      <c r="O86" s="81">
        <f>VLOOKUP(A:A,'staff sales'!C:AC,27,)</f>
        <v>19</v>
      </c>
      <c r="P86" s="81">
        <f>VLOOKUP(A:A,'staff sales'!C:AF,30,)</f>
        <v>0</v>
      </c>
      <c r="Q86" s="81">
        <f>VLOOKUP(A:A,'staff sales'!C:AI,33,)</f>
        <v>21</v>
      </c>
      <c r="R86" s="81">
        <f>VLOOKUP(A:A,'staff sales'!C:AL,36,)</f>
        <v>0</v>
      </c>
      <c r="S86" s="81">
        <f>VLOOKUP(A:A,'staff sales'!C:AO,39,)</f>
        <v>2</v>
      </c>
      <c r="T86" s="81">
        <f>VLOOKUP(A:A,'staff sales'!C:AR,42,)</f>
        <v>2</v>
      </c>
      <c r="U86" s="81">
        <f>VLOOKUP(A:A,'staff sales'!C:AU,45,)</f>
        <v>2</v>
      </c>
      <c r="V86" s="81">
        <f>VLOOKUP(A:A,'staff sales'!C:AX,48,)</f>
        <v>0</v>
      </c>
      <c r="W86" s="81">
        <f>VLOOKUP(A:A,'staff sales'!C:BA,51,)</f>
        <v>1</v>
      </c>
    </row>
    <row r="87" spans="1:23" x14ac:dyDescent="0.25">
      <c r="A87" s="27">
        <v>1055550261</v>
      </c>
      <c r="B87" s="8" t="s">
        <v>651</v>
      </c>
      <c r="C87" s="10" t="s">
        <v>546</v>
      </c>
      <c r="D87" s="10" t="s">
        <v>546</v>
      </c>
      <c r="E87" s="10" t="s">
        <v>149</v>
      </c>
      <c r="F87" s="10" t="s">
        <v>149</v>
      </c>
      <c r="G87" s="10" t="s">
        <v>1218</v>
      </c>
      <c r="H87" s="10" t="s">
        <v>112</v>
      </c>
      <c r="I87" s="10" t="s">
        <v>135</v>
      </c>
      <c r="J87" s="10">
        <v>13006</v>
      </c>
      <c r="K87" s="80">
        <f>VLOOKUP(A:A,'staff sales'!C:Q,15,)</f>
        <v>0</v>
      </c>
      <c r="L87" s="81">
        <f>VLOOKUP(A:A,'staff sales'!C:T,18,)</f>
        <v>0</v>
      </c>
      <c r="M87" s="81">
        <f>VLOOKUP(A:A,'staff sales'!C:W,21,)</f>
        <v>0</v>
      </c>
      <c r="N87" s="81">
        <f>VLOOKUP(A:A,'staff sales'!C:Z,24,)</f>
        <v>0</v>
      </c>
      <c r="O87" s="81">
        <f>VLOOKUP(A:A,'staff sales'!C:AC,27,)</f>
        <v>7</v>
      </c>
      <c r="P87" s="81">
        <f>VLOOKUP(A:A,'staff sales'!C:AF,30,)</f>
        <v>1</v>
      </c>
      <c r="Q87" s="81">
        <f>VLOOKUP(A:A,'staff sales'!C:AI,33,)</f>
        <v>0</v>
      </c>
      <c r="R87" s="81">
        <f>VLOOKUP(A:A,'staff sales'!C:AL,36,)</f>
        <v>0</v>
      </c>
      <c r="S87" s="81">
        <f>VLOOKUP(A:A,'staff sales'!C:AO,39,)</f>
        <v>0</v>
      </c>
      <c r="T87" s="81">
        <f>VLOOKUP(A:A,'staff sales'!C:AR,42,)</f>
        <v>0</v>
      </c>
      <c r="U87" s="81">
        <f>VLOOKUP(A:A,'staff sales'!C:AU,45,)</f>
        <v>0</v>
      </c>
      <c r="V87" s="81">
        <f>VLOOKUP(A:A,'staff sales'!C:AX,48,)</f>
        <v>0</v>
      </c>
      <c r="W87" s="81">
        <f>VLOOKUP(A:A,'staff sales'!C:BA,51,)</f>
        <v>0</v>
      </c>
    </row>
    <row r="88" spans="1:23" x14ac:dyDescent="0.25">
      <c r="A88" s="28">
        <v>1047589641</v>
      </c>
      <c r="B88" s="12" t="s">
        <v>636</v>
      </c>
      <c r="C88" s="14" t="s">
        <v>546</v>
      </c>
      <c r="D88" s="14" t="s">
        <v>546</v>
      </c>
      <c r="E88" s="14" t="s">
        <v>377</v>
      </c>
      <c r="F88" s="14" t="s">
        <v>378</v>
      </c>
      <c r="G88" s="14" t="s">
        <v>1218</v>
      </c>
      <c r="H88" s="14" t="s">
        <v>112</v>
      </c>
      <c r="I88" s="14" t="s">
        <v>135</v>
      </c>
      <c r="J88" s="14">
        <v>13006</v>
      </c>
      <c r="K88" s="80">
        <f>VLOOKUP(A:A,'staff sales'!C:Q,15,)</f>
        <v>0</v>
      </c>
      <c r="L88" s="81">
        <f>VLOOKUP(A:A,'staff sales'!C:T,18,)</f>
        <v>0</v>
      </c>
      <c r="M88" s="81">
        <f>VLOOKUP(A:A,'staff sales'!C:W,21,)</f>
        <v>0</v>
      </c>
      <c r="N88" s="81">
        <f>VLOOKUP(A:A,'staff sales'!C:Z,24,)</f>
        <v>0</v>
      </c>
      <c r="O88" s="81">
        <f>VLOOKUP(A:A,'staff sales'!C:AC,27,)</f>
        <v>3</v>
      </c>
      <c r="P88" s="81">
        <f>VLOOKUP(A:A,'staff sales'!C:AF,30,)</f>
        <v>1</v>
      </c>
      <c r="Q88" s="81">
        <f>VLOOKUP(A:A,'staff sales'!C:AI,33,)</f>
        <v>0</v>
      </c>
      <c r="R88" s="81">
        <f>VLOOKUP(A:A,'staff sales'!C:AL,36,)</f>
        <v>0</v>
      </c>
      <c r="S88" s="81">
        <f>VLOOKUP(A:A,'staff sales'!C:AO,39,)</f>
        <v>0</v>
      </c>
      <c r="T88" s="81">
        <f>VLOOKUP(A:A,'staff sales'!C:AR,42,)</f>
        <v>0</v>
      </c>
      <c r="U88" s="81">
        <f>VLOOKUP(A:A,'staff sales'!C:AU,45,)</f>
        <v>0</v>
      </c>
      <c r="V88" s="81">
        <f>VLOOKUP(A:A,'staff sales'!C:AX,48,)</f>
        <v>0</v>
      </c>
      <c r="W88" s="81">
        <f>VLOOKUP(A:A,'staff sales'!C:BA,51,)</f>
        <v>0</v>
      </c>
    </row>
    <row r="89" spans="1:23" x14ac:dyDescent="0.25">
      <c r="A89" s="28">
        <v>1036828943</v>
      </c>
      <c r="B89" s="12" t="s">
        <v>653</v>
      </c>
      <c r="C89" s="14" t="s">
        <v>541</v>
      </c>
      <c r="D89" s="14" t="s">
        <v>541</v>
      </c>
      <c r="E89" s="14" t="s">
        <v>150</v>
      </c>
      <c r="F89" s="14" t="s">
        <v>151</v>
      </c>
      <c r="G89" s="14" t="s">
        <v>1218</v>
      </c>
      <c r="H89" s="14" t="s">
        <v>112</v>
      </c>
      <c r="I89" s="14" t="s">
        <v>152</v>
      </c>
      <c r="J89" s="14">
        <v>33026</v>
      </c>
      <c r="K89" s="80">
        <f>VLOOKUP(A:A,'staff sales'!C:Q,15,)</f>
        <v>0</v>
      </c>
      <c r="L89" s="81">
        <f>VLOOKUP(A:A,'staff sales'!C:T,18,)</f>
        <v>0</v>
      </c>
      <c r="M89" s="81">
        <f>VLOOKUP(A:A,'staff sales'!C:W,21,)</f>
        <v>0</v>
      </c>
      <c r="N89" s="81">
        <f>VLOOKUP(A:A,'staff sales'!C:Z,24,)</f>
        <v>0</v>
      </c>
      <c r="O89" s="81">
        <f>VLOOKUP(A:A,'staff sales'!C:AC,27,)</f>
        <v>0</v>
      </c>
      <c r="P89" s="81">
        <f>VLOOKUP(A:A,'staff sales'!C:AF,30,)</f>
        <v>0</v>
      </c>
      <c r="Q89" s="81">
        <f>VLOOKUP(A:A,'staff sales'!C:AI,33,)</f>
        <v>0</v>
      </c>
      <c r="R89" s="81">
        <f>VLOOKUP(A:A,'staff sales'!C:AL,36,)</f>
        <v>0</v>
      </c>
      <c r="S89" s="81">
        <f>VLOOKUP(A:A,'staff sales'!C:AO,39,)</f>
        <v>0</v>
      </c>
      <c r="T89" s="81">
        <f>VLOOKUP(A:A,'staff sales'!C:AR,42,)</f>
        <v>0</v>
      </c>
      <c r="U89" s="81">
        <f>VLOOKUP(A:A,'staff sales'!C:AU,45,)</f>
        <v>0</v>
      </c>
      <c r="V89" s="81">
        <f>VLOOKUP(A:A,'staff sales'!C:AX,48,)</f>
        <v>0</v>
      </c>
      <c r="W89" s="81">
        <f>VLOOKUP(A:A,'staff sales'!C:BA,51,)</f>
        <v>0</v>
      </c>
    </row>
    <row r="90" spans="1:23" x14ac:dyDescent="0.25">
      <c r="A90" s="28">
        <v>1047496268</v>
      </c>
      <c r="B90" s="8" t="s">
        <v>654</v>
      </c>
      <c r="C90" s="10" t="s">
        <v>544</v>
      </c>
      <c r="D90" s="10" t="s">
        <v>544</v>
      </c>
      <c r="E90" s="10" t="s">
        <v>153</v>
      </c>
      <c r="F90" s="10" t="s">
        <v>154</v>
      </c>
      <c r="G90" s="10" t="s">
        <v>1218</v>
      </c>
      <c r="H90" s="10" t="s">
        <v>112</v>
      </c>
      <c r="I90" s="14" t="s">
        <v>152</v>
      </c>
      <c r="J90" s="14">
        <v>33026</v>
      </c>
      <c r="K90" s="80">
        <f>VLOOKUP(A:A,'staff sales'!C:Q,15,)</f>
        <v>0</v>
      </c>
      <c r="L90" s="81">
        <f>VLOOKUP(A:A,'staff sales'!C:T,18,)</f>
        <v>0</v>
      </c>
      <c r="M90" s="81">
        <f>VLOOKUP(A:A,'staff sales'!C:W,21,)</f>
        <v>0</v>
      </c>
      <c r="N90" s="81">
        <f>VLOOKUP(A:A,'staff sales'!C:Z,24,)</f>
        <v>0</v>
      </c>
      <c r="O90" s="81">
        <f>VLOOKUP(A:A,'staff sales'!C:AC,27,)</f>
        <v>1</v>
      </c>
      <c r="P90" s="81">
        <f>VLOOKUP(A:A,'staff sales'!C:AF,30,)</f>
        <v>0</v>
      </c>
      <c r="Q90" s="81">
        <f>VLOOKUP(A:A,'staff sales'!C:AI,33,)</f>
        <v>0</v>
      </c>
      <c r="R90" s="81">
        <f>VLOOKUP(A:A,'staff sales'!C:AL,36,)</f>
        <v>0</v>
      </c>
      <c r="S90" s="81">
        <f>VLOOKUP(A:A,'staff sales'!C:AO,39,)</f>
        <v>2</v>
      </c>
      <c r="T90" s="81">
        <f>VLOOKUP(A:A,'staff sales'!C:AR,42,)</f>
        <v>0</v>
      </c>
      <c r="U90" s="81">
        <f>VLOOKUP(A:A,'staff sales'!C:AU,45,)</f>
        <v>0</v>
      </c>
      <c r="V90" s="81">
        <f>VLOOKUP(A:A,'staff sales'!C:AX,48,)</f>
        <v>0</v>
      </c>
      <c r="W90" s="81">
        <f>VLOOKUP(A:A,'staff sales'!C:BA,51,)</f>
        <v>0</v>
      </c>
    </row>
    <row r="91" spans="1:23" x14ac:dyDescent="0.25">
      <c r="A91" s="28">
        <v>1067759249</v>
      </c>
      <c r="B91" s="12" t="s">
        <v>656</v>
      </c>
      <c r="C91" s="14" t="s">
        <v>546</v>
      </c>
      <c r="D91" s="14" t="s">
        <v>546</v>
      </c>
      <c r="E91" s="14" t="s">
        <v>157</v>
      </c>
      <c r="F91" s="14" t="s">
        <v>157</v>
      </c>
      <c r="G91" s="14" t="s">
        <v>1218</v>
      </c>
      <c r="H91" s="14" t="s">
        <v>112</v>
      </c>
      <c r="I91" s="14" t="s">
        <v>152</v>
      </c>
      <c r="J91" s="14">
        <v>33026</v>
      </c>
      <c r="K91" s="80">
        <f>VLOOKUP(A:A,'staff sales'!C:Q,15,)</f>
        <v>65544.41</v>
      </c>
      <c r="L91" s="81">
        <f>VLOOKUP(A:A,'staff sales'!C:T,18,)</f>
        <v>0</v>
      </c>
      <c r="M91" s="81">
        <f>VLOOKUP(A:A,'staff sales'!C:W,21,)</f>
        <v>5996.06</v>
      </c>
      <c r="N91" s="81">
        <f>VLOOKUP(A:A,'staff sales'!C:Z,24,)</f>
        <v>0</v>
      </c>
      <c r="O91" s="81">
        <f>VLOOKUP(A:A,'staff sales'!C:AC,27,)</f>
        <v>7</v>
      </c>
      <c r="P91" s="81">
        <f>VLOOKUP(A:A,'staff sales'!C:AF,30,)</f>
        <v>0</v>
      </c>
      <c r="Q91" s="81">
        <f>VLOOKUP(A:A,'staff sales'!C:AI,33,)</f>
        <v>53</v>
      </c>
      <c r="R91" s="81">
        <f>VLOOKUP(A:A,'staff sales'!C:AL,36,)</f>
        <v>5</v>
      </c>
      <c r="S91" s="81">
        <f>VLOOKUP(A:A,'staff sales'!C:AO,39,)</f>
        <v>2</v>
      </c>
      <c r="T91" s="81">
        <f>VLOOKUP(A:A,'staff sales'!C:AR,42,)</f>
        <v>0</v>
      </c>
      <c r="U91" s="81">
        <f>VLOOKUP(A:A,'staff sales'!C:AU,45,)</f>
        <v>5</v>
      </c>
      <c r="V91" s="81">
        <f>VLOOKUP(A:A,'staff sales'!C:AX,48,)</f>
        <v>0</v>
      </c>
      <c r="W91" s="81">
        <f>VLOOKUP(A:A,'staff sales'!C:BA,51,)</f>
        <v>0</v>
      </c>
    </row>
    <row r="92" spans="1:23" x14ac:dyDescent="0.25">
      <c r="A92" s="27">
        <v>1080909599</v>
      </c>
      <c r="B92" s="8" t="s">
        <v>657</v>
      </c>
      <c r="C92" s="10" t="s">
        <v>546</v>
      </c>
      <c r="D92" s="10" t="s">
        <v>546</v>
      </c>
      <c r="E92" s="10" t="s">
        <v>158</v>
      </c>
      <c r="F92" s="10" t="s">
        <v>158</v>
      </c>
      <c r="G92" s="10" t="s">
        <v>1218</v>
      </c>
      <c r="H92" s="10" t="s">
        <v>112</v>
      </c>
      <c r="I92" s="10" t="s">
        <v>152</v>
      </c>
      <c r="J92" s="10">
        <v>33026</v>
      </c>
      <c r="K92" s="80">
        <f>VLOOKUP(A:A,'staff sales'!C:Q,15,)</f>
        <v>46253.93</v>
      </c>
      <c r="L92" s="81">
        <f>VLOOKUP(A:A,'staff sales'!C:T,18,)</f>
        <v>0</v>
      </c>
      <c r="M92" s="81">
        <f>VLOOKUP(A:A,'staff sales'!C:W,21,)</f>
        <v>13633.919999999998</v>
      </c>
      <c r="N92" s="81">
        <f>VLOOKUP(A:A,'staff sales'!C:Z,24,)</f>
        <v>0</v>
      </c>
      <c r="O92" s="81">
        <f>VLOOKUP(A:A,'staff sales'!C:AC,27,)</f>
        <v>6</v>
      </c>
      <c r="P92" s="81">
        <f>VLOOKUP(A:A,'staff sales'!C:AF,30,)</f>
        <v>0</v>
      </c>
      <c r="Q92" s="81">
        <f>VLOOKUP(A:A,'staff sales'!C:AI,33,)</f>
        <v>70</v>
      </c>
      <c r="R92" s="81">
        <f>VLOOKUP(A:A,'staff sales'!C:AL,36,)</f>
        <v>3</v>
      </c>
      <c r="S92" s="81">
        <f>VLOOKUP(A:A,'staff sales'!C:AO,39,)</f>
        <v>7</v>
      </c>
      <c r="T92" s="81">
        <f>VLOOKUP(A:A,'staff sales'!C:AR,42,)</f>
        <v>3</v>
      </c>
      <c r="U92" s="81">
        <f>VLOOKUP(A:A,'staff sales'!C:AU,45,)</f>
        <v>0</v>
      </c>
      <c r="V92" s="81">
        <f>VLOOKUP(A:A,'staff sales'!C:AX,48,)</f>
        <v>0</v>
      </c>
      <c r="W92" s="81">
        <f>VLOOKUP(A:A,'staff sales'!C:BA,51,)</f>
        <v>3</v>
      </c>
    </row>
    <row r="93" spans="1:23" x14ac:dyDescent="0.25">
      <c r="A93" s="28">
        <v>1092529856</v>
      </c>
      <c r="B93" s="12" t="s">
        <v>662</v>
      </c>
      <c r="C93" s="14" t="s">
        <v>546</v>
      </c>
      <c r="D93" s="14" t="s">
        <v>546</v>
      </c>
      <c r="E93" s="14" t="s">
        <v>663</v>
      </c>
      <c r="F93" s="14" t="s">
        <v>663</v>
      </c>
      <c r="G93" s="14" t="s">
        <v>1218</v>
      </c>
      <c r="H93" s="14" t="s">
        <v>112</v>
      </c>
      <c r="I93" s="14" t="s">
        <v>152</v>
      </c>
      <c r="J93" s="14">
        <v>33026</v>
      </c>
      <c r="K93" s="80">
        <f>VLOOKUP(A:A,'staff sales'!C:Q,15,)</f>
        <v>65960.899999999994</v>
      </c>
      <c r="L93" s="81">
        <f>VLOOKUP(A:A,'staff sales'!C:T,18,)</f>
        <v>3651.3</v>
      </c>
      <c r="M93" s="81">
        <f>VLOOKUP(A:A,'staff sales'!C:W,21,)</f>
        <v>8663.8999999999978</v>
      </c>
      <c r="N93" s="81">
        <f>VLOOKUP(A:A,'staff sales'!C:Z,24,)</f>
        <v>0</v>
      </c>
      <c r="O93" s="81">
        <f>VLOOKUP(A:A,'staff sales'!C:AC,27,)</f>
        <v>5</v>
      </c>
      <c r="P93" s="81">
        <f>VLOOKUP(A:A,'staff sales'!C:AF,30,)</f>
        <v>0</v>
      </c>
      <c r="Q93" s="81">
        <f>VLOOKUP(A:A,'staff sales'!C:AI,33,)</f>
        <v>46</v>
      </c>
      <c r="R93" s="81">
        <f>VLOOKUP(A:A,'staff sales'!C:AL,36,)</f>
        <v>3</v>
      </c>
      <c r="S93" s="81">
        <f>VLOOKUP(A:A,'staff sales'!C:AO,39,)</f>
        <v>4</v>
      </c>
      <c r="T93" s="81">
        <f>VLOOKUP(A:A,'staff sales'!C:AR,42,)</f>
        <v>7</v>
      </c>
      <c r="U93" s="81">
        <f>VLOOKUP(A:A,'staff sales'!C:AU,45,)</f>
        <v>2</v>
      </c>
      <c r="V93" s="81">
        <f>VLOOKUP(A:A,'staff sales'!C:AX,48,)</f>
        <v>0</v>
      </c>
      <c r="W93" s="81">
        <f>VLOOKUP(A:A,'staff sales'!C:BA,51,)</f>
        <v>2</v>
      </c>
    </row>
    <row r="94" spans="1:23" x14ac:dyDescent="0.25">
      <c r="A94" s="28">
        <v>1013725229</v>
      </c>
      <c r="B94" s="8" t="s">
        <v>658</v>
      </c>
      <c r="C94" s="10" t="s">
        <v>544</v>
      </c>
      <c r="D94" s="10" t="s">
        <v>544</v>
      </c>
      <c r="E94" s="10" t="s">
        <v>383</v>
      </c>
      <c r="F94" s="10" t="s">
        <v>384</v>
      </c>
      <c r="G94" s="10" t="s">
        <v>1218</v>
      </c>
      <c r="H94" s="10" t="s">
        <v>112</v>
      </c>
      <c r="I94" s="14" t="s">
        <v>152</v>
      </c>
      <c r="J94" s="14">
        <v>33026</v>
      </c>
      <c r="K94" s="80">
        <f>VLOOKUP(A:A,'staff sales'!C:Q,15,)</f>
        <v>0</v>
      </c>
      <c r="L94" s="81">
        <f>VLOOKUP(A:A,'staff sales'!C:T,18,)</f>
        <v>0</v>
      </c>
      <c r="M94" s="81">
        <f>VLOOKUP(A:A,'staff sales'!C:W,21,)</f>
        <v>0</v>
      </c>
      <c r="N94" s="81">
        <f>VLOOKUP(A:A,'staff sales'!C:Z,24,)</f>
        <v>0</v>
      </c>
      <c r="O94" s="81">
        <f>VLOOKUP(A:A,'staff sales'!C:AC,27,)</f>
        <v>0</v>
      </c>
      <c r="P94" s="81">
        <f>VLOOKUP(A:A,'staff sales'!C:AF,30,)</f>
        <v>0</v>
      </c>
      <c r="Q94" s="81">
        <f>VLOOKUP(A:A,'staff sales'!C:AI,33,)</f>
        <v>0</v>
      </c>
      <c r="R94" s="81">
        <f>VLOOKUP(A:A,'staff sales'!C:AL,36,)</f>
        <v>0</v>
      </c>
      <c r="S94" s="81">
        <f>VLOOKUP(A:A,'staff sales'!C:AO,39,)</f>
        <v>0</v>
      </c>
      <c r="T94" s="81">
        <f>VLOOKUP(A:A,'staff sales'!C:AR,42,)</f>
        <v>0</v>
      </c>
      <c r="U94" s="81">
        <f>VLOOKUP(A:A,'staff sales'!C:AU,45,)</f>
        <v>0</v>
      </c>
      <c r="V94" s="81">
        <f>VLOOKUP(A:A,'staff sales'!C:AX,48,)</f>
        <v>0</v>
      </c>
      <c r="W94" s="81">
        <f>VLOOKUP(A:A,'staff sales'!C:BA,51,)</f>
        <v>0</v>
      </c>
    </row>
    <row r="95" spans="1:23" x14ac:dyDescent="0.25">
      <c r="A95" s="28">
        <v>1021516545</v>
      </c>
      <c r="B95" s="12" t="s">
        <v>659</v>
      </c>
      <c r="C95" s="14" t="s">
        <v>546</v>
      </c>
      <c r="D95" s="14" t="s">
        <v>546</v>
      </c>
      <c r="E95" s="14" t="s">
        <v>159</v>
      </c>
      <c r="F95" s="14" t="s">
        <v>159</v>
      </c>
      <c r="G95" s="14" t="s">
        <v>1218</v>
      </c>
      <c r="H95" s="14" t="s">
        <v>112</v>
      </c>
      <c r="I95" s="14" t="s">
        <v>152</v>
      </c>
      <c r="J95" s="14">
        <v>33026</v>
      </c>
      <c r="K95" s="80">
        <f>VLOOKUP(A:A,'staff sales'!C:Q,15,)</f>
        <v>27709.58</v>
      </c>
      <c r="L95" s="81">
        <f>VLOOKUP(A:A,'staff sales'!C:T,18,)</f>
        <v>3738.26</v>
      </c>
      <c r="M95" s="81">
        <f>VLOOKUP(A:A,'staff sales'!C:W,21,)</f>
        <v>2915.65</v>
      </c>
      <c r="N95" s="81">
        <f>VLOOKUP(A:A,'staff sales'!C:Z,24,)</f>
        <v>0</v>
      </c>
      <c r="O95" s="81">
        <f>VLOOKUP(A:A,'staff sales'!C:AC,27,)</f>
        <v>4</v>
      </c>
      <c r="P95" s="81">
        <f>VLOOKUP(A:A,'staff sales'!C:AF,30,)</f>
        <v>0</v>
      </c>
      <c r="Q95" s="81">
        <f>VLOOKUP(A:A,'staff sales'!C:AI,33,)</f>
        <v>69</v>
      </c>
      <c r="R95" s="81">
        <f>VLOOKUP(A:A,'staff sales'!C:AL,36,)</f>
        <v>1</v>
      </c>
      <c r="S95" s="81">
        <f>VLOOKUP(A:A,'staff sales'!C:AO,39,)</f>
        <v>8</v>
      </c>
      <c r="T95" s="81">
        <f>VLOOKUP(A:A,'staff sales'!C:AR,42,)</f>
        <v>2</v>
      </c>
      <c r="U95" s="81">
        <f>VLOOKUP(A:A,'staff sales'!C:AU,45,)</f>
        <v>1</v>
      </c>
      <c r="V95" s="81">
        <f>VLOOKUP(A:A,'staff sales'!C:AX,48,)</f>
        <v>0</v>
      </c>
      <c r="W95" s="81">
        <f>VLOOKUP(A:A,'staff sales'!C:BA,51,)</f>
        <v>1</v>
      </c>
    </row>
    <row r="96" spans="1:23" x14ac:dyDescent="0.25">
      <c r="A96" s="27">
        <v>1018368926</v>
      </c>
      <c r="B96" s="8" t="s">
        <v>660</v>
      </c>
      <c r="C96" s="10" t="s">
        <v>546</v>
      </c>
      <c r="D96" s="10" t="s">
        <v>546</v>
      </c>
      <c r="E96" s="10" t="s">
        <v>488</v>
      </c>
      <c r="F96" s="10" t="s">
        <v>489</v>
      </c>
      <c r="G96" s="10" t="s">
        <v>1218</v>
      </c>
      <c r="H96" s="10" t="s">
        <v>112</v>
      </c>
      <c r="I96" s="10" t="s">
        <v>152</v>
      </c>
      <c r="J96" s="10">
        <v>33026</v>
      </c>
      <c r="K96" s="80">
        <f>VLOOKUP(A:A,'staff sales'!C:Q,15,)</f>
        <v>90187.000000000015</v>
      </c>
      <c r="L96" s="81">
        <f>VLOOKUP(A:A,'staff sales'!C:T,18,)</f>
        <v>2260.87</v>
      </c>
      <c r="M96" s="81">
        <f>VLOOKUP(A:A,'staff sales'!C:W,21,)</f>
        <v>8931.2900000000009</v>
      </c>
      <c r="N96" s="81">
        <f>VLOOKUP(A:A,'staff sales'!C:Z,24,)</f>
        <v>0</v>
      </c>
      <c r="O96" s="81">
        <f>VLOOKUP(A:A,'staff sales'!C:AC,27,)</f>
        <v>1</v>
      </c>
      <c r="P96" s="81">
        <f>VLOOKUP(A:A,'staff sales'!C:AF,30,)</f>
        <v>1</v>
      </c>
      <c r="Q96" s="81">
        <f>VLOOKUP(A:A,'staff sales'!C:AI,33,)</f>
        <v>49</v>
      </c>
      <c r="R96" s="81">
        <f>VLOOKUP(A:A,'staff sales'!C:AL,36,)</f>
        <v>4</v>
      </c>
      <c r="S96" s="81">
        <f>VLOOKUP(A:A,'staff sales'!C:AO,39,)</f>
        <v>2</v>
      </c>
      <c r="T96" s="81">
        <f>VLOOKUP(A:A,'staff sales'!C:AR,42,)</f>
        <v>0</v>
      </c>
      <c r="U96" s="81">
        <f>VLOOKUP(A:A,'staff sales'!C:AU,45,)</f>
        <v>3</v>
      </c>
      <c r="V96" s="81">
        <f>VLOOKUP(A:A,'staff sales'!C:AX,48,)</f>
        <v>0</v>
      </c>
      <c r="W96" s="81">
        <f>VLOOKUP(A:A,'staff sales'!C:BA,51,)</f>
        <v>6</v>
      </c>
    </row>
    <row r="97" spans="1:23" x14ac:dyDescent="0.25">
      <c r="A97" s="28">
        <v>1049638594</v>
      </c>
      <c r="B97" s="12" t="s">
        <v>652</v>
      </c>
      <c r="C97" s="14" t="s">
        <v>546</v>
      </c>
      <c r="D97" s="14" t="s">
        <v>546</v>
      </c>
      <c r="E97" s="14" t="s">
        <v>393</v>
      </c>
      <c r="F97" s="14" t="s">
        <v>394</v>
      </c>
      <c r="G97" s="14" t="s">
        <v>1218</v>
      </c>
      <c r="H97" s="14" t="s">
        <v>112</v>
      </c>
      <c r="I97" s="14" t="s">
        <v>152</v>
      </c>
      <c r="J97" s="14">
        <v>33026</v>
      </c>
      <c r="K97" s="80">
        <f>VLOOKUP(A:A,'staff sales'!C:Q,15,)</f>
        <v>14520</v>
      </c>
      <c r="L97" s="81">
        <f>VLOOKUP(A:A,'staff sales'!C:T,18,)</f>
        <v>0</v>
      </c>
      <c r="M97" s="81">
        <f>VLOOKUP(A:A,'staff sales'!C:W,21,)</f>
        <v>1769.1299999999999</v>
      </c>
      <c r="N97" s="81">
        <f>VLOOKUP(A:A,'staff sales'!C:Z,24,)</f>
        <v>0</v>
      </c>
      <c r="O97" s="81">
        <f>VLOOKUP(A:A,'staff sales'!C:AC,27,)</f>
        <v>3</v>
      </c>
      <c r="P97" s="81">
        <f>VLOOKUP(A:A,'staff sales'!C:AF,30,)</f>
        <v>1</v>
      </c>
      <c r="Q97" s="81">
        <f>VLOOKUP(A:A,'staff sales'!C:AI,33,)</f>
        <v>52</v>
      </c>
      <c r="R97" s="81">
        <f>VLOOKUP(A:A,'staff sales'!C:AL,36,)</f>
        <v>4</v>
      </c>
      <c r="S97" s="81">
        <f>VLOOKUP(A:A,'staff sales'!C:AO,39,)</f>
        <v>5</v>
      </c>
      <c r="T97" s="81">
        <f>VLOOKUP(A:A,'staff sales'!C:AR,42,)</f>
        <v>1</v>
      </c>
      <c r="U97" s="81">
        <f>VLOOKUP(A:A,'staff sales'!C:AU,45,)</f>
        <v>3</v>
      </c>
      <c r="V97" s="81">
        <f>VLOOKUP(A:A,'staff sales'!C:AX,48,)</f>
        <v>0</v>
      </c>
      <c r="W97" s="81">
        <f>VLOOKUP(A:A,'staff sales'!C:BA,51,)</f>
        <v>1</v>
      </c>
    </row>
    <row r="98" spans="1:23" x14ac:dyDescent="0.25">
      <c r="A98" s="27" t="s">
        <v>972</v>
      </c>
      <c r="B98" s="8" t="s">
        <v>973</v>
      </c>
      <c r="C98" s="10" t="s">
        <v>541</v>
      </c>
      <c r="D98" s="10" t="s">
        <v>541</v>
      </c>
      <c r="E98" s="10">
        <v>0</v>
      </c>
      <c r="F98" s="10">
        <v>0</v>
      </c>
      <c r="G98" s="10" t="s">
        <v>1218</v>
      </c>
      <c r="H98" s="10" t="s">
        <v>112</v>
      </c>
      <c r="I98" s="10" t="s">
        <v>665</v>
      </c>
      <c r="J98" s="10">
        <v>73006</v>
      </c>
      <c r="K98" s="80">
        <f>VLOOKUP(A:A,'staff sales'!C:Q,15,)</f>
        <v>0</v>
      </c>
      <c r="L98" s="81">
        <f>VLOOKUP(A:A,'staff sales'!C:T,18,)</f>
        <v>0</v>
      </c>
      <c r="M98" s="81">
        <f>VLOOKUP(A:A,'staff sales'!C:W,21,)</f>
        <v>0</v>
      </c>
      <c r="N98" s="81">
        <f>VLOOKUP(A:A,'staff sales'!C:Z,24,)</f>
        <v>0</v>
      </c>
      <c r="O98" s="81">
        <f>VLOOKUP(A:A,'staff sales'!C:AC,27,)</f>
        <v>0</v>
      </c>
      <c r="P98" s="81">
        <f>VLOOKUP(A:A,'staff sales'!C:AF,30,)</f>
        <v>0</v>
      </c>
      <c r="Q98" s="81">
        <f>VLOOKUP(A:A,'staff sales'!C:AI,33,)</f>
        <v>0</v>
      </c>
      <c r="R98" s="81">
        <f>VLOOKUP(A:A,'staff sales'!C:AL,36,)</f>
        <v>0</v>
      </c>
      <c r="S98" s="81">
        <f>VLOOKUP(A:A,'staff sales'!C:AO,39,)</f>
        <v>0</v>
      </c>
      <c r="T98" s="81">
        <f>VLOOKUP(A:A,'staff sales'!C:AR,42,)</f>
        <v>0</v>
      </c>
      <c r="U98" s="81">
        <f>VLOOKUP(A:A,'staff sales'!C:AU,45,)</f>
        <v>0</v>
      </c>
      <c r="V98" s="81">
        <f>VLOOKUP(A:A,'staff sales'!C:AX,48,)</f>
        <v>0</v>
      </c>
      <c r="W98" s="81">
        <f>VLOOKUP(A:A,'staff sales'!C:BA,51,)</f>
        <v>0</v>
      </c>
    </row>
    <row r="99" spans="1:23" x14ac:dyDescent="0.25">
      <c r="A99" s="27">
        <v>1041913144</v>
      </c>
      <c r="B99" s="12" t="s">
        <v>664</v>
      </c>
      <c r="C99" s="14" t="s">
        <v>544</v>
      </c>
      <c r="D99" s="14" t="s">
        <v>541</v>
      </c>
      <c r="E99" s="14" t="s">
        <v>207</v>
      </c>
      <c r="F99" s="14" t="s">
        <v>208</v>
      </c>
      <c r="G99" s="14" t="s">
        <v>1218</v>
      </c>
      <c r="H99" s="14" t="s">
        <v>112</v>
      </c>
      <c r="I99" s="10" t="s">
        <v>665</v>
      </c>
      <c r="J99" s="10">
        <v>73006</v>
      </c>
      <c r="K99" s="80">
        <f>VLOOKUP(A:A,'staff sales'!C:Q,15,)</f>
        <v>0</v>
      </c>
      <c r="L99" s="81">
        <f>VLOOKUP(A:A,'staff sales'!C:T,18,)</f>
        <v>0</v>
      </c>
      <c r="M99" s="81">
        <f>VLOOKUP(A:A,'staff sales'!C:W,21,)</f>
        <v>0</v>
      </c>
      <c r="N99" s="81">
        <f>VLOOKUP(A:A,'staff sales'!C:Z,24,)</f>
        <v>0</v>
      </c>
      <c r="O99" s="81">
        <f>VLOOKUP(A:A,'staff sales'!C:AC,27,)</f>
        <v>0</v>
      </c>
      <c r="P99" s="81">
        <f>VLOOKUP(A:A,'staff sales'!C:AF,30,)</f>
        <v>0</v>
      </c>
      <c r="Q99" s="81">
        <f>VLOOKUP(A:A,'staff sales'!C:AI,33,)</f>
        <v>0</v>
      </c>
      <c r="R99" s="81">
        <f>VLOOKUP(A:A,'staff sales'!C:AL,36,)</f>
        <v>0</v>
      </c>
      <c r="S99" s="81">
        <f>VLOOKUP(A:A,'staff sales'!C:AO,39,)</f>
        <v>0</v>
      </c>
      <c r="T99" s="81">
        <f>VLOOKUP(A:A,'staff sales'!C:AR,42,)</f>
        <v>0</v>
      </c>
      <c r="U99" s="81">
        <f>VLOOKUP(A:A,'staff sales'!C:AU,45,)</f>
        <v>0</v>
      </c>
      <c r="V99" s="81">
        <f>VLOOKUP(A:A,'staff sales'!C:AX,48,)</f>
        <v>0</v>
      </c>
      <c r="W99" s="81">
        <f>VLOOKUP(A:A,'staff sales'!C:BA,51,)</f>
        <v>0</v>
      </c>
    </row>
    <row r="100" spans="1:23" x14ac:dyDescent="0.25">
      <c r="A100" s="27">
        <v>1049004409</v>
      </c>
      <c r="B100" s="8" t="s">
        <v>666</v>
      </c>
      <c r="C100" s="10" t="s">
        <v>546</v>
      </c>
      <c r="D100" s="10" t="s">
        <v>546</v>
      </c>
      <c r="E100" s="10" t="s">
        <v>193</v>
      </c>
      <c r="F100" s="10" t="s">
        <v>193</v>
      </c>
      <c r="G100" s="10" t="s">
        <v>1218</v>
      </c>
      <c r="H100" s="10" t="s">
        <v>112</v>
      </c>
      <c r="I100" s="10" t="s">
        <v>665</v>
      </c>
      <c r="J100" s="10">
        <v>73006</v>
      </c>
      <c r="K100" s="80">
        <f>VLOOKUP(A:A,'staff sales'!C:Q,15,)</f>
        <v>24927.84</v>
      </c>
      <c r="L100" s="81">
        <f>VLOOKUP(A:A,'staff sales'!C:T,18,)</f>
        <v>3216.52</v>
      </c>
      <c r="M100" s="81">
        <f>VLOOKUP(A:A,'staff sales'!C:W,21,)</f>
        <v>2334.7799999999997</v>
      </c>
      <c r="N100" s="81">
        <f>VLOOKUP(A:A,'staff sales'!C:Z,24,)</f>
        <v>0</v>
      </c>
      <c r="O100" s="81">
        <f>VLOOKUP(A:A,'staff sales'!C:AC,27,)</f>
        <v>4</v>
      </c>
      <c r="P100" s="81">
        <f>VLOOKUP(A:A,'staff sales'!C:AF,30,)</f>
        <v>1</v>
      </c>
      <c r="Q100" s="81">
        <f>VLOOKUP(A:A,'staff sales'!C:AI,33,)</f>
        <v>17</v>
      </c>
      <c r="R100" s="81">
        <f>VLOOKUP(A:A,'staff sales'!C:AL,36,)</f>
        <v>2</v>
      </c>
      <c r="S100" s="81">
        <f>VLOOKUP(A:A,'staff sales'!C:AO,39,)</f>
        <v>0</v>
      </c>
      <c r="T100" s="81">
        <f>VLOOKUP(A:A,'staff sales'!C:AR,42,)</f>
        <v>2</v>
      </c>
      <c r="U100" s="81">
        <f>VLOOKUP(A:A,'staff sales'!C:AU,45,)</f>
        <v>17</v>
      </c>
      <c r="V100" s="81">
        <f>VLOOKUP(A:A,'staff sales'!C:AX,48,)</f>
        <v>0</v>
      </c>
      <c r="W100" s="81">
        <f>VLOOKUP(A:A,'staff sales'!C:BA,51,)</f>
        <v>0</v>
      </c>
    </row>
    <row r="101" spans="1:23" x14ac:dyDescent="0.25">
      <c r="A101" s="28">
        <v>1051279097</v>
      </c>
      <c r="B101" s="12" t="s">
        <v>667</v>
      </c>
      <c r="C101" s="14" t="s">
        <v>546</v>
      </c>
      <c r="D101" s="14" t="s">
        <v>546</v>
      </c>
      <c r="E101" s="14" t="s">
        <v>197</v>
      </c>
      <c r="F101" s="14" t="s">
        <v>197</v>
      </c>
      <c r="G101" s="14" t="s">
        <v>1218</v>
      </c>
      <c r="H101" s="14" t="s">
        <v>112</v>
      </c>
      <c r="I101" s="14" t="s">
        <v>665</v>
      </c>
      <c r="J101" s="14">
        <v>73006</v>
      </c>
      <c r="K101" s="80">
        <f>VLOOKUP(A:A,'staff sales'!C:Q,15,)</f>
        <v>12085.220000000001</v>
      </c>
      <c r="L101" s="81">
        <f>VLOOKUP(A:A,'staff sales'!C:T,18,)</f>
        <v>0</v>
      </c>
      <c r="M101" s="81">
        <f>VLOOKUP(A:A,'staff sales'!C:W,21,)</f>
        <v>3320.43</v>
      </c>
      <c r="N101" s="81">
        <f>VLOOKUP(A:A,'staff sales'!C:Z,24,)</f>
        <v>0</v>
      </c>
      <c r="O101" s="81">
        <f>VLOOKUP(A:A,'staff sales'!C:AC,27,)</f>
        <v>11</v>
      </c>
      <c r="P101" s="81">
        <f>VLOOKUP(A:A,'staff sales'!C:AF,30,)</f>
        <v>0</v>
      </c>
      <c r="Q101" s="81">
        <f>VLOOKUP(A:A,'staff sales'!C:AI,33,)</f>
        <v>17</v>
      </c>
      <c r="R101" s="81">
        <f>VLOOKUP(A:A,'staff sales'!C:AL,36,)</f>
        <v>0</v>
      </c>
      <c r="S101" s="81">
        <f>VLOOKUP(A:A,'staff sales'!C:AO,39,)</f>
        <v>1</v>
      </c>
      <c r="T101" s="81">
        <f>VLOOKUP(A:A,'staff sales'!C:AR,42,)</f>
        <v>3</v>
      </c>
      <c r="U101" s="81">
        <f>VLOOKUP(A:A,'staff sales'!C:AU,45,)</f>
        <v>5</v>
      </c>
      <c r="V101" s="81">
        <f>VLOOKUP(A:A,'staff sales'!C:AX,48,)</f>
        <v>0</v>
      </c>
      <c r="W101" s="81">
        <f>VLOOKUP(A:A,'staff sales'!C:BA,51,)</f>
        <v>0</v>
      </c>
    </row>
    <row r="102" spans="1:23" x14ac:dyDescent="0.25">
      <c r="A102" s="27">
        <v>1012390231</v>
      </c>
      <c r="B102" s="8" t="s">
        <v>668</v>
      </c>
      <c r="C102" s="10" t="s">
        <v>546</v>
      </c>
      <c r="D102" s="10" t="s">
        <v>546</v>
      </c>
      <c r="E102" s="10" t="s">
        <v>525</v>
      </c>
      <c r="F102" s="10" t="s">
        <v>525</v>
      </c>
      <c r="G102" s="10" t="s">
        <v>1218</v>
      </c>
      <c r="H102" s="10" t="s">
        <v>112</v>
      </c>
      <c r="I102" s="10" t="s">
        <v>665</v>
      </c>
      <c r="J102" s="10">
        <v>73006</v>
      </c>
      <c r="K102" s="80">
        <f>VLOOKUP(A:A,'staff sales'!C:Q,15,)</f>
        <v>28025.239999999998</v>
      </c>
      <c r="L102" s="81">
        <f>VLOOKUP(A:A,'staff sales'!C:T,18,)</f>
        <v>0</v>
      </c>
      <c r="M102" s="81">
        <f>VLOOKUP(A:A,'staff sales'!C:W,21,)</f>
        <v>5838.25</v>
      </c>
      <c r="N102" s="81">
        <f>VLOOKUP(A:A,'staff sales'!C:Z,24,)</f>
        <v>0</v>
      </c>
      <c r="O102" s="81">
        <f>VLOOKUP(A:A,'staff sales'!C:AC,27,)</f>
        <v>11</v>
      </c>
      <c r="P102" s="81">
        <f>VLOOKUP(A:A,'staff sales'!C:AF,30,)</f>
        <v>0</v>
      </c>
      <c r="Q102" s="81">
        <f>VLOOKUP(A:A,'staff sales'!C:AI,33,)</f>
        <v>13</v>
      </c>
      <c r="R102" s="81">
        <f>VLOOKUP(A:A,'staff sales'!C:AL,36,)</f>
        <v>0</v>
      </c>
      <c r="S102" s="81">
        <f>VLOOKUP(A:A,'staff sales'!C:AO,39,)</f>
        <v>0</v>
      </c>
      <c r="T102" s="81">
        <f>VLOOKUP(A:A,'staff sales'!C:AR,42,)</f>
        <v>2</v>
      </c>
      <c r="U102" s="81">
        <f>VLOOKUP(A:A,'staff sales'!C:AU,45,)</f>
        <v>10</v>
      </c>
      <c r="V102" s="81">
        <f>VLOOKUP(A:A,'staff sales'!C:AX,48,)</f>
        <v>0</v>
      </c>
      <c r="W102" s="81">
        <f>VLOOKUP(A:A,'staff sales'!C:BA,51,)</f>
        <v>1</v>
      </c>
    </row>
    <row r="103" spans="1:23" x14ac:dyDescent="0.25">
      <c r="A103" s="28">
        <v>1074854801</v>
      </c>
      <c r="B103" s="12" t="s">
        <v>713</v>
      </c>
      <c r="C103" s="14" t="s">
        <v>541</v>
      </c>
      <c r="D103" s="14" t="s">
        <v>541</v>
      </c>
      <c r="E103" s="14" t="s">
        <v>472</v>
      </c>
      <c r="F103" s="14" t="s">
        <v>473</v>
      </c>
      <c r="G103" s="14" t="s">
        <v>1218</v>
      </c>
      <c r="H103" s="14" t="s">
        <v>112</v>
      </c>
      <c r="I103" s="14" t="s">
        <v>164</v>
      </c>
      <c r="J103" s="14">
        <v>73037</v>
      </c>
      <c r="K103" s="80">
        <f>VLOOKUP(A:A,'staff sales'!C:Q,15,)</f>
        <v>0</v>
      </c>
      <c r="L103" s="81">
        <f>VLOOKUP(A:A,'staff sales'!C:T,18,)</f>
        <v>0</v>
      </c>
      <c r="M103" s="81">
        <f>VLOOKUP(A:A,'staff sales'!C:W,21,)</f>
        <v>0</v>
      </c>
      <c r="N103" s="81">
        <f>VLOOKUP(A:A,'staff sales'!C:Z,24,)</f>
        <v>0</v>
      </c>
      <c r="O103" s="81">
        <f>VLOOKUP(A:A,'staff sales'!C:AC,27,)</f>
        <v>2</v>
      </c>
      <c r="P103" s="81">
        <f>VLOOKUP(A:A,'staff sales'!C:AF,30,)</f>
        <v>1</v>
      </c>
      <c r="Q103" s="81">
        <f>VLOOKUP(A:A,'staff sales'!C:AI,33,)</f>
        <v>2</v>
      </c>
      <c r="R103" s="81">
        <f>VLOOKUP(A:A,'staff sales'!C:AL,36,)</f>
        <v>0</v>
      </c>
      <c r="S103" s="81">
        <f>VLOOKUP(A:A,'staff sales'!C:AO,39,)</f>
        <v>0</v>
      </c>
      <c r="T103" s="81">
        <f>VLOOKUP(A:A,'staff sales'!C:AR,42,)</f>
        <v>0</v>
      </c>
      <c r="U103" s="81">
        <f>VLOOKUP(A:A,'staff sales'!C:AU,45,)</f>
        <v>0</v>
      </c>
      <c r="V103" s="81">
        <f>VLOOKUP(A:A,'staff sales'!C:AX,48,)</f>
        <v>0</v>
      </c>
      <c r="W103" s="81">
        <f>VLOOKUP(A:A,'staff sales'!C:BA,51,)</f>
        <v>0</v>
      </c>
    </row>
    <row r="104" spans="1:23" x14ac:dyDescent="0.25">
      <c r="A104" s="27">
        <v>1031560806</v>
      </c>
      <c r="B104" s="8" t="s">
        <v>720</v>
      </c>
      <c r="C104" s="10" t="s">
        <v>544</v>
      </c>
      <c r="D104" s="10" t="s">
        <v>544</v>
      </c>
      <c r="E104" s="10" t="s">
        <v>249</v>
      </c>
      <c r="F104" s="10" t="s">
        <v>250</v>
      </c>
      <c r="G104" s="10" t="s">
        <v>1218</v>
      </c>
      <c r="H104" s="10" t="s">
        <v>112</v>
      </c>
      <c r="I104" s="10" t="s">
        <v>164</v>
      </c>
      <c r="J104" s="10">
        <v>73037</v>
      </c>
      <c r="K104" s="80">
        <f>VLOOKUP(A:A,'staff sales'!C:Q,15,)</f>
        <v>0</v>
      </c>
      <c r="L104" s="81">
        <f>VLOOKUP(A:A,'staff sales'!C:T,18,)</f>
        <v>0</v>
      </c>
      <c r="M104" s="81">
        <f>VLOOKUP(A:A,'staff sales'!C:W,21,)</f>
        <v>251.3</v>
      </c>
      <c r="N104" s="81">
        <f>VLOOKUP(A:A,'staff sales'!C:Z,24,)</f>
        <v>0</v>
      </c>
      <c r="O104" s="81">
        <f>VLOOKUP(A:A,'staff sales'!C:AC,27,)</f>
        <v>0</v>
      </c>
      <c r="P104" s="81">
        <f>VLOOKUP(A:A,'staff sales'!C:AF,30,)</f>
        <v>0</v>
      </c>
      <c r="Q104" s="81">
        <f>VLOOKUP(A:A,'staff sales'!C:AI,33,)</f>
        <v>1</v>
      </c>
      <c r="R104" s="81">
        <f>VLOOKUP(A:A,'staff sales'!C:AL,36,)</f>
        <v>0</v>
      </c>
      <c r="S104" s="81">
        <f>VLOOKUP(A:A,'staff sales'!C:AO,39,)</f>
        <v>0</v>
      </c>
      <c r="T104" s="81">
        <f>VLOOKUP(A:A,'staff sales'!C:AR,42,)</f>
        <v>0</v>
      </c>
      <c r="U104" s="81">
        <f>VLOOKUP(A:A,'staff sales'!C:AU,45,)</f>
        <v>0</v>
      </c>
      <c r="V104" s="81">
        <f>VLOOKUP(A:A,'staff sales'!C:AX,48,)</f>
        <v>0</v>
      </c>
      <c r="W104" s="81">
        <f>VLOOKUP(A:A,'staff sales'!C:BA,51,)</f>
        <v>0</v>
      </c>
    </row>
    <row r="105" spans="1:23" x14ac:dyDescent="0.25">
      <c r="A105" s="28">
        <v>1012499917</v>
      </c>
      <c r="B105" s="12" t="s">
        <v>671</v>
      </c>
      <c r="C105" s="14" t="s">
        <v>546</v>
      </c>
      <c r="D105" s="14" t="s">
        <v>546</v>
      </c>
      <c r="E105" s="14" t="s">
        <v>174</v>
      </c>
      <c r="F105" s="14" t="s">
        <v>174</v>
      </c>
      <c r="G105" s="14" t="s">
        <v>1218</v>
      </c>
      <c r="H105" s="14" t="s">
        <v>112</v>
      </c>
      <c r="I105" s="14" t="s">
        <v>164</v>
      </c>
      <c r="J105" s="14">
        <v>73037</v>
      </c>
      <c r="K105" s="80">
        <f>VLOOKUP(A:A,'staff sales'!C:Q,15,)</f>
        <v>61113.060000000005</v>
      </c>
      <c r="L105" s="81">
        <f>VLOOKUP(A:A,'staff sales'!C:T,18,)</f>
        <v>0</v>
      </c>
      <c r="M105" s="81">
        <f>VLOOKUP(A:A,'staff sales'!C:W,21,)</f>
        <v>18428.71</v>
      </c>
      <c r="N105" s="81">
        <f>VLOOKUP(A:A,'staff sales'!C:Z,24,)</f>
        <v>1053</v>
      </c>
      <c r="O105" s="81">
        <f>VLOOKUP(A:A,'staff sales'!C:AC,27,)</f>
        <v>8</v>
      </c>
      <c r="P105" s="81">
        <f>VLOOKUP(A:A,'staff sales'!C:AF,30,)</f>
        <v>4</v>
      </c>
      <c r="Q105" s="81">
        <f>VLOOKUP(A:A,'staff sales'!C:AI,33,)</f>
        <v>42</v>
      </c>
      <c r="R105" s="81">
        <f>VLOOKUP(A:A,'staff sales'!C:AL,36,)</f>
        <v>1</v>
      </c>
      <c r="S105" s="81">
        <f>VLOOKUP(A:A,'staff sales'!C:AO,39,)</f>
        <v>0</v>
      </c>
      <c r="T105" s="81">
        <f>VLOOKUP(A:A,'staff sales'!C:AR,42,)</f>
        <v>4</v>
      </c>
      <c r="U105" s="81">
        <f>VLOOKUP(A:A,'staff sales'!C:AU,45,)</f>
        <v>6</v>
      </c>
      <c r="V105" s="81">
        <f>VLOOKUP(A:A,'staff sales'!C:AX,48,)</f>
        <v>0</v>
      </c>
      <c r="W105" s="81">
        <f>VLOOKUP(A:A,'staff sales'!C:BA,51,)</f>
        <v>3</v>
      </c>
    </row>
    <row r="106" spans="1:23" x14ac:dyDescent="0.25">
      <c r="A106" s="28">
        <v>1050547494</v>
      </c>
      <c r="B106" s="12" t="s">
        <v>672</v>
      </c>
      <c r="C106" s="14" t="s">
        <v>546</v>
      </c>
      <c r="D106" s="14" t="s">
        <v>546</v>
      </c>
      <c r="E106" s="14" t="s">
        <v>166</v>
      </c>
      <c r="F106" s="14" t="s">
        <v>166</v>
      </c>
      <c r="G106" s="14" t="s">
        <v>1218</v>
      </c>
      <c r="H106" s="14" t="s">
        <v>112</v>
      </c>
      <c r="I106" s="14" t="s">
        <v>164</v>
      </c>
      <c r="J106" s="14">
        <v>73037</v>
      </c>
      <c r="K106" s="80">
        <f>VLOOKUP(A:A,'staff sales'!C:Q,15,)</f>
        <v>70831.33</v>
      </c>
      <c r="L106" s="81">
        <f>VLOOKUP(A:A,'staff sales'!C:T,18,)</f>
        <v>1882.61</v>
      </c>
      <c r="M106" s="81">
        <f>VLOOKUP(A:A,'staff sales'!C:W,21,)</f>
        <v>19395.670000000002</v>
      </c>
      <c r="N106" s="81">
        <f>VLOOKUP(A:A,'staff sales'!C:Z,24,)</f>
        <v>0</v>
      </c>
      <c r="O106" s="81">
        <f>VLOOKUP(A:A,'staff sales'!C:AC,27,)</f>
        <v>12</v>
      </c>
      <c r="P106" s="81">
        <f>VLOOKUP(A:A,'staff sales'!C:AF,30,)</f>
        <v>5</v>
      </c>
      <c r="Q106" s="81">
        <f>VLOOKUP(A:A,'staff sales'!C:AI,33,)</f>
        <v>78</v>
      </c>
      <c r="R106" s="81">
        <f>VLOOKUP(A:A,'staff sales'!C:AL,36,)</f>
        <v>6</v>
      </c>
      <c r="S106" s="81">
        <f>VLOOKUP(A:A,'staff sales'!C:AO,39,)</f>
        <v>6</v>
      </c>
      <c r="T106" s="81">
        <f>VLOOKUP(A:A,'staff sales'!C:AR,42,)</f>
        <v>4</v>
      </c>
      <c r="U106" s="81">
        <f>VLOOKUP(A:A,'staff sales'!C:AU,45,)</f>
        <v>0</v>
      </c>
      <c r="V106" s="81">
        <f>VLOOKUP(A:A,'staff sales'!C:AX,48,)</f>
        <v>0</v>
      </c>
      <c r="W106" s="81">
        <f>VLOOKUP(A:A,'staff sales'!C:BA,51,)</f>
        <v>0</v>
      </c>
    </row>
    <row r="107" spans="1:23" x14ac:dyDescent="0.25">
      <c r="A107" s="28">
        <v>1018303014</v>
      </c>
      <c r="B107" s="12" t="s">
        <v>679</v>
      </c>
      <c r="C107" s="14" t="s">
        <v>546</v>
      </c>
      <c r="D107" s="14" t="s">
        <v>546</v>
      </c>
      <c r="E107" s="14" t="s">
        <v>171</v>
      </c>
      <c r="F107" s="14" t="s">
        <v>171</v>
      </c>
      <c r="G107" s="14" t="s">
        <v>1218</v>
      </c>
      <c r="H107" s="14" t="s">
        <v>112</v>
      </c>
      <c r="I107" s="14" t="s">
        <v>164</v>
      </c>
      <c r="J107" s="14">
        <v>73037</v>
      </c>
      <c r="K107" s="80">
        <f>VLOOKUP(A:A,'staff sales'!C:Q,15,)</f>
        <v>92586.12000000001</v>
      </c>
      <c r="L107" s="81">
        <f>VLOOKUP(A:A,'staff sales'!C:T,18,)</f>
        <v>0</v>
      </c>
      <c r="M107" s="81">
        <f>VLOOKUP(A:A,'staff sales'!C:W,21,)</f>
        <v>6655.6500000000005</v>
      </c>
      <c r="N107" s="81">
        <f>VLOOKUP(A:A,'staff sales'!C:Z,24,)</f>
        <v>0</v>
      </c>
      <c r="O107" s="81">
        <f>VLOOKUP(A:A,'staff sales'!C:AC,27,)</f>
        <v>6</v>
      </c>
      <c r="P107" s="81">
        <f>VLOOKUP(A:A,'staff sales'!C:AF,30,)</f>
        <v>0</v>
      </c>
      <c r="Q107" s="81">
        <f>VLOOKUP(A:A,'staff sales'!C:AI,33,)</f>
        <v>60</v>
      </c>
      <c r="R107" s="81">
        <f>VLOOKUP(A:A,'staff sales'!C:AL,36,)</f>
        <v>4</v>
      </c>
      <c r="S107" s="81">
        <f>VLOOKUP(A:A,'staff sales'!C:AO,39,)</f>
        <v>2</v>
      </c>
      <c r="T107" s="81">
        <f>VLOOKUP(A:A,'staff sales'!C:AR,42,)</f>
        <v>0</v>
      </c>
      <c r="U107" s="81">
        <f>VLOOKUP(A:A,'staff sales'!C:AU,45,)</f>
        <v>2</v>
      </c>
      <c r="V107" s="81">
        <f>VLOOKUP(A:A,'staff sales'!C:AX,48,)</f>
        <v>0</v>
      </c>
      <c r="W107" s="81">
        <f>VLOOKUP(A:A,'staff sales'!C:BA,51,)</f>
        <v>1</v>
      </c>
    </row>
    <row r="108" spans="1:23" x14ac:dyDescent="0.25">
      <c r="A108" s="27">
        <v>1075572469</v>
      </c>
      <c r="B108" s="8" t="s">
        <v>677</v>
      </c>
      <c r="C108" s="10" t="s">
        <v>546</v>
      </c>
      <c r="D108" s="10" t="s">
        <v>546</v>
      </c>
      <c r="E108" s="10" t="s">
        <v>169</v>
      </c>
      <c r="F108" s="10" t="s">
        <v>169</v>
      </c>
      <c r="G108" s="10" t="s">
        <v>1218</v>
      </c>
      <c r="H108" s="10" t="s">
        <v>112</v>
      </c>
      <c r="I108" s="10" t="s">
        <v>164</v>
      </c>
      <c r="J108" s="10">
        <v>73037</v>
      </c>
      <c r="K108" s="80">
        <f>VLOOKUP(A:A,'staff sales'!C:Q,15,)</f>
        <v>34080.01</v>
      </c>
      <c r="L108" s="81">
        <f>VLOOKUP(A:A,'staff sales'!C:T,18,)</f>
        <v>0</v>
      </c>
      <c r="M108" s="81">
        <f>VLOOKUP(A:A,'staff sales'!C:W,21,)</f>
        <v>8284.7900000000009</v>
      </c>
      <c r="N108" s="81">
        <f>VLOOKUP(A:A,'staff sales'!C:Z,24,)</f>
        <v>0</v>
      </c>
      <c r="O108" s="81">
        <f>VLOOKUP(A:A,'staff sales'!C:AC,27,)</f>
        <v>2</v>
      </c>
      <c r="P108" s="81">
        <f>VLOOKUP(A:A,'staff sales'!C:AF,30,)</f>
        <v>0</v>
      </c>
      <c r="Q108" s="81">
        <f>VLOOKUP(A:A,'staff sales'!C:AI,33,)</f>
        <v>22</v>
      </c>
      <c r="R108" s="81">
        <f>VLOOKUP(A:A,'staff sales'!C:AL,36,)</f>
        <v>2</v>
      </c>
      <c r="S108" s="81">
        <f>VLOOKUP(A:A,'staff sales'!C:AO,39,)</f>
        <v>0</v>
      </c>
      <c r="T108" s="81">
        <f>VLOOKUP(A:A,'staff sales'!C:AR,42,)</f>
        <v>1</v>
      </c>
      <c r="U108" s="81">
        <f>VLOOKUP(A:A,'staff sales'!C:AU,45,)</f>
        <v>2</v>
      </c>
      <c r="V108" s="81">
        <f>VLOOKUP(A:A,'staff sales'!C:AX,48,)</f>
        <v>0</v>
      </c>
      <c r="W108" s="81">
        <f>VLOOKUP(A:A,'staff sales'!C:BA,51,)</f>
        <v>0</v>
      </c>
    </row>
    <row r="109" spans="1:23" x14ac:dyDescent="0.25">
      <c r="A109" s="28">
        <v>1039390255</v>
      </c>
      <c r="B109" s="12" t="s">
        <v>675</v>
      </c>
      <c r="C109" s="14" t="s">
        <v>546</v>
      </c>
      <c r="D109" s="14" t="s">
        <v>546</v>
      </c>
      <c r="E109" s="14" t="s">
        <v>460</v>
      </c>
      <c r="F109" s="14" t="s">
        <v>461</v>
      </c>
      <c r="G109" s="14" t="s">
        <v>1218</v>
      </c>
      <c r="H109" s="14" t="s">
        <v>112</v>
      </c>
      <c r="I109" s="14" t="s">
        <v>164</v>
      </c>
      <c r="J109" s="14">
        <v>73037</v>
      </c>
      <c r="K109" s="80">
        <f>VLOOKUP(A:A,'staff sales'!C:Q,15,)</f>
        <v>9737.39</v>
      </c>
      <c r="L109" s="81">
        <f>VLOOKUP(A:A,'staff sales'!C:T,18,)</f>
        <v>1129.57</v>
      </c>
      <c r="M109" s="81">
        <f>VLOOKUP(A:A,'staff sales'!C:W,21,)</f>
        <v>1200</v>
      </c>
      <c r="N109" s="81">
        <f>VLOOKUP(A:A,'staff sales'!C:Z,24,)</f>
        <v>0</v>
      </c>
      <c r="O109" s="81">
        <f>VLOOKUP(A:A,'staff sales'!C:AC,27,)</f>
        <v>0</v>
      </c>
      <c r="P109" s="81">
        <f>VLOOKUP(A:A,'staff sales'!C:AF,30,)</f>
        <v>0</v>
      </c>
      <c r="Q109" s="81">
        <f>VLOOKUP(A:A,'staff sales'!C:AI,33,)</f>
        <v>15</v>
      </c>
      <c r="R109" s="81">
        <f>VLOOKUP(A:A,'staff sales'!C:AL,36,)</f>
        <v>1</v>
      </c>
      <c r="S109" s="81">
        <f>VLOOKUP(A:A,'staff sales'!C:AO,39,)</f>
        <v>0</v>
      </c>
      <c r="T109" s="81">
        <f>VLOOKUP(A:A,'staff sales'!C:AR,42,)</f>
        <v>0</v>
      </c>
      <c r="U109" s="81">
        <f>VLOOKUP(A:A,'staff sales'!C:AU,45,)</f>
        <v>2</v>
      </c>
      <c r="V109" s="81">
        <f>VLOOKUP(A:A,'staff sales'!C:AX,48,)</f>
        <v>0</v>
      </c>
      <c r="W109" s="81">
        <f>VLOOKUP(A:A,'staff sales'!C:BA,51,)</f>
        <v>0</v>
      </c>
    </row>
    <row r="110" spans="1:23" x14ac:dyDescent="0.25">
      <c r="A110" s="27">
        <v>1067637023</v>
      </c>
      <c r="B110" s="8" t="s">
        <v>674</v>
      </c>
      <c r="C110" s="10" t="s">
        <v>544</v>
      </c>
      <c r="D110" s="10" t="s">
        <v>544</v>
      </c>
      <c r="E110" s="10" t="s">
        <v>389</v>
      </c>
      <c r="F110" s="10" t="s">
        <v>390</v>
      </c>
      <c r="G110" s="10" t="s">
        <v>1218</v>
      </c>
      <c r="H110" s="10" t="s">
        <v>112</v>
      </c>
      <c r="I110" s="10" t="s">
        <v>164</v>
      </c>
      <c r="J110" s="10">
        <v>73037</v>
      </c>
      <c r="K110" s="80">
        <f>VLOOKUP(A:A,'staff sales'!C:Q,15,)</f>
        <v>0</v>
      </c>
      <c r="L110" s="81">
        <f>VLOOKUP(A:A,'staff sales'!C:T,18,)</f>
        <v>0</v>
      </c>
      <c r="M110" s="81">
        <f>VLOOKUP(A:A,'staff sales'!C:W,21,)</f>
        <v>77.39</v>
      </c>
      <c r="N110" s="81">
        <f>VLOOKUP(A:A,'staff sales'!C:Z,24,)</f>
        <v>0</v>
      </c>
      <c r="O110" s="81">
        <f>VLOOKUP(A:A,'staff sales'!C:AC,27,)</f>
        <v>0</v>
      </c>
      <c r="P110" s="81">
        <f>VLOOKUP(A:A,'staff sales'!C:AF,30,)</f>
        <v>0</v>
      </c>
      <c r="Q110" s="81">
        <f>VLOOKUP(A:A,'staff sales'!C:AI,33,)</f>
        <v>0</v>
      </c>
      <c r="R110" s="81">
        <f>VLOOKUP(A:A,'staff sales'!C:AL,36,)</f>
        <v>0</v>
      </c>
      <c r="S110" s="81">
        <f>VLOOKUP(A:A,'staff sales'!C:AO,39,)</f>
        <v>1</v>
      </c>
      <c r="T110" s="81">
        <f>VLOOKUP(A:A,'staff sales'!C:AR,42,)</f>
        <v>0</v>
      </c>
      <c r="U110" s="81">
        <f>VLOOKUP(A:A,'staff sales'!C:AU,45,)</f>
        <v>0</v>
      </c>
      <c r="V110" s="81">
        <f>VLOOKUP(A:A,'staff sales'!C:AX,48,)</f>
        <v>0</v>
      </c>
      <c r="W110" s="81">
        <f>VLOOKUP(A:A,'staff sales'!C:BA,51,)</f>
        <v>0</v>
      </c>
    </row>
    <row r="111" spans="1:23" x14ac:dyDescent="0.25">
      <c r="A111" s="28">
        <v>1074085745</v>
      </c>
      <c r="B111" s="12" t="s">
        <v>676</v>
      </c>
      <c r="C111" s="14" t="s">
        <v>546</v>
      </c>
      <c r="D111" s="14" t="s">
        <v>546</v>
      </c>
      <c r="E111" s="14" t="s">
        <v>172</v>
      </c>
      <c r="F111" s="14" t="s">
        <v>173</v>
      </c>
      <c r="G111" s="14" t="s">
        <v>1218</v>
      </c>
      <c r="H111" s="14" t="s">
        <v>112</v>
      </c>
      <c r="I111" s="14" t="s">
        <v>164</v>
      </c>
      <c r="J111" s="14">
        <v>73037</v>
      </c>
      <c r="K111" s="80">
        <f>VLOOKUP(A:A,'staff sales'!C:Q,15,)</f>
        <v>68669.58</v>
      </c>
      <c r="L111" s="81">
        <f>VLOOKUP(A:A,'staff sales'!C:T,18,)</f>
        <v>720.87</v>
      </c>
      <c r="M111" s="81">
        <f>VLOOKUP(A:A,'staff sales'!C:W,21,)</f>
        <v>11304.33</v>
      </c>
      <c r="N111" s="81">
        <f>VLOOKUP(A:A,'staff sales'!C:Z,24,)</f>
        <v>0</v>
      </c>
      <c r="O111" s="81">
        <f>VLOOKUP(A:A,'staff sales'!C:AC,27,)</f>
        <v>9</v>
      </c>
      <c r="P111" s="81">
        <f>VLOOKUP(A:A,'staff sales'!C:AF,30,)</f>
        <v>0</v>
      </c>
      <c r="Q111" s="81">
        <f>VLOOKUP(A:A,'staff sales'!C:AI,33,)</f>
        <v>58</v>
      </c>
      <c r="R111" s="81">
        <f>VLOOKUP(A:A,'staff sales'!C:AL,36,)</f>
        <v>0</v>
      </c>
      <c r="S111" s="81">
        <f>VLOOKUP(A:A,'staff sales'!C:AO,39,)</f>
        <v>1</v>
      </c>
      <c r="T111" s="81">
        <f>VLOOKUP(A:A,'staff sales'!C:AR,42,)</f>
        <v>1</v>
      </c>
      <c r="U111" s="81">
        <f>VLOOKUP(A:A,'staff sales'!C:AU,45,)</f>
        <v>3</v>
      </c>
      <c r="V111" s="81">
        <f>VLOOKUP(A:A,'staff sales'!C:AX,48,)</f>
        <v>0</v>
      </c>
      <c r="W111" s="81">
        <f>VLOOKUP(A:A,'staff sales'!C:BA,51,)</f>
        <v>1</v>
      </c>
    </row>
    <row r="112" spans="1:23" x14ac:dyDescent="0.25">
      <c r="A112" s="27">
        <v>1041158229</v>
      </c>
      <c r="B112" s="8" t="s">
        <v>678</v>
      </c>
      <c r="C112" s="10" t="s">
        <v>546</v>
      </c>
      <c r="D112" s="10" t="s">
        <v>546</v>
      </c>
      <c r="E112" s="10" t="s">
        <v>138</v>
      </c>
      <c r="F112" s="10" t="s">
        <v>139</v>
      </c>
      <c r="G112" s="10" t="s">
        <v>1218</v>
      </c>
      <c r="H112" s="10" t="s">
        <v>112</v>
      </c>
      <c r="I112" s="10" t="s">
        <v>164</v>
      </c>
      <c r="J112" s="10">
        <v>73037</v>
      </c>
      <c r="K112" s="80">
        <f>VLOOKUP(A:A,'staff sales'!C:Q,15,)</f>
        <v>22450.440000000002</v>
      </c>
      <c r="L112" s="81">
        <f>VLOOKUP(A:A,'staff sales'!C:T,18,)</f>
        <v>0</v>
      </c>
      <c r="M112" s="81">
        <f>VLOOKUP(A:A,'staff sales'!C:W,21,)</f>
        <v>1960.87</v>
      </c>
      <c r="N112" s="81">
        <f>VLOOKUP(A:A,'staff sales'!C:Z,24,)</f>
        <v>0</v>
      </c>
      <c r="O112" s="81">
        <f>VLOOKUP(A:A,'staff sales'!C:AC,27,)</f>
        <v>0</v>
      </c>
      <c r="P112" s="81">
        <f>VLOOKUP(A:A,'staff sales'!C:AF,30,)</f>
        <v>0</v>
      </c>
      <c r="Q112" s="81">
        <f>VLOOKUP(A:A,'staff sales'!C:AI,33,)</f>
        <v>32</v>
      </c>
      <c r="R112" s="81">
        <f>VLOOKUP(A:A,'staff sales'!C:AL,36,)</f>
        <v>0</v>
      </c>
      <c r="S112" s="81">
        <f>VLOOKUP(A:A,'staff sales'!C:AO,39,)</f>
        <v>0</v>
      </c>
      <c r="T112" s="81">
        <f>VLOOKUP(A:A,'staff sales'!C:AR,42,)</f>
        <v>0</v>
      </c>
      <c r="U112" s="81">
        <f>VLOOKUP(A:A,'staff sales'!C:AU,45,)</f>
        <v>1</v>
      </c>
      <c r="V112" s="81">
        <f>VLOOKUP(A:A,'staff sales'!C:AX,48,)</f>
        <v>0</v>
      </c>
      <c r="W112" s="81">
        <f>VLOOKUP(A:A,'staff sales'!C:BA,51,)</f>
        <v>2</v>
      </c>
    </row>
    <row r="113" spans="1:23" x14ac:dyDescent="0.25">
      <c r="A113" s="30">
        <v>1065107508</v>
      </c>
      <c r="B113" s="12" t="s">
        <v>670</v>
      </c>
      <c r="C113" s="14" t="s">
        <v>546</v>
      </c>
      <c r="D113" s="14" t="s">
        <v>546</v>
      </c>
      <c r="E113" s="14" t="s">
        <v>170</v>
      </c>
      <c r="F113" s="14" t="s">
        <v>170</v>
      </c>
      <c r="G113" s="14" t="s">
        <v>1218</v>
      </c>
      <c r="H113" s="14" t="s">
        <v>112</v>
      </c>
      <c r="I113" s="10" t="s">
        <v>164</v>
      </c>
      <c r="J113" s="10">
        <v>73037</v>
      </c>
      <c r="K113" s="80">
        <f>VLOOKUP(A:A,'staff sales'!C:Q,15,)</f>
        <v>88655.679999999993</v>
      </c>
      <c r="L113" s="81">
        <f>VLOOKUP(A:A,'staff sales'!C:T,18,)</f>
        <v>6600</v>
      </c>
      <c r="M113" s="81">
        <f>VLOOKUP(A:A,'staff sales'!C:W,21,)</f>
        <v>4434.34</v>
      </c>
      <c r="N113" s="81">
        <f>VLOOKUP(A:A,'staff sales'!C:Z,24,)</f>
        <v>0</v>
      </c>
      <c r="O113" s="81">
        <f>VLOOKUP(A:A,'staff sales'!C:AC,27,)</f>
        <v>6</v>
      </c>
      <c r="P113" s="81">
        <f>VLOOKUP(A:A,'staff sales'!C:AF,30,)</f>
        <v>0</v>
      </c>
      <c r="Q113" s="81">
        <f>VLOOKUP(A:A,'staff sales'!C:AI,33,)</f>
        <v>58</v>
      </c>
      <c r="R113" s="81">
        <f>VLOOKUP(A:A,'staff sales'!C:AL,36,)</f>
        <v>3</v>
      </c>
      <c r="S113" s="81">
        <f>VLOOKUP(A:A,'staff sales'!C:AO,39,)</f>
        <v>0</v>
      </c>
      <c r="T113" s="81">
        <f>VLOOKUP(A:A,'staff sales'!C:AR,42,)</f>
        <v>3</v>
      </c>
      <c r="U113" s="81">
        <f>VLOOKUP(A:A,'staff sales'!C:AU,45,)</f>
        <v>0</v>
      </c>
      <c r="V113" s="81">
        <f>VLOOKUP(A:A,'staff sales'!C:AX,48,)</f>
        <v>0</v>
      </c>
      <c r="W113" s="81">
        <f>VLOOKUP(A:A,'staff sales'!C:BA,51,)</f>
        <v>0</v>
      </c>
    </row>
    <row r="114" spans="1:23" x14ac:dyDescent="0.25">
      <c r="A114" s="31">
        <v>1061929673</v>
      </c>
      <c r="B114" s="12" t="s">
        <v>681</v>
      </c>
      <c r="C114" s="14" t="s">
        <v>546</v>
      </c>
      <c r="D114" s="14" t="s">
        <v>546</v>
      </c>
      <c r="E114" s="14" t="s">
        <v>381</v>
      </c>
      <c r="F114" s="14" t="s">
        <v>382</v>
      </c>
      <c r="G114" s="14" t="s">
        <v>1218</v>
      </c>
      <c r="H114" s="14" t="s">
        <v>112</v>
      </c>
      <c r="I114" s="14" t="s">
        <v>164</v>
      </c>
      <c r="J114" s="14">
        <v>73037</v>
      </c>
      <c r="K114" s="80">
        <f>VLOOKUP(A:A,'staff sales'!C:Q,15,)</f>
        <v>51649.590000000004</v>
      </c>
      <c r="L114" s="81">
        <f>VLOOKUP(A:A,'staff sales'!C:T,18,)</f>
        <v>795.36</v>
      </c>
      <c r="M114" s="81">
        <f>VLOOKUP(A:A,'staff sales'!C:W,21,)</f>
        <v>10605.5</v>
      </c>
      <c r="N114" s="81">
        <f>VLOOKUP(A:A,'staff sales'!C:Z,24,)</f>
        <v>0</v>
      </c>
      <c r="O114" s="81">
        <f>VLOOKUP(A:A,'staff sales'!C:AC,27,)</f>
        <v>10</v>
      </c>
      <c r="P114" s="81">
        <f>VLOOKUP(A:A,'staff sales'!C:AF,30,)</f>
        <v>0</v>
      </c>
      <c r="Q114" s="81">
        <f>VLOOKUP(A:A,'staff sales'!C:AI,33,)</f>
        <v>57</v>
      </c>
      <c r="R114" s="81">
        <f>VLOOKUP(A:A,'staff sales'!C:AL,36,)</f>
        <v>1</v>
      </c>
      <c r="S114" s="81">
        <f>VLOOKUP(A:A,'staff sales'!C:AO,39,)</f>
        <v>1</v>
      </c>
      <c r="T114" s="81">
        <f>VLOOKUP(A:A,'staff sales'!C:AR,42,)</f>
        <v>3</v>
      </c>
      <c r="U114" s="81">
        <f>VLOOKUP(A:A,'staff sales'!C:AU,45,)</f>
        <v>4</v>
      </c>
      <c r="V114" s="81">
        <f>VLOOKUP(A:A,'staff sales'!C:AX,48,)</f>
        <v>0</v>
      </c>
      <c r="W114" s="81">
        <f>VLOOKUP(A:A,'staff sales'!C:BA,51,)</f>
        <v>3</v>
      </c>
    </row>
    <row r="115" spans="1:23" x14ac:dyDescent="0.25">
      <c r="A115" s="30">
        <v>1075215317</v>
      </c>
      <c r="B115" s="8" t="s">
        <v>680</v>
      </c>
      <c r="C115" s="10" t="s">
        <v>546</v>
      </c>
      <c r="D115" s="10" t="s">
        <v>546</v>
      </c>
      <c r="E115" s="10" t="s">
        <v>167</v>
      </c>
      <c r="F115" s="10" t="s">
        <v>168</v>
      </c>
      <c r="G115" s="10" t="s">
        <v>1218</v>
      </c>
      <c r="H115" s="10" t="s">
        <v>112</v>
      </c>
      <c r="I115" s="10" t="s">
        <v>164</v>
      </c>
      <c r="J115" s="10">
        <v>73037</v>
      </c>
      <c r="K115" s="80">
        <f>VLOOKUP(A:A,'staff sales'!C:Q,15,)</f>
        <v>72728.709999999992</v>
      </c>
      <c r="L115" s="81">
        <f>VLOOKUP(A:A,'staff sales'!C:T,18,)</f>
        <v>7562.6100000000006</v>
      </c>
      <c r="M115" s="81">
        <f>VLOOKUP(A:A,'staff sales'!C:W,21,)</f>
        <v>20944.820000000003</v>
      </c>
      <c r="N115" s="81">
        <f>VLOOKUP(A:A,'staff sales'!C:Z,24,)</f>
        <v>0</v>
      </c>
      <c r="O115" s="81">
        <f>VLOOKUP(A:A,'staff sales'!C:AC,27,)</f>
        <v>14</v>
      </c>
      <c r="P115" s="81">
        <f>VLOOKUP(A:A,'staff sales'!C:AF,30,)</f>
        <v>1</v>
      </c>
      <c r="Q115" s="81">
        <f>VLOOKUP(A:A,'staff sales'!C:AI,33,)</f>
        <v>80</v>
      </c>
      <c r="R115" s="81">
        <f>VLOOKUP(A:A,'staff sales'!C:AL,36,)</f>
        <v>6</v>
      </c>
      <c r="S115" s="81">
        <f>VLOOKUP(A:A,'staff sales'!C:AO,39,)</f>
        <v>0</v>
      </c>
      <c r="T115" s="81">
        <f>VLOOKUP(A:A,'staff sales'!C:AR,42,)</f>
        <v>4</v>
      </c>
      <c r="U115" s="81">
        <f>VLOOKUP(A:A,'staff sales'!C:AU,45,)</f>
        <v>3</v>
      </c>
      <c r="V115" s="81">
        <f>VLOOKUP(A:A,'staff sales'!C:AX,48,)</f>
        <v>0</v>
      </c>
      <c r="W115" s="81">
        <f>VLOOKUP(A:A,'staff sales'!C:BA,51,)</f>
        <v>1</v>
      </c>
    </row>
    <row r="116" spans="1:23" x14ac:dyDescent="0.25">
      <c r="A116" s="31">
        <v>1013351620</v>
      </c>
      <c r="B116" s="12" t="s">
        <v>682</v>
      </c>
      <c r="C116" s="14" t="s">
        <v>541</v>
      </c>
      <c r="D116" s="14" t="s">
        <v>541</v>
      </c>
      <c r="E116" s="14" t="s">
        <v>175</v>
      </c>
      <c r="F116" s="14" t="s">
        <v>175</v>
      </c>
      <c r="G116" s="14" t="s">
        <v>1218</v>
      </c>
      <c r="H116" s="14" t="s">
        <v>112</v>
      </c>
      <c r="I116" s="14" t="s">
        <v>683</v>
      </c>
      <c r="J116" s="14">
        <v>73038</v>
      </c>
      <c r="K116" s="80">
        <f>VLOOKUP(A:A,'staff sales'!C:Q,15,)</f>
        <v>0</v>
      </c>
      <c r="L116" s="81">
        <f>VLOOKUP(A:A,'staff sales'!C:T,18,)</f>
        <v>0</v>
      </c>
      <c r="M116" s="81">
        <f>VLOOKUP(A:A,'staff sales'!C:W,21,)</f>
        <v>0</v>
      </c>
      <c r="N116" s="81">
        <f>VLOOKUP(A:A,'staff sales'!C:Z,24,)</f>
        <v>0</v>
      </c>
      <c r="O116" s="81">
        <f>VLOOKUP(A:A,'staff sales'!C:AC,27,)</f>
        <v>0</v>
      </c>
      <c r="P116" s="81">
        <f>VLOOKUP(A:A,'staff sales'!C:AF,30,)</f>
        <v>0</v>
      </c>
      <c r="Q116" s="81">
        <f>VLOOKUP(A:A,'staff sales'!C:AI,33,)</f>
        <v>0</v>
      </c>
      <c r="R116" s="81">
        <f>VLOOKUP(A:A,'staff sales'!C:AL,36,)</f>
        <v>0</v>
      </c>
      <c r="S116" s="81">
        <f>VLOOKUP(A:A,'staff sales'!C:AO,39,)</f>
        <v>0</v>
      </c>
      <c r="T116" s="81">
        <f>VLOOKUP(A:A,'staff sales'!C:AR,42,)</f>
        <v>0</v>
      </c>
      <c r="U116" s="81">
        <f>VLOOKUP(A:A,'staff sales'!C:AU,45,)</f>
        <v>0</v>
      </c>
      <c r="V116" s="81">
        <f>VLOOKUP(A:A,'staff sales'!C:AX,48,)</f>
        <v>0</v>
      </c>
      <c r="W116" s="81">
        <f>VLOOKUP(A:A,'staff sales'!C:BA,51,)</f>
        <v>0</v>
      </c>
    </row>
    <row r="117" spans="1:23" x14ac:dyDescent="0.25">
      <c r="A117" s="30">
        <v>1009767276</v>
      </c>
      <c r="B117" s="8" t="s">
        <v>684</v>
      </c>
      <c r="C117" s="10" t="s">
        <v>544</v>
      </c>
      <c r="D117" s="10" t="s">
        <v>544</v>
      </c>
      <c r="E117" s="10" t="s">
        <v>177</v>
      </c>
      <c r="F117" s="10" t="s">
        <v>177</v>
      </c>
      <c r="G117" s="10" t="s">
        <v>1218</v>
      </c>
      <c r="H117" s="10" t="s">
        <v>112</v>
      </c>
      <c r="I117" s="10" t="s">
        <v>683</v>
      </c>
      <c r="J117" s="10">
        <v>73038</v>
      </c>
      <c r="K117" s="80">
        <f>VLOOKUP(A:A,'staff sales'!C:Q,15,)</f>
        <v>0</v>
      </c>
      <c r="L117" s="81">
        <f>VLOOKUP(A:A,'staff sales'!C:T,18,)</f>
        <v>0</v>
      </c>
      <c r="M117" s="81">
        <f>VLOOKUP(A:A,'staff sales'!C:W,21,)</f>
        <v>0</v>
      </c>
      <c r="N117" s="81">
        <f>VLOOKUP(A:A,'staff sales'!C:Z,24,)</f>
        <v>0</v>
      </c>
      <c r="O117" s="81">
        <f>VLOOKUP(A:A,'staff sales'!C:AC,27,)</f>
        <v>0</v>
      </c>
      <c r="P117" s="81">
        <f>VLOOKUP(A:A,'staff sales'!C:AF,30,)</f>
        <v>0</v>
      </c>
      <c r="Q117" s="81">
        <f>VLOOKUP(A:A,'staff sales'!C:AI,33,)</f>
        <v>1</v>
      </c>
      <c r="R117" s="81">
        <f>VLOOKUP(A:A,'staff sales'!C:AL,36,)</f>
        <v>0</v>
      </c>
      <c r="S117" s="81">
        <f>VLOOKUP(A:A,'staff sales'!C:AO,39,)</f>
        <v>2</v>
      </c>
      <c r="T117" s="81">
        <f>VLOOKUP(A:A,'staff sales'!C:AR,42,)</f>
        <v>0</v>
      </c>
      <c r="U117" s="81">
        <f>VLOOKUP(A:A,'staff sales'!C:AU,45,)</f>
        <v>0</v>
      </c>
      <c r="V117" s="81">
        <f>VLOOKUP(A:A,'staff sales'!C:AX,48,)</f>
        <v>0</v>
      </c>
      <c r="W117" s="81">
        <f>VLOOKUP(A:A,'staff sales'!C:BA,51,)</f>
        <v>0</v>
      </c>
    </row>
    <row r="118" spans="1:23" x14ac:dyDescent="0.25">
      <c r="A118" s="31">
        <v>1080225111</v>
      </c>
      <c r="B118" s="12" t="s">
        <v>685</v>
      </c>
      <c r="C118" s="14" t="s">
        <v>546</v>
      </c>
      <c r="D118" s="14" t="s">
        <v>546</v>
      </c>
      <c r="E118" s="14" t="s">
        <v>178</v>
      </c>
      <c r="F118" s="14" t="s">
        <v>179</v>
      </c>
      <c r="G118" s="14" t="s">
        <v>1218</v>
      </c>
      <c r="H118" s="14" t="s">
        <v>112</v>
      </c>
      <c r="I118" s="14" t="s">
        <v>683</v>
      </c>
      <c r="J118" s="14">
        <v>73038</v>
      </c>
      <c r="K118" s="80">
        <f>VLOOKUP(A:A,'staff sales'!C:Q,15,)</f>
        <v>39568.719999999994</v>
      </c>
      <c r="L118" s="81">
        <f>VLOOKUP(A:A,'staff sales'!C:T,18,)</f>
        <v>1216.52</v>
      </c>
      <c r="M118" s="81">
        <f>VLOOKUP(A:A,'staff sales'!C:W,21,)</f>
        <v>7263.47</v>
      </c>
      <c r="N118" s="81">
        <f>VLOOKUP(A:A,'staff sales'!C:Z,24,)</f>
        <v>0</v>
      </c>
      <c r="O118" s="81">
        <f>VLOOKUP(A:A,'staff sales'!C:AC,27,)</f>
        <v>12</v>
      </c>
      <c r="P118" s="81">
        <f>VLOOKUP(A:A,'staff sales'!C:AF,30,)</f>
        <v>2</v>
      </c>
      <c r="Q118" s="81">
        <f>VLOOKUP(A:A,'staff sales'!C:AI,33,)</f>
        <v>23</v>
      </c>
      <c r="R118" s="81">
        <f>VLOOKUP(A:A,'staff sales'!C:AL,36,)</f>
        <v>1</v>
      </c>
      <c r="S118" s="81">
        <f>VLOOKUP(A:A,'staff sales'!C:AO,39,)</f>
        <v>3</v>
      </c>
      <c r="T118" s="81">
        <f>VLOOKUP(A:A,'staff sales'!C:AR,42,)</f>
        <v>2</v>
      </c>
      <c r="U118" s="81">
        <f>VLOOKUP(A:A,'staff sales'!C:AU,45,)</f>
        <v>3</v>
      </c>
      <c r="V118" s="81">
        <f>VLOOKUP(A:A,'staff sales'!C:AX,48,)</f>
        <v>0</v>
      </c>
      <c r="W118" s="81">
        <f>VLOOKUP(A:A,'staff sales'!C:BA,51,)</f>
        <v>1</v>
      </c>
    </row>
    <row r="119" spans="1:23" x14ac:dyDescent="0.25">
      <c r="A119" s="30">
        <v>1075477404</v>
      </c>
      <c r="B119" s="8" t="s">
        <v>686</v>
      </c>
      <c r="C119" s="10" t="s">
        <v>546</v>
      </c>
      <c r="D119" s="10" t="s">
        <v>546</v>
      </c>
      <c r="E119" s="10" t="s">
        <v>119</v>
      </c>
      <c r="F119" s="10" t="s">
        <v>120</v>
      </c>
      <c r="G119" s="10" t="s">
        <v>1218</v>
      </c>
      <c r="H119" s="10" t="s">
        <v>112</v>
      </c>
      <c r="I119" s="10" t="s">
        <v>683</v>
      </c>
      <c r="J119" s="10">
        <v>73038</v>
      </c>
      <c r="K119" s="80">
        <f>VLOOKUP(A:A,'staff sales'!C:Q,15,)</f>
        <v>58888.710000000006</v>
      </c>
      <c r="L119" s="81">
        <f>VLOOKUP(A:A,'staff sales'!C:T,18,)</f>
        <v>0</v>
      </c>
      <c r="M119" s="81">
        <f>VLOOKUP(A:A,'staff sales'!C:W,21,)</f>
        <v>5784.78</v>
      </c>
      <c r="N119" s="81">
        <f>VLOOKUP(A:A,'staff sales'!C:Z,24,)</f>
        <v>458</v>
      </c>
      <c r="O119" s="81">
        <f>VLOOKUP(A:A,'staff sales'!C:AC,27,)</f>
        <v>2</v>
      </c>
      <c r="P119" s="81">
        <f>VLOOKUP(A:A,'staff sales'!C:AF,30,)</f>
        <v>0</v>
      </c>
      <c r="Q119" s="81">
        <f>VLOOKUP(A:A,'staff sales'!C:AI,33,)</f>
        <v>50</v>
      </c>
      <c r="R119" s="81">
        <f>VLOOKUP(A:A,'staff sales'!C:AL,36,)</f>
        <v>0</v>
      </c>
      <c r="S119" s="81">
        <f>VLOOKUP(A:A,'staff sales'!C:AO,39,)</f>
        <v>4</v>
      </c>
      <c r="T119" s="81">
        <f>VLOOKUP(A:A,'staff sales'!C:AR,42,)</f>
        <v>2</v>
      </c>
      <c r="U119" s="81">
        <f>VLOOKUP(A:A,'staff sales'!C:AU,45,)</f>
        <v>3</v>
      </c>
      <c r="V119" s="81">
        <f>VLOOKUP(A:A,'staff sales'!C:AX,48,)</f>
        <v>0</v>
      </c>
      <c r="W119" s="81">
        <f>VLOOKUP(A:A,'staff sales'!C:BA,51,)</f>
        <v>0</v>
      </c>
    </row>
    <row r="120" spans="1:23" x14ac:dyDescent="0.25">
      <c r="A120" s="31">
        <v>1023642745</v>
      </c>
      <c r="B120" s="12" t="s">
        <v>687</v>
      </c>
      <c r="C120" s="14" t="s">
        <v>546</v>
      </c>
      <c r="D120" s="14" t="s">
        <v>546</v>
      </c>
      <c r="E120" s="14" t="s">
        <v>181</v>
      </c>
      <c r="F120" s="14" t="s">
        <v>181</v>
      </c>
      <c r="G120" s="14" t="s">
        <v>1218</v>
      </c>
      <c r="H120" s="14" t="s">
        <v>112</v>
      </c>
      <c r="I120" s="14" t="s">
        <v>683</v>
      </c>
      <c r="J120" s="14">
        <v>73038</v>
      </c>
      <c r="K120" s="80">
        <f>VLOOKUP(A:A,'staff sales'!C:Q,15,)</f>
        <v>21850.440000000002</v>
      </c>
      <c r="L120" s="81">
        <f>VLOOKUP(A:A,'staff sales'!C:T,18,)</f>
        <v>3651.3</v>
      </c>
      <c r="M120" s="81">
        <f>VLOOKUP(A:A,'staff sales'!C:W,21,)</f>
        <v>1392.17</v>
      </c>
      <c r="N120" s="81">
        <f>VLOOKUP(A:A,'staff sales'!C:Z,24,)</f>
        <v>519</v>
      </c>
      <c r="O120" s="81">
        <f>VLOOKUP(A:A,'staff sales'!C:AC,27,)</f>
        <v>6</v>
      </c>
      <c r="P120" s="81">
        <f>VLOOKUP(A:A,'staff sales'!C:AF,30,)</f>
        <v>0</v>
      </c>
      <c r="Q120" s="81">
        <f>VLOOKUP(A:A,'staff sales'!C:AI,33,)</f>
        <v>37</v>
      </c>
      <c r="R120" s="81">
        <f>VLOOKUP(A:A,'staff sales'!C:AL,36,)</f>
        <v>1</v>
      </c>
      <c r="S120" s="81">
        <f>VLOOKUP(A:A,'staff sales'!C:AO,39,)</f>
        <v>3</v>
      </c>
      <c r="T120" s="81">
        <f>VLOOKUP(A:A,'staff sales'!C:AR,42,)</f>
        <v>0</v>
      </c>
      <c r="U120" s="81">
        <f>VLOOKUP(A:A,'staff sales'!C:AU,45,)</f>
        <v>1</v>
      </c>
      <c r="V120" s="81">
        <f>VLOOKUP(A:A,'staff sales'!C:AX,48,)</f>
        <v>0</v>
      </c>
      <c r="W120" s="81">
        <f>VLOOKUP(A:A,'staff sales'!C:BA,51,)</f>
        <v>1</v>
      </c>
    </row>
    <row r="121" spans="1:23" x14ac:dyDescent="0.25">
      <c r="A121" s="30">
        <v>1062667736</v>
      </c>
      <c r="B121" s="8" t="s">
        <v>688</v>
      </c>
      <c r="C121" s="10" t="s">
        <v>546</v>
      </c>
      <c r="D121" s="10" t="s">
        <v>546</v>
      </c>
      <c r="E121" s="10" t="s">
        <v>182</v>
      </c>
      <c r="F121" s="10" t="s">
        <v>182</v>
      </c>
      <c r="G121" s="10" t="s">
        <v>1218</v>
      </c>
      <c r="H121" s="10" t="s">
        <v>112</v>
      </c>
      <c r="I121" s="10" t="s">
        <v>683</v>
      </c>
      <c r="J121" s="10">
        <v>73038</v>
      </c>
      <c r="K121" s="80">
        <f>VLOOKUP(A:A,'staff sales'!C:Q,15,)</f>
        <v>103892.23</v>
      </c>
      <c r="L121" s="81">
        <f>VLOOKUP(A:A,'staff sales'!C:T,18,)</f>
        <v>3216.52</v>
      </c>
      <c r="M121" s="81">
        <f>VLOOKUP(A:A,'staff sales'!C:W,21,)</f>
        <v>17119.539999999997</v>
      </c>
      <c r="N121" s="81">
        <f>VLOOKUP(A:A,'staff sales'!C:Z,24,)</f>
        <v>0</v>
      </c>
      <c r="O121" s="81">
        <f>VLOOKUP(A:A,'staff sales'!C:AC,27,)</f>
        <v>7</v>
      </c>
      <c r="P121" s="81">
        <f>VLOOKUP(A:A,'staff sales'!C:AF,30,)</f>
        <v>1</v>
      </c>
      <c r="Q121" s="81">
        <f>VLOOKUP(A:A,'staff sales'!C:AI,33,)</f>
        <v>29</v>
      </c>
      <c r="R121" s="81">
        <f>VLOOKUP(A:A,'staff sales'!C:AL,36,)</f>
        <v>0</v>
      </c>
      <c r="S121" s="81">
        <f>VLOOKUP(A:A,'staff sales'!C:AO,39,)</f>
        <v>1</v>
      </c>
      <c r="T121" s="81">
        <f>VLOOKUP(A:A,'staff sales'!C:AR,42,)</f>
        <v>0</v>
      </c>
      <c r="U121" s="81">
        <f>VLOOKUP(A:A,'staff sales'!C:AU,45,)</f>
        <v>4</v>
      </c>
      <c r="V121" s="81">
        <f>VLOOKUP(A:A,'staff sales'!C:AX,48,)</f>
        <v>0</v>
      </c>
      <c r="W121" s="81">
        <f>VLOOKUP(A:A,'staff sales'!C:BA,51,)</f>
        <v>7</v>
      </c>
    </row>
    <row r="122" spans="1:23" x14ac:dyDescent="0.25">
      <c r="A122" s="31">
        <v>1085716346</v>
      </c>
      <c r="B122" s="12" t="s">
        <v>689</v>
      </c>
      <c r="C122" s="14" t="s">
        <v>546</v>
      </c>
      <c r="D122" s="14" t="s">
        <v>546</v>
      </c>
      <c r="E122" s="14" t="s">
        <v>395</v>
      </c>
      <c r="F122" s="14" t="s">
        <v>396</v>
      </c>
      <c r="G122" s="14" t="s">
        <v>1218</v>
      </c>
      <c r="H122" s="14" t="s">
        <v>112</v>
      </c>
      <c r="I122" s="14" t="s">
        <v>683</v>
      </c>
      <c r="J122" s="14">
        <v>73038</v>
      </c>
      <c r="K122" s="80">
        <f>VLOOKUP(A:A,'staff sales'!C:Q,15,)</f>
        <v>55912.210000000006</v>
      </c>
      <c r="L122" s="81">
        <f>VLOOKUP(A:A,'staff sales'!C:T,18,)</f>
        <v>3225.22</v>
      </c>
      <c r="M122" s="81">
        <f>VLOOKUP(A:A,'staff sales'!C:W,21,)</f>
        <v>9049.7199999999993</v>
      </c>
      <c r="N122" s="81">
        <f>VLOOKUP(A:A,'staff sales'!C:Z,24,)</f>
        <v>0</v>
      </c>
      <c r="O122" s="81">
        <f>VLOOKUP(A:A,'staff sales'!C:AC,27,)</f>
        <v>11</v>
      </c>
      <c r="P122" s="81">
        <f>VLOOKUP(A:A,'staff sales'!C:AF,30,)</f>
        <v>0</v>
      </c>
      <c r="Q122" s="81">
        <f>VLOOKUP(A:A,'staff sales'!C:AI,33,)</f>
        <v>46</v>
      </c>
      <c r="R122" s="81">
        <f>VLOOKUP(A:A,'staff sales'!C:AL,36,)</f>
        <v>1</v>
      </c>
      <c r="S122" s="81">
        <f>VLOOKUP(A:A,'staff sales'!C:AO,39,)</f>
        <v>0</v>
      </c>
      <c r="T122" s="81">
        <f>VLOOKUP(A:A,'staff sales'!C:AR,42,)</f>
        <v>2</v>
      </c>
      <c r="U122" s="81">
        <f>VLOOKUP(A:A,'staff sales'!C:AU,45,)</f>
        <v>3</v>
      </c>
      <c r="V122" s="81">
        <f>VLOOKUP(A:A,'staff sales'!C:AX,48,)</f>
        <v>0</v>
      </c>
      <c r="W122" s="81">
        <f>VLOOKUP(A:A,'staff sales'!C:BA,51,)</f>
        <v>0</v>
      </c>
    </row>
    <row r="123" spans="1:23" x14ac:dyDescent="0.25">
      <c r="A123" s="31">
        <v>1065930529</v>
      </c>
      <c r="B123" s="8" t="s">
        <v>631</v>
      </c>
      <c r="C123" s="10" t="s">
        <v>544</v>
      </c>
      <c r="D123" s="10" t="s">
        <v>544</v>
      </c>
      <c r="E123" s="10" t="s">
        <v>160</v>
      </c>
      <c r="F123" s="10" t="s">
        <v>161</v>
      </c>
      <c r="G123" s="10" t="s">
        <v>1218</v>
      </c>
      <c r="H123" s="10" t="s">
        <v>112</v>
      </c>
      <c r="I123" s="14" t="s">
        <v>683</v>
      </c>
      <c r="J123" s="14">
        <v>73038</v>
      </c>
      <c r="K123" s="80">
        <f>VLOOKUP(A:A,'staff sales'!C:Q,15,)</f>
        <v>0</v>
      </c>
      <c r="L123" s="81">
        <f>VLOOKUP(A:A,'staff sales'!C:T,18,)</f>
        <v>0</v>
      </c>
      <c r="M123" s="81">
        <f>VLOOKUP(A:A,'staff sales'!C:W,21,)</f>
        <v>0</v>
      </c>
      <c r="N123" s="81">
        <f>VLOOKUP(A:A,'staff sales'!C:Z,24,)</f>
        <v>0</v>
      </c>
      <c r="O123" s="81">
        <f>VLOOKUP(A:A,'staff sales'!C:AC,27,)</f>
        <v>1</v>
      </c>
      <c r="P123" s="81">
        <f>VLOOKUP(A:A,'staff sales'!C:AF,30,)</f>
        <v>0</v>
      </c>
      <c r="Q123" s="81">
        <f>VLOOKUP(A:A,'staff sales'!C:AI,33,)</f>
        <v>0</v>
      </c>
      <c r="R123" s="81">
        <f>VLOOKUP(A:A,'staff sales'!C:AL,36,)</f>
        <v>0</v>
      </c>
      <c r="S123" s="81">
        <f>VLOOKUP(A:A,'staff sales'!C:AO,39,)</f>
        <v>0</v>
      </c>
      <c r="T123" s="81">
        <f>VLOOKUP(A:A,'staff sales'!C:AR,42,)</f>
        <v>0</v>
      </c>
      <c r="U123" s="81">
        <f>VLOOKUP(A:A,'staff sales'!C:AU,45,)</f>
        <v>0</v>
      </c>
      <c r="V123" s="81">
        <f>VLOOKUP(A:A,'staff sales'!C:AX,48,)</f>
        <v>0</v>
      </c>
      <c r="W123" s="81">
        <f>VLOOKUP(A:A,'staff sales'!C:BA,51,)</f>
        <v>0</v>
      </c>
    </row>
    <row r="124" spans="1:23" x14ac:dyDescent="0.25">
      <c r="A124" s="31">
        <v>1006151797</v>
      </c>
      <c r="B124" s="12" t="s">
        <v>634</v>
      </c>
      <c r="C124" s="14" t="s">
        <v>546</v>
      </c>
      <c r="D124" s="14" t="s">
        <v>546</v>
      </c>
      <c r="E124" s="14" t="s">
        <v>123</v>
      </c>
      <c r="F124" s="14" t="s">
        <v>124</v>
      </c>
      <c r="G124" s="14" t="s">
        <v>1218</v>
      </c>
      <c r="H124" s="14" t="s">
        <v>112</v>
      </c>
      <c r="I124" s="14" t="s">
        <v>683</v>
      </c>
      <c r="J124" s="14">
        <v>73038</v>
      </c>
      <c r="K124" s="80">
        <f>VLOOKUP(A:A,'staff sales'!C:Q,15,)</f>
        <v>40507.839999999997</v>
      </c>
      <c r="L124" s="81">
        <f>VLOOKUP(A:A,'staff sales'!C:T,18,)</f>
        <v>0</v>
      </c>
      <c r="M124" s="81">
        <f>VLOOKUP(A:A,'staff sales'!C:W,21,)</f>
        <v>6065.65</v>
      </c>
      <c r="N124" s="81">
        <f>VLOOKUP(A:A,'staff sales'!C:Z,24,)</f>
        <v>1067</v>
      </c>
      <c r="O124" s="81">
        <f>VLOOKUP(A:A,'staff sales'!C:AC,27,)</f>
        <v>12</v>
      </c>
      <c r="P124" s="81">
        <f>VLOOKUP(A:A,'staff sales'!C:AF,30,)</f>
        <v>0</v>
      </c>
      <c r="Q124" s="81">
        <f>VLOOKUP(A:A,'staff sales'!C:AI,33,)</f>
        <v>40</v>
      </c>
      <c r="R124" s="81">
        <f>VLOOKUP(A:A,'staff sales'!C:AL,36,)</f>
        <v>3</v>
      </c>
      <c r="S124" s="81">
        <f>VLOOKUP(A:A,'staff sales'!C:AO,39,)</f>
        <v>1</v>
      </c>
      <c r="T124" s="81">
        <f>VLOOKUP(A:A,'staff sales'!C:AR,42,)</f>
        <v>3</v>
      </c>
      <c r="U124" s="81">
        <f>VLOOKUP(A:A,'staff sales'!C:AU,45,)</f>
        <v>1</v>
      </c>
      <c r="V124" s="81">
        <f>VLOOKUP(A:A,'staff sales'!C:AX,48,)</f>
        <v>0</v>
      </c>
      <c r="W124" s="81">
        <f>VLOOKUP(A:A,'staff sales'!C:BA,51,)</f>
        <v>2</v>
      </c>
    </row>
    <row r="125" spans="1:23" x14ac:dyDescent="0.25">
      <c r="A125" s="31">
        <v>1033369552</v>
      </c>
      <c r="B125" s="12" t="s">
        <v>693</v>
      </c>
      <c r="C125" s="14" t="s">
        <v>546</v>
      </c>
      <c r="D125" s="14" t="s">
        <v>546</v>
      </c>
      <c r="E125" s="14" t="s">
        <v>188</v>
      </c>
      <c r="F125" s="14" t="s">
        <v>189</v>
      </c>
      <c r="G125" s="14" t="s">
        <v>1218</v>
      </c>
      <c r="H125" s="14" t="s">
        <v>112</v>
      </c>
      <c r="I125" s="14" t="s">
        <v>683</v>
      </c>
      <c r="J125" s="14">
        <v>73038</v>
      </c>
      <c r="K125" s="80">
        <f>VLOOKUP(A:A,'staff sales'!C:Q,15,)</f>
        <v>69390.45</v>
      </c>
      <c r="L125" s="81">
        <f>VLOOKUP(A:A,'staff sales'!C:T,18,)</f>
        <v>0</v>
      </c>
      <c r="M125" s="81">
        <f>VLOOKUP(A:A,'staff sales'!C:W,21,)</f>
        <v>10872.62</v>
      </c>
      <c r="N125" s="81">
        <f>VLOOKUP(A:A,'staff sales'!C:Z,24,)</f>
        <v>0</v>
      </c>
      <c r="O125" s="81">
        <f>VLOOKUP(A:A,'staff sales'!C:AC,27,)</f>
        <v>3</v>
      </c>
      <c r="P125" s="81">
        <f>VLOOKUP(A:A,'staff sales'!C:AF,30,)</f>
        <v>3</v>
      </c>
      <c r="Q125" s="81">
        <f>VLOOKUP(A:A,'staff sales'!C:AI,33,)</f>
        <v>33</v>
      </c>
      <c r="R125" s="81">
        <f>VLOOKUP(A:A,'staff sales'!C:AL,36,)</f>
        <v>2</v>
      </c>
      <c r="S125" s="81">
        <f>VLOOKUP(A:A,'staff sales'!C:AO,39,)</f>
        <v>4</v>
      </c>
      <c r="T125" s="81">
        <f>VLOOKUP(A:A,'staff sales'!C:AR,42,)</f>
        <v>1</v>
      </c>
      <c r="U125" s="81">
        <f>VLOOKUP(A:A,'staff sales'!C:AU,45,)</f>
        <v>1</v>
      </c>
      <c r="V125" s="81">
        <f>VLOOKUP(A:A,'staff sales'!C:AX,48,)</f>
        <v>0</v>
      </c>
      <c r="W125" s="81">
        <f>VLOOKUP(A:A,'staff sales'!C:BA,51,)</f>
        <v>0</v>
      </c>
    </row>
    <row r="126" spans="1:23" x14ac:dyDescent="0.25">
      <c r="A126" s="27">
        <v>1026531804</v>
      </c>
      <c r="B126" s="8" t="s">
        <v>694</v>
      </c>
      <c r="C126" s="10" t="s">
        <v>546</v>
      </c>
      <c r="D126" s="10" t="s">
        <v>546</v>
      </c>
      <c r="E126" s="10" t="s">
        <v>190</v>
      </c>
      <c r="F126" s="10" t="s">
        <v>190</v>
      </c>
      <c r="G126" s="10" t="s">
        <v>1218</v>
      </c>
      <c r="H126" s="10" t="s">
        <v>112</v>
      </c>
      <c r="I126" s="10" t="s">
        <v>683</v>
      </c>
      <c r="J126" s="10">
        <v>73038</v>
      </c>
      <c r="K126" s="80">
        <f>VLOOKUP(A:A,'staff sales'!C:Q,15,)</f>
        <v>66605.25</v>
      </c>
      <c r="L126" s="81">
        <f>VLOOKUP(A:A,'staff sales'!C:T,18,)</f>
        <v>3564.35</v>
      </c>
      <c r="M126" s="81">
        <f>VLOOKUP(A:A,'staff sales'!C:W,21,)</f>
        <v>12149.869999999999</v>
      </c>
      <c r="N126" s="81">
        <f>VLOOKUP(A:A,'staff sales'!C:Z,24,)</f>
        <v>360</v>
      </c>
      <c r="O126" s="81">
        <f>VLOOKUP(A:A,'staff sales'!C:AC,27,)</f>
        <v>9</v>
      </c>
      <c r="P126" s="81">
        <f>VLOOKUP(A:A,'staff sales'!C:AF,30,)</f>
        <v>0</v>
      </c>
      <c r="Q126" s="81">
        <f>VLOOKUP(A:A,'staff sales'!C:AI,33,)</f>
        <v>49</v>
      </c>
      <c r="R126" s="81">
        <f>VLOOKUP(A:A,'staff sales'!C:AL,36,)</f>
        <v>3</v>
      </c>
      <c r="S126" s="81">
        <f>VLOOKUP(A:A,'staff sales'!C:AO,39,)</f>
        <v>3</v>
      </c>
      <c r="T126" s="81">
        <f>VLOOKUP(A:A,'staff sales'!C:AR,42,)</f>
        <v>1</v>
      </c>
      <c r="U126" s="81">
        <f>VLOOKUP(A:A,'staff sales'!C:AU,45,)</f>
        <v>4</v>
      </c>
      <c r="V126" s="81">
        <f>VLOOKUP(A:A,'staff sales'!C:AX,48,)</f>
        <v>0</v>
      </c>
      <c r="W126" s="81">
        <f>VLOOKUP(A:A,'staff sales'!C:BA,51,)</f>
        <v>2</v>
      </c>
    </row>
    <row r="127" spans="1:23" x14ac:dyDescent="0.25">
      <c r="A127" s="28">
        <v>1064567405</v>
      </c>
      <c r="B127" s="12" t="s">
        <v>695</v>
      </c>
      <c r="C127" s="14" t="s">
        <v>546</v>
      </c>
      <c r="D127" s="14" t="s">
        <v>546</v>
      </c>
      <c r="E127" s="14" t="s">
        <v>397</v>
      </c>
      <c r="F127" s="14" t="s">
        <v>397</v>
      </c>
      <c r="G127" s="14" t="s">
        <v>1218</v>
      </c>
      <c r="H127" s="14" t="s">
        <v>112</v>
      </c>
      <c r="I127" s="14" t="s">
        <v>683</v>
      </c>
      <c r="J127" s="14">
        <v>73038</v>
      </c>
      <c r="K127" s="80">
        <f>VLOOKUP(A:A,'staff sales'!C:Q,15,)</f>
        <v>117460.89000000001</v>
      </c>
      <c r="L127" s="81">
        <f>VLOOKUP(A:A,'staff sales'!C:T,18,)</f>
        <v>3216.52</v>
      </c>
      <c r="M127" s="81">
        <f>VLOOKUP(A:A,'staff sales'!C:W,21,)</f>
        <v>11741.71</v>
      </c>
      <c r="N127" s="81">
        <f>VLOOKUP(A:A,'staff sales'!C:Z,24,)</f>
        <v>0</v>
      </c>
      <c r="O127" s="81">
        <f>VLOOKUP(A:A,'staff sales'!C:AC,27,)</f>
        <v>7</v>
      </c>
      <c r="P127" s="81">
        <f>VLOOKUP(A:A,'staff sales'!C:AF,30,)</f>
        <v>3</v>
      </c>
      <c r="Q127" s="81">
        <f>VLOOKUP(A:A,'staff sales'!C:AI,33,)</f>
        <v>51</v>
      </c>
      <c r="R127" s="81">
        <f>VLOOKUP(A:A,'staff sales'!C:AL,36,)</f>
        <v>1</v>
      </c>
      <c r="S127" s="81">
        <f>VLOOKUP(A:A,'staff sales'!C:AO,39,)</f>
        <v>0</v>
      </c>
      <c r="T127" s="81">
        <f>VLOOKUP(A:A,'staff sales'!C:AR,42,)</f>
        <v>0</v>
      </c>
      <c r="U127" s="81">
        <f>VLOOKUP(A:A,'staff sales'!C:AU,45,)</f>
        <v>1</v>
      </c>
      <c r="V127" s="81">
        <f>VLOOKUP(A:A,'staff sales'!C:AX,48,)</f>
        <v>0</v>
      </c>
      <c r="W127" s="81">
        <f>VLOOKUP(A:A,'staff sales'!C:BA,51,)</f>
        <v>3</v>
      </c>
    </row>
    <row r="128" spans="1:23" x14ac:dyDescent="0.25">
      <c r="A128" s="28">
        <v>1060508452</v>
      </c>
      <c r="B128" s="8" t="s">
        <v>696</v>
      </c>
      <c r="C128" s="10" t="s">
        <v>546</v>
      </c>
      <c r="D128" s="10" t="s">
        <v>546</v>
      </c>
      <c r="E128" s="10" t="s">
        <v>114</v>
      </c>
      <c r="F128" s="10" t="s">
        <v>114</v>
      </c>
      <c r="G128" s="10" t="s">
        <v>1218</v>
      </c>
      <c r="H128" s="10" t="s">
        <v>112</v>
      </c>
      <c r="I128" s="14" t="s">
        <v>683</v>
      </c>
      <c r="J128" s="14">
        <v>73038</v>
      </c>
      <c r="K128" s="80">
        <f>VLOOKUP(A:A,'staff sales'!C:Q,15,)</f>
        <v>29112.18</v>
      </c>
      <c r="L128" s="81">
        <f>VLOOKUP(A:A,'staff sales'!C:T,18,)</f>
        <v>3225.22</v>
      </c>
      <c r="M128" s="81">
        <f>VLOOKUP(A:A,'staff sales'!C:W,21,)</f>
        <v>3828.7</v>
      </c>
      <c r="N128" s="81">
        <f>VLOOKUP(A:A,'staff sales'!C:Z,24,)</f>
        <v>1984</v>
      </c>
      <c r="O128" s="81">
        <f>VLOOKUP(A:A,'staff sales'!C:AC,27,)</f>
        <v>10</v>
      </c>
      <c r="P128" s="81">
        <f>VLOOKUP(A:A,'staff sales'!C:AF,30,)</f>
        <v>1</v>
      </c>
      <c r="Q128" s="81">
        <f>VLOOKUP(A:A,'staff sales'!C:AI,33,)</f>
        <v>24</v>
      </c>
      <c r="R128" s="81">
        <f>VLOOKUP(A:A,'staff sales'!C:AL,36,)</f>
        <v>1</v>
      </c>
      <c r="S128" s="81">
        <f>VLOOKUP(A:A,'staff sales'!C:AO,39,)</f>
        <v>0</v>
      </c>
      <c r="T128" s="81">
        <f>VLOOKUP(A:A,'staff sales'!C:AR,42,)</f>
        <v>2</v>
      </c>
      <c r="U128" s="81">
        <f>VLOOKUP(A:A,'staff sales'!C:AU,45,)</f>
        <v>2</v>
      </c>
      <c r="V128" s="81">
        <f>VLOOKUP(A:A,'staff sales'!C:AX,48,)</f>
        <v>0</v>
      </c>
      <c r="W128" s="81">
        <f>VLOOKUP(A:A,'staff sales'!C:BA,51,)</f>
        <v>1</v>
      </c>
    </row>
    <row r="129" spans="1:23" x14ac:dyDescent="0.25">
      <c r="A129" s="28" t="s">
        <v>972</v>
      </c>
      <c r="B129" s="12" t="s">
        <v>973</v>
      </c>
      <c r="C129" s="14" t="s">
        <v>541</v>
      </c>
      <c r="D129" s="14" t="s">
        <v>541</v>
      </c>
      <c r="E129" s="14">
        <v>0</v>
      </c>
      <c r="F129" s="14">
        <v>0</v>
      </c>
      <c r="G129" s="14" t="s">
        <v>1218</v>
      </c>
      <c r="H129" s="14" t="s">
        <v>112</v>
      </c>
      <c r="I129" s="14" t="s">
        <v>698</v>
      </c>
      <c r="J129" s="14">
        <v>43004</v>
      </c>
      <c r="K129" s="80">
        <f>VLOOKUP(A:A,'staff sales'!C:Q,15,)</f>
        <v>0</v>
      </c>
      <c r="L129" s="81">
        <f>VLOOKUP(A:A,'staff sales'!C:T,18,)</f>
        <v>0</v>
      </c>
      <c r="M129" s="81">
        <f>VLOOKUP(A:A,'staff sales'!C:W,21,)</f>
        <v>0</v>
      </c>
      <c r="N129" s="81">
        <f>VLOOKUP(A:A,'staff sales'!C:Z,24,)</f>
        <v>0</v>
      </c>
      <c r="O129" s="81">
        <f>VLOOKUP(A:A,'staff sales'!C:AC,27,)</f>
        <v>0</v>
      </c>
      <c r="P129" s="81">
        <f>VLOOKUP(A:A,'staff sales'!C:AF,30,)</f>
        <v>0</v>
      </c>
      <c r="Q129" s="81">
        <f>VLOOKUP(A:A,'staff sales'!C:AI,33,)</f>
        <v>0</v>
      </c>
      <c r="R129" s="81">
        <f>VLOOKUP(A:A,'staff sales'!C:AL,36,)</f>
        <v>0</v>
      </c>
      <c r="S129" s="81">
        <f>VLOOKUP(A:A,'staff sales'!C:AO,39,)</f>
        <v>0</v>
      </c>
      <c r="T129" s="81">
        <f>VLOOKUP(A:A,'staff sales'!C:AR,42,)</f>
        <v>0</v>
      </c>
      <c r="U129" s="81">
        <f>VLOOKUP(A:A,'staff sales'!C:AU,45,)</f>
        <v>0</v>
      </c>
      <c r="V129" s="81">
        <f>VLOOKUP(A:A,'staff sales'!C:AX,48,)</f>
        <v>0</v>
      </c>
      <c r="W129" s="81">
        <f>VLOOKUP(A:A,'staff sales'!C:BA,51,)</f>
        <v>0</v>
      </c>
    </row>
    <row r="130" spans="1:23" x14ac:dyDescent="0.25">
      <c r="A130" s="28">
        <v>1052906938</v>
      </c>
      <c r="B130" s="8" t="s">
        <v>697</v>
      </c>
      <c r="C130" s="10" t="s">
        <v>544</v>
      </c>
      <c r="D130" s="10" t="s">
        <v>541</v>
      </c>
      <c r="E130" s="10" t="s">
        <v>191</v>
      </c>
      <c r="F130" s="10" t="s">
        <v>191</v>
      </c>
      <c r="G130" s="10" t="s">
        <v>1218</v>
      </c>
      <c r="H130" s="10" t="s">
        <v>112</v>
      </c>
      <c r="I130" s="14" t="s">
        <v>698</v>
      </c>
      <c r="J130" s="14">
        <v>43004</v>
      </c>
      <c r="K130" s="80">
        <f>VLOOKUP(A:A,'staff sales'!C:Q,15,)</f>
        <v>0</v>
      </c>
      <c r="L130" s="81">
        <f>VLOOKUP(A:A,'staff sales'!C:T,18,)</f>
        <v>0</v>
      </c>
      <c r="M130" s="81">
        <f>VLOOKUP(A:A,'staff sales'!C:W,21,)</f>
        <v>0</v>
      </c>
      <c r="N130" s="81">
        <f>VLOOKUP(A:A,'staff sales'!C:Z,24,)</f>
        <v>0</v>
      </c>
      <c r="O130" s="81">
        <f>VLOOKUP(A:A,'staff sales'!C:AC,27,)</f>
        <v>0</v>
      </c>
      <c r="P130" s="81">
        <f>VLOOKUP(A:A,'staff sales'!C:AF,30,)</f>
        <v>0</v>
      </c>
      <c r="Q130" s="81">
        <f>VLOOKUP(A:A,'staff sales'!C:AI,33,)</f>
        <v>0</v>
      </c>
      <c r="R130" s="81">
        <f>VLOOKUP(A:A,'staff sales'!C:AL,36,)</f>
        <v>0</v>
      </c>
      <c r="S130" s="81">
        <f>VLOOKUP(A:A,'staff sales'!C:AO,39,)</f>
        <v>0</v>
      </c>
      <c r="T130" s="81">
        <f>VLOOKUP(A:A,'staff sales'!C:AR,42,)</f>
        <v>0</v>
      </c>
      <c r="U130" s="81">
        <f>VLOOKUP(A:A,'staff sales'!C:AU,45,)</f>
        <v>0</v>
      </c>
      <c r="V130" s="81">
        <f>VLOOKUP(A:A,'staff sales'!C:AX,48,)</f>
        <v>0</v>
      </c>
      <c r="W130" s="81">
        <f>VLOOKUP(A:A,'staff sales'!C:BA,51,)</f>
        <v>0</v>
      </c>
    </row>
    <row r="131" spans="1:23" x14ac:dyDescent="0.25">
      <c r="A131" s="28">
        <v>1077080693</v>
      </c>
      <c r="B131" s="12" t="s">
        <v>699</v>
      </c>
      <c r="C131" s="14" t="s">
        <v>546</v>
      </c>
      <c r="D131" s="14" t="s">
        <v>546</v>
      </c>
      <c r="E131" s="14" t="s">
        <v>192</v>
      </c>
      <c r="F131" s="14" t="s">
        <v>192</v>
      </c>
      <c r="G131" s="14" t="s">
        <v>1218</v>
      </c>
      <c r="H131" s="14" t="s">
        <v>112</v>
      </c>
      <c r="I131" s="14" t="s">
        <v>698</v>
      </c>
      <c r="J131" s="14">
        <v>43004</v>
      </c>
      <c r="K131" s="80">
        <f>VLOOKUP(A:A,'staff sales'!C:Q,15,)</f>
        <v>88044.37</v>
      </c>
      <c r="L131" s="81">
        <f>VLOOKUP(A:A,'staff sales'!C:T,18,)</f>
        <v>0</v>
      </c>
      <c r="M131" s="81">
        <f>VLOOKUP(A:A,'staff sales'!C:W,21,)</f>
        <v>20945.219999999998</v>
      </c>
      <c r="N131" s="81">
        <f>VLOOKUP(A:A,'staff sales'!C:Z,24,)</f>
        <v>0</v>
      </c>
      <c r="O131" s="81">
        <f>VLOOKUP(A:A,'staff sales'!C:AC,27,)</f>
        <v>6</v>
      </c>
      <c r="P131" s="81">
        <f>VLOOKUP(A:A,'staff sales'!C:AF,30,)</f>
        <v>3</v>
      </c>
      <c r="Q131" s="81">
        <f>VLOOKUP(A:A,'staff sales'!C:AI,33,)</f>
        <v>93</v>
      </c>
      <c r="R131" s="81">
        <f>VLOOKUP(A:A,'staff sales'!C:AL,36,)</f>
        <v>0</v>
      </c>
      <c r="S131" s="81">
        <f>VLOOKUP(A:A,'staff sales'!C:AO,39,)</f>
        <v>5</v>
      </c>
      <c r="T131" s="81">
        <f>VLOOKUP(A:A,'staff sales'!C:AR,42,)</f>
        <v>5</v>
      </c>
      <c r="U131" s="81">
        <f>VLOOKUP(A:A,'staff sales'!C:AU,45,)</f>
        <v>0</v>
      </c>
      <c r="V131" s="81">
        <f>VLOOKUP(A:A,'staff sales'!C:AX,48,)</f>
        <v>1</v>
      </c>
      <c r="W131" s="81">
        <f>VLOOKUP(A:A,'staff sales'!C:BA,51,)</f>
        <v>6</v>
      </c>
    </row>
    <row r="132" spans="1:23" x14ac:dyDescent="0.25">
      <c r="A132" s="28">
        <v>1068416344</v>
      </c>
      <c r="B132" s="8" t="s">
        <v>700</v>
      </c>
      <c r="C132" s="10" t="s">
        <v>546</v>
      </c>
      <c r="D132" s="10" t="s">
        <v>546</v>
      </c>
      <c r="E132" s="10" t="s">
        <v>194</v>
      </c>
      <c r="F132" s="10" t="s">
        <v>194</v>
      </c>
      <c r="G132" s="10" t="s">
        <v>1218</v>
      </c>
      <c r="H132" s="10" t="s">
        <v>112</v>
      </c>
      <c r="I132" s="10" t="s">
        <v>698</v>
      </c>
      <c r="J132" s="10">
        <v>43004</v>
      </c>
      <c r="K132" s="80">
        <f>VLOOKUP(A:A,'staff sales'!C:Q,15,)</f>
        <v>55375.69000000001</v>
      </c>
      <c r="L132" s="81">
        <f>VLOOKUP(A:A,'staff sales'!C:T,18,)</f>
        <v>0</v>
      </c>
      <c r="M132" s="81">
        <f>VLOOKUP(A:A,'staff sales'!C:W,21,)</f>
        <v>9916.52</v>
      </c>
      <c r="N132" s="81">
        <f>VLOOKUP(A:A,'staff sales'!C:Z,24,)</f>
        <v>0</v>
      </c>
      <c r="O132" s="81">
        <f>VLOOKUP(A:A,'staff sales'!C:AC,27,)</f>
        <v>7</v>
      </c>
      <c r="P132" s="81">
        <f>VLOOKUP(A:A,'staff sales'!C:AF,30,)</f>
        <v>0</v>
      </c>
      <c r="Q132" s="81">
        <f>VLOOKUP(A:A,'staff sales'!C:AI,33,)</f>
        <v>74</v>
      </c>
      <c r="R132" s="81">
        <f>VLOOKUP(A:A,'staff sales'!C:AL,36,)</f>
        <v>4</v>
      </c>
      <c r="S132" s="81">
        <f>VLOOKUP(A:A,'staff sales'!C:AO,39,)</f>
        <v>3</v>
      </c>
      <c r="T132" s="81">
        <f>VLOOKUP(A:A,'staff sales'!C:AR,42,)</f>
        <v>2</v>
      </c>
      <c r="U132" s="81">
        <f>VLOOKUP(A:A,'staff sales'!C:AU,45,)</f>
        <v>1</v>
      </c>
      <c r="V132" s="81">
        <f>VLOOKUP(A:A,'staff sales'!C:AX,48,)</f>
        <v>0</v>
      </c>
      <c r="W132" s="81">
        <f>VLOOKUP(A:A,'staff sales'!C:BA,51,)</f>
        <v>4</v>
      </c>
    </row>
    <row r="133" spans="1:23" x14ac:dyDescent="0.25">
      <c r="A133" s="27">
        <v>1031871781</v>
      </c>
      <c r="B133" s="12" t="s">
        <v>701</v>
      </c>
      <c r="C133" s="14" t="s">
        <v>546</v>
      </c>
      <c r="D133" s="14" t="s">
        <v>546</v>
      </c>
      <c r="E133" s="14" t="s">
        <v>195</v>
      </c>
      <c r="F133" s="14" t="s">
        <v>196</v>
      </c>
      <c r="G133" s="14" t="s">
        <v>1218</v>
      </c>
      <c r="H133" s="14" t="s">
        <v>112</v>
      </c>
      <c r="I133" s="10" t="s">
        <v>698</v>
      </c>
      <c r="J133" s="10">
        <v>43004</v>
      </c>
      <c r="K133" s="80">
        <f>VLOOKUP(A:A,'staff sales'!C:Q,15,)</f>
        <v>33917.4</v>
      </c>
      <c r="L133" s="81">
        <f>VLOOKUP(A:A,'staff sales'!C:T,18,)</f>
        <v>0</v>
      </c>
      <c r="M133" s="81">
        <f>VLOOKUP(A:A,'staff sales'!C:W,21,)</f>
        <v>1872.17</v>
      </c>
      <c r="N133" s="81">
        <f>VLOOKUP(A:A,'staff sales'!C:Z,24,)</f>
        <v>0</v>
      </c>
      <c r="O133" s="81">
        <f>VLOOKUP(A:A,'staff sales'!C:AC,27,)</f>
        <v>7</v>
      </c>
      <c r="P133" s="81">
        <f>VLOOKUP(A:A,'staff sales'!C:AF,30,)</f>
        <v>0</v>
      </c>
      <c r="Q133" s="81">
        <f>VLOOKUP(A:A,'staff sales'!C:AI,33,)</f>
        <v>23</v>
      </c>
      <c r="R133" s="81">
        <f>VLOOKUP(A:A,'staff sales'!C:AL,36,)</f>
        <v>0</v>
      </c>
      <c r="S133" s="81">
        <f>VLOOKUP(A:A,'staff sales'!C:AO,39,)</f>
        <v>0</v>
      </c>
      <c r="T133" s="81">
        <f>VLOOKUP(A:A,'staff sales'!C:AR,42,)</f>
        <v>0</v>
      </c>
      <c r="U133" s="81">
        <f>VLOOKUP(A:A,'staff sales'!C:AU,45,)</f>
        <v>2</v>
      </c>
      <c r="V133" s="81">
        <f>VLOOKUP(A:A,'staff sales'!C:AX,48,)</f>
        <v>0</v>
      </c>
      <c r="W133" s="81">
        <f>VLOOKUP(A:A,'staff sales'!C:BA,51,)</f>
        <v>1</v>
      </c>
    </row>
    <row r="134" spans="1:23" x14ac:dyDescent="0.25">
      <c r="A134" s="27">
        <v>1077831095</v>
      </c>
      <c r="B134" s="8" t="s">
        <v>702</v>
      </c>
      <c r="C134" s="10" t="s">
        <v>546</v>
      </c>
      <c r="D134" s="10" t="s">
        <v>546</v>
      </c>
      <c r="E134" s="10" t="s">
        <v>198</v>
      </c>
      <c r="F134" s="10" t="s">
        <v>198</v>
      </c>
      <c r="G134" s="10" t="s">
        <v>1218</v>
      </c>
      <c r="H134" s="10" t="s">
        <v>112</v>
      </c>
      <c r="I134" s="10" t="s">
        <v>698</v>
      </c>
      <c r="J134" s="10">
        <v>43004</v>
      </c>
      <c r="K134" s="80">
        <f>VLOOKUP(A:A,'staff sales'!C:Q,15,)</f>
        <v>25446.969999999998</v>
      </c>
      <c r="L134" s="81">
        <f>VLOOKUP(A:A,'staff sales'!C:T,18,)</f>
        <v>0</v>
      </c>
      <c r="M134" s="81">
        <f>VLOOKUP(A:A,'staff sales'!C:W,21,)</f>
        <v>4227.3899999999994</v>
      </c>
      <c r="N134" s="81">
        <f>VLOOKUP(A:A,'staff sales'!C:Z,24,)</f>
        <v>0</v>
      </c>
      <c r="O134" s="81">
        <f>VLOOKUP(A:A,'staff sales'!C:AC,27,)</f>
        <v>8</v>
      </c>
      <c r="P134" s="81">
        <f>VLOOKUP(A:A,'staff sales'!C:AF,30,)</f>
        <v>2</v>
      </c>
      <c r="Q134" s="81">
        <f>VLOOKUP(A:A,'staff sales'!C:AI,33,)</f>
        <v>51</v>
      </c>
      <c r="R134" s="81">
        <f>VLOOKUP(A:A,'staff sales'!C:AL,36,)</f>
        <v>1</v>
      </c>
      <c r="S134" s="81">
        <f>VLOOKUP(A:A,'staff sales'!C:AO,39,)</f>
        <v>4</v>
      </c>
      <c r="T134" s="81">
        <f>VLOOKUP(A:A,'staff sales'!C:AR,42,)</f>
        <v>1</v>
      </c>
      <c r="U134" s="81">
        <f>VLOOKUP(A:A,'staff sales'!C:AU,45,)</f>
        <v>1</v>
      </c>
      <c r="V134" s="81">
        <f>VLOOKUP(A:A,'staff sales'!C:AX,48,)</f>
        <v>1</v>
      </c>
      <c r="W134" s="81">
        <f>VLOOKUP(A:A,'staff sales'!C:BA,51,)</f>
        <v>2</v>
      </c>
    </row>
    <row r="135" spans="1:23" x14ac:dyDescent="0.25">
      <c r="A135" s="27">
        <v>1061115562</v>
      </c>
      <c r="B135" s="12" t="s">
        <v>703</v>
      </c>
      <c r="C135" s="14" t="s">
        <v>546</v>
      </c>
      <c r="D135" s="14" t="s">
        <v>546</v>
      </c>
      <c r="E135" s="14" t="s">
        <v>218</v>
      </c>
      <c r="F135" s="14" t="s">
        <v>218</v>
      </c>
      <c r="G135" s="14" t="s">
        <v>1218</v>
      </c>
      <c r="H135" s="14" t="s">
        <v>112</v>
      </c>
      <c r="I135" s="10" t="s">
        <v>698</v>
      </c>
      <c r="J135" s="10">
        <v>43004</v>
      </c>
      <c r="K135" s="80">
        <f>VLOOKUP(A:A,'staff sales'!C:Q,15,)</f>
        <v>48740.020000000004</v>
      </c>
      <c r="L135" s="81">
        <f>VLOOKUP(A:A,'staff sales'!C:T,18,)</f>
        <v>5825.22</v>
      </c>
      <c r="M135" s="81">
        <f>VLOOKUP(A:A,'staff sales'!C:W,21,)</f>
        <v>3931.3</v>
      </c>
      <c r="N135" s="81">
        <f>VLOOKUP(A:A,'staff sales'!C:Z,24,)</f>
        <v>0</v>
      </c>
      <c r="O135" s="81">
        <f>VLOOKUP(A:A,'staff sales'!C:AC,27,)</f>
        <v>6</v>
      </c>
      <c r="P135" s="81">
        <f>VLOOKUP(A:A,'staff sales'!C:AF,30,)</f>
        <v>0</v>
      </c>
      <c r="Q135" s="81">
        <f>VLOOKUP(A:A,'staff sales'!C:AI,33,)</f>
        <v>71</v>
      </c>
      <c r="R135" s="81">
        <f>VLOOKUP(A:A,'staff sales'!C:AL,36,)</f>
        <v>0</v>
      </c>
      <c r="S135" s="81">
        <f>VLOOKUP(A:A,'staff sales'!C:AO,39,)</f>
        <v>2</v>
      </c>
      <c r="T135" s="81">
        <f>VLOOKUP(A:A,'staff sales'!C:AR,42,)</f>
        <v>0</v>
      </c>
      <c r="U135" s="81">
        <f>VLOOKUP(A:A,'staff sales'!C:AU,45,)</f>
        <v>0</v>
      </c>
      <c r="V135" s="81">
        <f>VLOOKUP(A:A,'staff sales'!C:AX,48,)</f>
        <v>0</v>
      </c>
      <c r="W135" s="81">
        <f>VLOOKUP(A:A,'staff sales'!C:BA,51,)</f>
        <v>2</v>
      </c>
    </row>
    <row r="136" spans="1:23" x14ac:dyDescent="0.25">
      <c r="A136" s="27">
        <v>1099165514</v>
      </c>
      <c r="B136" s="8" t="s">
        <v>704</v>
      </c>
      <c r="C136" s="10" t="s">
        <v>546</v>
      </c>
      <c r="D136" s="10" t="s">
        <v>546</v>
      </c>
      <c r="E136" s="10" t="s">
        <v>490</v>
      </c>
      <c r="F136" s="10" t="s">
        <v>491</v>
      </c>
      <c r="G136" s="10" t="s">
        <v>1218</v>
      </c>
      <c r="H136" s="10" t="s">
        <v>112</v>
      </c>
      <c r="I136" s="10" t="s">
        <v>698</v>
      </c>
      <c r="J136" s="10">
        <v>43004</v>
      </c>
      <c r="K136" s="80">
        <f>VLOOKUP(A:A,'staff sales'!C:Q,15,)</f>
        <v>39094.81</v>
      </c>
      <c r="L136" s="81">
        <f>VLOOKUP(A:A,'staff sales'!C:T,18,)</f>
        <v>630.4</v>
      </c>
      <c r="M136" s="81">
        <f>VLOOKUP(A:A,'staff sales'!C:W,21,)</f>
        <v>3876.95</v>
      </c>
      <c r="N136" s="81">
        <f>VLOOKUP(A:A,'staff sales'!C:Z,24,)</f>
        <v>0</v>
      </c>
      <c r="O136" s="81">
        <f>VLOOKUP(A:A,'staff sales'!C:AC,27,)</f>
        <v>4</v>
      </c>
      <c r="P136" s="81">
        <f>VLOOKUP(A:A,'staff sales'!C:AF,30,)</f>
        <v>0</v>
      </c>
      <c r="Q136" s="81">
        <f>VLOOKUP(A:A,'staff sales'!C:AI,33,)</f>
        <v>49</v>
      </c>
      <c r="R136" s="81">
        <f>VLOOKUP(A:A,'staff sales'!C:AL,36,)</f>
        <v>0</v>
      </c>
      <c r="S136" s="81">
        <f>VLOOKUP(A:A,'staff sales'!C:AO,39,)</f>
        <v>0</v>
      </c>
      <c r="T136" s="81">
        <f>VLOOKUP(A:A,'staff sales'!C:AR,42,)</f>
        <v>1</v>
      </c>
      <c r="U136" s="81">
        <f>VLOOKUP(A:A,'staff sales'!C:AU,45,)</f>
        <v>0</v>
      </c>
      <c r="V136" s="81">
        <f>VLOOKUP(A:A,'staff sales'!C:AX,48,)</f>
        <v>0</v>
      </c>
      <c r="W136" s="81">
        <f>VLOOKUP(A:A,'staff sales'!C:BA,51,)</f>
        <v>1</v>
      </c>
    </row>
    <row r="137" spans="1:23" x14ac:dyDescent="0.25">
      <c r="A137" s="28">
        <v>1075262004</v>
      </c>
      <c r="B137" s="12" t="s">
        <v>705</v>
      </c>
      <c r="C137" s="14" t="s">
        <v>546</v>
      </c>
      <c r="D137" s="14" t="s">
        <v>546</v>
      </c>
      <c r="E137" s="14" t="s">
        <v>385</v>
      </c>
      <c r="F137" s="14" t="s">
        <v>385</v>
      </c>
      <c r="G137" s="14" t="s">
        <v>1218</v>
      </c>
      <c r="H137" s="14" t="s">
        <v>112</v>
      </c>
      <c r="I137" s="14" t="s">
        <v>698</v>
      </c>
      <c r="J137" s="14">
        <v>43004</v>
      </c>
      <c r="K137" s="80">
        <f>VLOOKUP(A:A,'staff sales'!C:Q,15,)</f>
        <v>78583.509999999995</v>
      </c>
      <c r="L137" s="81">
        <f>VLOOKUP(A:A,'staff sales'!C:T,18,)</f>
        <v>1216.52</v>
      </c>
      <c r="M137" s="81">
        <f>VLOOKUP(A:A,'staff sales'!C:W,21,)</f>
        <v>10149.029999999999</v>
      </c>
      <c r="N137" s="81">
        <f>VLOOKUP(A:A,'staff sales'!C:Z,24,)</f>
        <v>0</v>
      </c>
      <c r="O137" s="81">
        <f>VLOOKUP(A:A,'staff sales'!C:AC,27,)</f>
        <v>9</v>
      </c>
      <c r="P137" s="81">
        <f>VLOOKUP(A:A,'staff sales'!C:AF,30,)</f>
        <v>1</v>
      </c>
      <c r="Q137" s="81">
        <f>VLOOKUP(A:A,'staff sales'!C:AI,33,)</f>
        <v>91</v>
      </c>
      <c r="R137" s="81">
        <f>VLOOKUP(A:A,'staff sales'!C:AL,36,)</f>
        <v>1</v>
      </c>
      <c r="S137" s="81">
        <f>VLOOKUP(A:A,'staff sales'!C:AO,39,)</f>
        <v>3</v>
      </c>
      <c r="T137" s="81">
        <f>VLOOKUP(A:A,'staff sales'!C:AR,42,)</f>
        <v>3</v>
      </c>
      <c r="U137" s="81">
        <f>VLOOKUP(A:A,'staff sales'!C:AU,45,)</f>
        <v>0</v>
      </c>
      <c r="V137" s="81">
        <f>VLOOKUP(A:A,'staff sales'!C:AX,48,)</f>
        <v>0</v>
      </c>
      <c r="W137" s="81">
        <f>VLOOKUP(A:A,'staff sales'!C:BA,51,)</f>
        <v>0</v>
      </c>
    </row>
    <row r="138" spans="1:23" x14ac:dyDescent="0.25">
      <c r="A138" s="28">
        <v>2012891798</v>
      </c>
      <c r="B138" s="8" t="s">
        <v>706</v>
      </c>
      <c r="C138" s="10" t="s">
        <v>541</v>
      </c>
      <c r="D138" s="10" t="s">
        <v>541</v>
      </c>
      <c r="E138" s="10" t="s">
        <v>199</v>
      </c>
      <c r="F138" s="10" t="s">
        <v>200</v>
      </c>
      <c r="G138" s="10" t="s">
        <v>1218</v>
      </c>
      <c r="H138" s="10" t="s">
        <v>112</v>
      </c>
      <c r="I138" s="14" t="s">
        <v>482</v>
      </c>
      <c r="J138" s="14">
        <v>13013</v>
      </c>
      <c r="K138" s="80">
        <f>VLOOKUP(A:A,'staff sales'!C:Q,15,)</f>
        <v>0</v>
      </c>
      <c r="L138" s="81">
        <f>VLOOKUP(A:A,'staff sales'!C:T,18,)</f>
        <v>0</v>
      </c>
      <c r="M138" s="81">
        <f>VLOOKUP(A:A,'staff sales'!C:W,21,)</f>
        <v>0</v>
      </c>
      <c r="N138" s="81">
        <f>VLOOKUP(A:A,'staff sales'!C:Z,24,)</f>
        <v>0</v>
      </c>
      <c r="O138" s="81">
        <f>VLOOKUP(A:A,'staff sales'!C:AC,27,)</f>
        <v>0</v>
      </c>
      <c r="P138" s="81">
        <f>VLOOKUP(A:A,'staff sales'!C:AF,30,)</f>
        <v>0</v>
      </c>
      <c r="Q138" s="81">
        <f>VLOOKUP(A:A,'staff sales'!C:AI,33,)</f>
        <v>0</v>
      </c>
      <c r="R138" s="81">
        <f>VLOOKUP(A:A,'staff sales'!C:AL,36,)</f>
        <v>0</v>
      </c>
      <c r="S138" s="81">
        <f>VLOOKUP(A:A,'staff sales'!C:AO,39,)</f>
        <v>0</v>
      </c>
      <c r="T138" s="81">
        <f>VLOOKUP(A:A,'staff sales'!C:AR,42,)</f>
        <v>0</v>
      </c>
      <c r="U138" s="81">
        <f>VLOOKUP(A:A,'staff sales'!C:AU,45,)</f>
        <v>0</v>
      </c>
      <c r="V138" s="81">
        <f>VLOOKUP(A:A,'staff sales'!C:AX,48,)</f>
        <v>0</v>
      </c>
      <c r="W138" s="81">
        <f>VLOOKUP(A:A,'staff sales'!C:BA,51,)</f>
        <v>0</v>
      </c>
    </row>
    <row r="139" spans="1:23" x14ac:dyDescent="0.25">
      <c r="A139" s="27">
        <v>1064203035</v>
      </c>
      <c r="B139" s="8" t="s">
        <v>707</v>
      </c>
      <c r="C139" s="10" t="s">
        <v>544</v>
      </c>
      <c r="D139" s="10" t="s">
        <v>544</v>
      </c>
      <c r="E139" s="10" t="s">
        <v>216</v>
      </c>
      <c r="F139" s="10" t="s">
        <v>217</v>
      </c>
      <c r="G139" s="10" t="s">
        <v>1218</v>
      </c>
      <c r="H139" s="10" t="s">
        <v>112</v>
      </c>
      <c r="I139" s="10" t="s">
        <v>482</v>
      </c>
      <c r="J139" s="10">
        <v>13013</v>
      </c>
      <c r="K139" s="80">
        <f>VLOOKUP(A:A,'staff sales'!C:Q,15,)</f>
        <v>0</v>
      </c>
      <c r="L139" s="81">
        <f>VLOOKUP(A:A,'staff sales'!C:T,18,)</f>
        <v>0</v>
      </c>
      <c r="M139" s="81">
        <f>VLOOKUP(A:A,'staff sales'!C:W,21,)</f>
        <v>0</v>
      </c>
      <c r="N139" s="81">
        <f>VLOOKUP(A:A,'staff sales'!C:Z,24,)</f>
        <v>0</v>
      </c>
      <c r="O139" s="81">
        <f>VLOOKUP(A:A,'staff sales'!C:AC,27,)</f>
        <v>0</v>
      </c>
      <c r="P139" s="81">
        <f>VLOOKUP(A:A,'staff sales'!C:AF,30,)</f>
        <v>0</v>
      </c>
      <c r="Q139" s="81">
        <f>VLOOKUP(A:A,'staff sales'!C:AI,33,)</f>
        <v>3</v>
      </c>
      <c r="R139" s="81">
        <f>VLOOKUP(A:A,'staff sales'!C:AL,36,)</f>
        <v>0</v>
      </c>
      <c r="S139" s="81">
        <f>VLOOKUP(A:A,'staff sales'!C:AO,39,)</f>
        <v>0</v>
      </c>
      <c r="T139" s="81">
        <f>VLOOKUP(A:A,'staff sales'!C:AR,42,)</f>
        <v>0</v>
      </c>
      <c r="U139" s="81">
        <f>VLOOKUP(A:A,'staff sales'!C:AU,45,)</f>
        <v>0</v>
      </c>
      <c r="V139" s="81">
        <f>VLOOKUP(A:A,'staff sales'!C:AX,48,)</f>
        <v>0</v>
      </c>
      <c r="W139" s="81">
        <f>VLOOKUP(A:A,'staff sales'!C:BA,51,)</f>
        <v>0</v>
      </c>
    </row>
    <row r="140" spans="1:23" x14ac:dyDescent="0.25">
      <c r="A140" s="28">
        <v>1088354160</v>
      </c>
      <c r="B140" s="12" t="s">
        <v>708</v>
      </c>
      <c r="C140" s="14" t="s">
        <v>546</v>
      </c>
      <c r="D140" s="14" t="s">
        <v>546</v>
      </c>
      <c r="E140" s="14" t="s">
        <v>219</v>
      </c>
      <c r="F140" s="14" t="s">
        <v>219</v>
      </c>
      <c r="G140" s="14" t="s">
        <v>1218</v>
      </c>
      <c r="H140" s="14" t="s">
        <v>112</v>
      </c>
      <c r="I140" s="14" t="s">
        <v>482</v>
      </c>
      <c r="J140" s="14">
        <v>13013</v>
      </c>
      <c r="K140" s="80">
        <f>VLOOKUP(A:A,'staff sales'!C:Q,15,)</f>
        <v>40863.5</v>
      </c>
      <c r="L140" s="81">
        <f>VLOOKUP(A:A,'staff sales'!C:T,18,)</f>
        <v>0</v>
      </c>
      <c r="M140" s="81">
        <f>VLOOKUP(A:A,'staff sales'!C:W,21,)</f>
        <v>8403.0400000000009</v>
      </c>
      <c r="N140" s="81">
        <f>VLOOKUP(A:A,'staff sales'!C:Z,24,)</f>
        <v>0</v>
      </c>
      <c r="O140" s="81">
        <f>VLOOKUP(A:A,'staff sales'!C:AC,27,)</f>
        <v>7</v>
      </c>
      <c r="P140" s="81">
        <f>VLOOKUP(A:A,'staff sales'!C:AF,30,)</f>
        <v>1</v>
      </c>
      <c r="Q140" s="81">
        <f>VLOOKUP(A:A,'staff sales'!C:AI,33,)</f>
        <v>42</v>
      </c>
      <c r="R140" s="81">
        <f>VLOOKUP(A:A,'staff sales'!C:AL,36,)</f>
        <v>1</v>
      </c>
      <c r="S140" s="81">
        <f>VLOOKUP(A:A,'staff sales'!C:AO,39,)</f>
        <v>0</v>
      </c>
      <c r="T140" s="81">
        <f>VLOOKUP(A:A,'staff sales'!C:AR,42,)</f>
        <v>1</v>
      </c>
      <c r="U140" s="81">
        <f>VLOOKUP(A:A,'staff sales'!C:AU,45,)</f>
        <v>1</v>
      </c>
      <c r="V140" s="81">
        <f>VLOOKUP(A:A,'staff sales'!C:AX,48,)</f>
        <v>0</v>
      </c>
      <c r="W140" s="81">
        <f>VLOOKUP(A:A,'staff sales'!C:BA,51,)</f>
        <v>1</v>
      </c>
    </row>
    <row r="141" spans="1:23" x14ac:dyDescent="0.25">
      <c r="A141" s="27">
        <v>1006275190</v>
      </c>
      <c r="B141" s="8" t="s">
        <v>709</v>
      </c>
      <c r="C141" s="10" t="s">
        <v>546</v>
      </c>
      <c r="D141" s="10" t="s">
        <v>546</v>
      </c>
      <c r="E141" s="10" t="s">
        <v>205</v>
      </c>
      <c r="F141" s="10" t="s">
        <v>205</v>
      </c>
      <c r="G141" s="10" t="s">
        <v>1218</v>
      </c>
      <c r="H141" s="10" t="s">
        <v>112</v>
      </c>
      <c r="I141" s="10" t="s">
        <v>482</v>
      </c>
      <c r="J141" s="10">
        <v>13013</v>
      </c>
      <c r="K141" s="80">
        <f>VLOOKUP(A:A,'staff sales'!C:Q,15,)</f>
        <v>29999.14</v>
      </c>
      <c r="L141" s="81">
        <f>VLOOKUP(A:A,'staff sales'!C:T,18,)</f>
        <v>0</v>
      </c>
      <c r="M141" s="81">
        <f>VLOOKUP(A:A,'staff sales'!C:W,21,)</f>
        <v>11013.49</v>
      </c>
      <c r="N141" s="81">
        <f>VLOOKUP(A:A,'staff sales'!C:Z,24,)</f>
        <v>0</v>
      </c>
      <c r="O141" s="81">
        <f>VLOOKUP(A:A,'staff sales'!C:AC,27,)</f>
        <v>3</v>
      </c>
      <c r="P141" s="81">
        <f>VLOOKUP(A:A,'staff sales'!C:AF,30,)</f>
        <v>0</v>
      </c>
      <c r="Q141" s="81">
        <f>VLOOKUP(A:A,'staff sales'!C:AI,33,)</f>
        <v>25</v>
      </c>
      <c r="R141" s="81">
        <f>VLOOKUP(A:A,'staff sales'!C:AL,36,)</f>
        <v>1</v>
      </c>
      <c r="S141" s="81">
        <f>VLOOKUP(A:A,'staff sales'!C:AO,39,)</f>
        <v>0</v>
      </c>
      <c r="T141" s="81">
        <f>VLOOKUP(A:A,'staff sales'!C:AR,42,)</f>
        <v>3</v>
      </c>
      <c r="U141" s="81">
        <f>VLOOKUP(A:A,'staff sales'!C:AU,45,)</f>
        <v>16</v>
      </c>
      <c r="V141" s="81">
        <f>VLOOKUP(A:A,'staff sales'!C:AX,48,)</f>
        <v>0</v>
      </c>
      <c r="W141" s="81">
        <f>VLOOKUP(A:A,'staff sales'!C:BA,51,)</f>
        <v>1</v>
      </c>
    </row>
    <row r="142" spans="1:23" x14ac:dyDescent="0.25">
      <c r="A142" s="28">
        <v>1045376108</v>
      </c>
      <c r="B142" s="12" t="s">
        <v>711</v>
      </c>
      <c r="C142" s="14" t="s">
        <v>546</v>
      </c>
      <c r="D142" s="14" t="s">
        <v>546</v>
      </c>
      <c r="E142" s="14" t="s">
        <v>202</v>
      </c>
      <c r="F142" s="14" t="s">
        <v>203</v>
      </c>
      <c r="G142" s="14" t="s">
        <v>1218</v>
      </c>
      <c r="H142" s="14" t="s">
        <v>112</v>
      </c>
      <c r="I142" s="14" t="s">
        <v>482</v>
      </c>
      <c r="J142" s="14">
        <v>13013</v>
      </c>
      <c r="K142" s="80">
        <f>VLOOKUP(A:A,'staff sales'!C:Q,15,)</f>
        <v>61933.06</v>
      </c>
      <c r="L142" s="81">
        <f>VLOOKUP(A:A,'staff sales'!C:T,18,)</f>
        <v>0</v>
      </c>
      <c r="M142" s="81">
        <f>VLOOKUP(A:A,'staff sales'!C:W,21,)</f>
        <v>12406.97</v>
      </c>
      <c r="N142" s="81">
        <f>VLOOKUP(A:A,'staff sales'!C:Z,24,)</f>
        <v>0</v>
      </c>
      <c r="O142" s="81">
        <f>VLOOKUP(A:A,'staff sales'!C:AC,27,)</f>
        <v>4</v>
      </c>
      <c r="P142" s="81">
        <f>VLOOKUP(A:A,'staff sales'!C:AF,30,)</f>
        <v>0</v>
      </c>
      <c r="Q142" s="81">
        <f>VLOOKUP(A:A,'staff sales'!C:AI,33,)</f>
        <v>23</v>
      </c>
      <c r="R142" s="81">
        <f>VLOOKUP(A:A,'staff sales'!C:AL,36,)</f>
        <v>5</v>
      </c>
      <c r="S142" s="81">
        <f>VLOOKUP(A:A,'staff sales'!C:AO,39,)</f>
        <v>1</v>
      </c>
      <c r="T142" s="81">
        <f>VLOOKUP(A:A,'staff sales'!C:AR,42,)</f>
        <v>4</v>
      </c>
      <c r="U142" s="81">
        <f>VLOOKUP(A:A,'staff sales'!C:AU,45,)</f>
        <v>1</v>
      </c>
      <c r="V142" s="81">
        <f>VLOOKUP(A:A,'staff sales'!C:AX,48,)</f>
        <v>0</v>
      </c>
      <c r="W142" s="81">
        <f>VLOOKUP(A:A,'staff sales'!C:BA,51,)</f>
        <v>3</v>
      </c>
    </row>
    <row r="143" spans="1:23" x14ac:dyDescent="0.25">
      <c r="A143" s="27">
        <v>1041407568</v>
      </c>
      <c r="B143" s="8" t="s">
        <v>712</v>
      </c>
      <c r="C143" s="10" t="s">
        <v>546</v>
      </c>
      <c r="D143" s="10" t="s">
        <v>546</v>
      </c>
      <c r="E143" s="10" t="s">
        <v>386</v>
      </c>
      <c r="F143" s="10" t="s">
        <v>386</v>
      </c>
      <c r="G143" s="10" t="s">
        <v>1218</v>
      </c>
      <c r="H143" s="10" t="s">
        <v>112</v>
      </c>
      <c r="I143" s="10" t="s">
        <v>482</v>
      </c>
      <c r="J143" s="10">
        <v>13013</v>
      </c>
      <c r="K143" s="80">
        <f>VLOOKUP(A:A,'staff sales'!C:Q,15,)</f>
        <v>33621.75</v>
      </c>
      <c r="L143" s="81">
        <f>VLOOKUP(A:A,'staff sales'!C:T,18,)</f>
        <v>3847.83</v>
      </c>
      <c r="M143" s="81">
        <f>VLOOKUP(A:A,'staff sales'!C:W,21,)</f>
        <v>6479.12</v>
      </c>
      <c r="N143" s="81">
        <f>VLOOKUP(A:A,'staff sales'!C:Z,24,)</f>
        <v>0</v>
      </c>
      <c r="O143" s="81">
        <f>VLOOKUP(A:A,'staff sales'!C:AC,27,)</f>
        <v>4</v>
      </c>
      <c r="P143" s="81">
        <f>VLOOKUP(A:A,'staff sales'!C:AF,30,)</f>
        <v>0</v>
      </c>
      <c r="Q143" s="81">
        <f>VLOOKUP(A:A,'staff sales'!C:AI,33,)</f>
        <v>15</v>
      </c>
      <c r="R143" s="81">
        <f>VLOOKUP(A:A,'staff sales'!C:AL,36,)</f>
        <v>1</v>
      </c>
      <c r="S143" s="81">
        <f>VLOOKUP(A:A,'staff sales'!C:AO,39,)</f>
        <v>2</v>
      </c>
      <c r="T143" s="81">
        <f>VLOOKUP(A:A,'staff sales'!C:AR,42,)</f>
        <v>2</v>
      </c>
      <c r="U143" s="81">
        <f>VLOOKUP(A:A,'staff sales'!C:AU,45,)</f>
        <v>1</v>
      </c>
      <c r="V143" s="81">
        <f>VLOOKUP(A:A,'staff sales'!C:AX,48,)</f>
        <v>0</v>
      </c>
      <c r="W143" s="81">
        <f>VLOOKUP(A:A,'staff sales'!C:BA,51,)</f>
        <v>5</v>
      </c>
    </row>
    <row r="144" spans="1:23" x14ac:dyDescent="0.25">
      <c r="A144" s="28">
        <v>1096582471</v>
      </c>
      <c r="B144" s="12" t="s">
        <v>730</v>
      </c>
      <c r="C144" s="14" t="s">
        <v>546</v>
      </c>
      <c r="D144" s="14" t="s">
        <v>546</v>
      </c>
      <c r="E144" s="14" t="s">
        <v>215</v>
      </c>
      <c r="F144" s="14" t="s">
        <v>215</v>
      </c>
      <c r="G144" s="14" t="s">
        <v>1218</v>
      </c>
      <c r="H144" s="14" t="s">
        <v>112</v>
      </c>
      <c r="I144" s="14" t="s">
        <v>482</v>
      </c>
      <c r="J144" s="14">
        <v>13013</v>
      </c>
      <c r="K144" s="80">
        <f>VLOOKUP(A:A,'staff sales'!C:Q,15,)</f>
        <v>90426.99000000002</v>
      </c>
      <c r="L144" s="81">
        <f>VLOOKUP(A:A,'staff sales'!C:T,18,)</f>
        <v>3216.52</v>
      </c>
      <c r="M144" s="81">
        <f>VLOOKUP(A:A,'staff sales'!C:W,21,)</f>
        <v>18552.559999999998</v>
      </c>
      <c r="N144" s="81">
        <f>VLOOKUP(A:A,'staff sales'!C:Z,24,)</f>
        <v>0</v>
      </c>
      <c r="O144" s="81">
        <f>VLOOKUP(A:A,'staff sales'!C:AC,27,)</f>
        <v>8</v>
      </c>
      <c r="P144" s="81">
        <f>VLOOKUP(A:A,'staff sales'!C:AF,30,)</f>
        <v>2</v>
      </c>
      <c r="Q144" s="81">
        <f>VLOOKUP(A:A,'staff sales'!C:AI,33,)</f>
        <v>44</v>
      </c>
      <c r="R144" s="81">
        <f>VLOOKUP(A:A,'staff sales'!C:AL,36,)</f>
        <v>1</v>
      </c>
      <c r="S144" s="81">
        <f>VLOOKUP(A:A,'staff sales'!C:AO,39,)</f>
        <v>1</v>
      </c>
      <c r="T144" s="81">
        <f>VLOOKUP(A:A,'staff sales'!C:AR,42,)</f>
        <v>5</v>
      </c>
      <c r="U144" s="81">
        <f>VLOOKUP(A:A,'staff sales'!C:AU,45,)</f>
        <v>3</v>
      </c>
      <c r="V144" s="81">
        <f>VLOOKUP(A:A,'staff sales'!C:AX,48,)</f>
        <v>0</v>
      </c>
      <c r="W144" s="81">
        <f>VLOOKUP(A:A,'staff sales'!C:BA,51,)</f>
        <v>2</v>
      </c>
    </row>
    <row r="145" spans="1:23" x14ac:dyDescent="0.25">
      <c r="A145" s="27">
        <v>1014232787</v>
      </c>
      <c r="B145" s="8" t="s">
        <v>729</v>
      </c>
      <c r="C145" s="10" t="s">
        <v>546</v>
      </c>
      <c r="D145" s="10" t="s">
        <v>546</v>
      </c>
      <c r="E145" s="10" t="s">
        <v>209</v>
      </c>
      <c r="F145" s="10" t="s">
        <v>210</v>
      </c>
      <c r="G145" s="10" t="s">
        <v>1218</v>
      </c>
      <c r="H145" s="10" t="s">
        <v>112</v>
      </c>
      <c r="I145" s="10" t="s">
        <v>482</v>
      </c>
      <c r="J145" s="10">
        <v>13013</v>
      </c>
      <c r="K145" s="80">
        <f>VLOOKUP(A:A,'staff sales'!C:Q,15,)</f>
        <v>35075.65</v>
      </c>
      <c r="L145" s="81">
        <f>VLOOKUP(A:A,'staff sales'!C:T,18,)</f>
        <v>0</v>
      </c>
      <c r="M145" s="81">
        <f>VLOOKUP(A:A,'staff sales'!C:W,21,)</f>
        <v>8924.3700000000008</v>
      </c>
      <c r="N145" s="81">
        <f>VLOOKUP(A:A,'staff sales'!C:Z,24,)</f>
        <v>130</v>
      </c>
      <c r="O145" s="81">
        <f>VLOOKUP(A:A,'staff sales'!C:AC,27,)</f>
        <v>6</v>
      </c>
      <c r="P145" s="81">
        <f>VLOOKUP(A:A,'staff sales'!C:AF,30,)</f>
        <v>2</v>
      </c>
      <c r="Q145" s="81">
        <f>VLOOKUP(A:A,'staff sales'!C:AI,33,)</f>
        <v>29</v>
      </c>
      <c r="R145" s="81">
        <f>VLOOKUP(A:A,'staff sales'!C:AL,36,)</f>
        <v>3</v>
      </c>
      <c r="S145" s="81">
        <f>VLOOKUP(A:A,'staff sales'!C:AO,39,)</f>
        <v>1</v>
      </c>
      <c r="T145" s="81">
        <f>VLOOKUP(A:A,'staff sales'!C:AR,42,)</f>
        <v>0</v>
      </c>
      <c r="U145" s="81">
        <f>VLOOKUP(A:A,'staff sales'!C:AU,45,)</f>
        <v>3</v>
      </c>
      <c r="V145" s="81">
        <f>VLOOKUP(A:A,'staff sales'!C:AX,48,)</f>
        <v>0</v>
      </c>
      <c r="W145" s="81">
        <f>VLOOKUP(A:A,'staff sales'!C:BA,51,)</f>
        <v>0</v>
      </c>
    </row>
    <row r="146" spans="1:23" x14ac:dyDescent="0.25">
      <c r="A146" s="28">
        <v>1024518704</v>
      </c>
      <c r="B146" s="12" t="s">
        <v>590</v>
      </c>
      <c r="C146" s="14" t="s">
        <v>541</v>
      </c>
      <c r="D146" s="14" t="s">
        <v>541</v>
      </c>
      <c r="E146" s="14" t="s">
        <v>247</v>
      </c>
      <c r="F146" s="14" t="s">
        <v>247</v>
      </c>
      <c r="G146" s="14" t="s">
        <v>1218</v>
      </c>
      <c r="H146" s="14" t="s">
        <v>112</v>
      </c>
      <c r="I146" s="14" t="s">
        <v>714</v>
      </c>
      <c r="J146" s="14">
        <v>13015</v>
      </c>
      <c r="K146" s="80">
        <f>VLOOKUP(A:A,'staff sales'!C:Q,15,)</f>
        <v>0</v>
      </c>
      <c r="L146" s="81">
        <f>VLOOKUP(A:A,'staff sales'!C:T,18,)</f>
        <v>0</v>
      </c>
      <c r="M146" s="81">
        <f>VLOOKUP(A:A,'staff sales'!C:W,21,)</f>
        <v>0</v>
      </c>
      <c r="N146" s="81">
        <f>VLOOKUP(A:A,'staff sales'!C:Z,24,)</f>
        <v>0</v>
      </c>
      <c r="O146" s="81">
        <f>VLOOKUP(A:A,'staff sales'!C:AC,27,)</f>
        <v>1</v>
      </c>
      <c r="P146" s="81">
        <f>VLOOKUP(A:A,'staff sales'!C:AF,30,)</f>
        <v>0</v>
      </c>
      <c r="Q146" s="81">
        <f>VLOOKUP(A:A,'staff sales'!C:AI,33,)</f>
        <v>0</v>
      </c>
      <c r="R146" s="81">
        <f>VLOOKUP(A:A,'staff sales'!C:AL,36,)</f>
        <v>0</v>
      </c>
      <c r="S146" s="81">
        <f>VLOOKUP(A:A,'staff sales'!C:AO,39,)</f>
        <v>0</v>
      </c>
      <c r="T146" s="81">
        <f>VLOOKUP(A:A,'staff sales'!C:AR,42,)</f>
        <v>0</v>
      </c>
      <c r="U146" s="81">
        <f>VLOOKUP(A:A,'staff sales'!C:AU,45,)</f>
        <v>0</v>
      </c>
      <c r="V146" s="81">
        <f>VLOOKUP(A:A,'staff sales'!C:AX,48,)</f>
        <v>0</v>
      </c>
      <c r="W146" s="81">
        <f>VLOOKUP(A:A,'staff sales'!C:BA,51,)</f>
        <v>0</v>
      </c>
    </row>
    <row r="147" spans="1:23" x14ac:dyDescent="0.25">
      <c r="A147" s="27">
        <v>1003129549</v>
      </c>
      <c r="B147" s="12" t="s">
        <v>637</v>
      </c>
      <c r="C147" s="14" t="s">
        <v>544</v>
      </c>
      <c r="D147" s="14" t="s">
        <v>544</v>
      </c>
      <c r="E147" s="14" t="s">
        <v>125</v>
      </c>
      <c r="F147" s="14" t="s">
        <v>125</v>
      </c>
      <c r="G147" s="14" t="s">
        <v>1218</v>
      </c>
      <c r="H147" s="14" t="s">
        <v>112</v>
      </c>
      <c r="I147" s="10" t="s">
        <v>714</v>
      </c>
      <c r="J147" s="10">
        <v>13015</v>
      </c>
      <c r="K147" s="80">
        <f>VLOOKUP(A:A,'staff sales'!C:Q,15,)</f>
        <v>0</v>
      </c>
      <c r="L147" s="81">
        <f>VLOOKUP(A:A,'staff sales'!C:T,18,)</f>
        <v>0</v>
      </c>
      <c r="M147" s="81">
        <f>VLOOKUP(A:A,'staff sales'!C:W,21,)</f>
        <v>0</v>
      </c>
      <c r="N147" s="81">
        <f>VLOOKUP(A:A,'staff sales'!C:Z,24,)</f>
        <v>0</v>
      </c>
      <c r="O147" s="81">
        <f>VLOOKUP(A:A,'staff sales'!C:AC,27,)</f>
        <v>0</v>
      </c>
      <c r="P147" s="81">
        <f>VLOOKUP(A:A,'staff sales'!C:AF,30,)</f>
        <v>0</v>
      </c>
      <c r="Q147" s="81">
        <f>VLOOKUP(A:A,'staff sales'!C:AI,33,)</f>
        <v>0</v>
      </c>
      <c r="R147" s="81">
        <f>VLOOKUP(A:A,'staff sales'!C:AL,36,)</f>
        <v>0</v>
      </c>
      <c r="S147" s="81">
        <f>VLOOKUP(A:A,'staff sales'!C:AO,39,)</f>
        <v>0</v>
      </c>
      <c r="T147" s="81">
        <f>VLOOKUP(A:A,'staff sales'!C:AR,42,)</f>
        <v>0</v>
      </c>
      <c r="U147" s="81">
        <f>VLOOKUP(A:A,'staff sales'!C:AU,45,)</f>
        <v>0</v>
      </c>
      <c r="V147" s="81">
        <f>VLOOKUP(A:A,'staff sales'!C:AX,48,)</f>
        <v>0</v>
      </c>
      <c r="W147" s="81">
        <f>VLOOKUP(A:A,'staff sales'!C:BA,51,)</f>
        <v>0</v>
      </c>
    </row>
    <row r="148" spans="1:23" x14ac:dyDescent="0.25">
      <c r="A148" s="28">
        <v>1091990729</v>
      </c>
      <c r="B148" s="8" t="s">
        <v>717</v>
      </c>
      <c r="C148" s="10" t="s">
        <v>546</v>
      </c>
      <c r="D148" s="10" t="s">
        <v>546</v>
      </c>
      <c r="E148" s="10" t="s">
        <v>387</v>
      </c>
      <c r="F148" s="10" t="s">
        <v>388</v>
      </c>
      <c r="G148" s="10" t="s">
        <v>1218</v>
      </c>
      <c r="H148" s="10" t="s">
        <v>112</v>
      </c>
      <c r="I148" s="14" t="s">
        <v>714</v>
      </c>
      <c r="J148" s="14">
        <v>13015</v>
      </c>
      <c r="K148" s="80">
        <f>VLOOKUP(A:A,'staff sales'!C:Q,15,)</f>
        <v>61486.97</v>
      </c>
      <c r="L148" s="81">
        <f>VLOOKUP(A:A,'staff sales'!C:T,18,)</f>
        <v>2260.87</v>
      </c>
      <c r="M148" s="81">
        <f>VLOOKUP(A:A,'staff sales'!C:W,21,)</f>
        <v>13398.4</v>
      </c>
      <c r="N148" s="81">
        <f>VLOOKUP(A:A,'staff sales'!C:Z,24,)</f>
        <v>530</v>
      </c>
      <c r="O148" s="81">
        <f>VLOOKUP(A:A,'staff sales'!C:AC,27,)</f>
        <v>6</v>
      </c>
      <c r="P148" s="81">
        <f>VLOOKUP(A:A,'staff sales'!C:AF,30,)</f>
        <v>3</v>
      </c>
      <c r="Q148" s="81">
        <f>VLOOKUP(A:A,'staff sales'!C:AI,33,)</f>
        <v>26</v>
      </c>
      <c r="R148" s="81">
        <f>VLOOKUP(A:A,'staff sales'!C:AL,36,)</f>
        <v>3</v>
      </c>
      <c r="S148" s="81">
        <f>VLOOKUP(A:A,'staff sales'!C:AO,39,)</f>
        <v>4</v>
      </c>
      <c r="T148" s="81">
        <f>VLOOKUP(A:A,'staff sales'!C:AR,42,)</f>
        <v>0</v>
      </c>
      <c r="U148" s="81">
        <f>VLOOKUP(A:A,'staff sales'!C:AU,45,)</f>
        <v>3</v>
      </c>
      <c r="V148" s="81">
        <f>VLOOKUP(A:A,'staff sales'!C:AX,48,)</f>
        <v>0</v>
      </c>
      <c r="W148" s="81">
        <f>VLOOKUP(A:A,'staff sales'!C:BA,51,)</f>
        <v>2</v>
      </c>
    </row>
    <row r="149" spans="1:23" x14ac:dyDescent="0.25">
      <c r="A149" s="28">
        <v>1010894671</v>
      </c>
      <c r="B149" s="12" t="s">
        <v>716</v>
      </c>
      <c r="C149" s="14" t="s">
        <v>546</v>
      </c>
      <c r="D149" s="14" t="s">
        <v>546</v>
      </c>
      <c r="E149" s="14" t="s">
        <v>310</v>
      </c>
      <c r="F149" s="14" t="s">
        <v>311</v>
      </c>
      <c r="G149" s="14" t="s">
        <v>1218</v>
      </c>
      <c r="H149" s="14" t="s">
        <v>112</v>
      </c>
      <c r="I149" s="14" t="s">
        <v>714</v>
      </c>
      <c r="J149" s="14">
        <v>13015</v>
      </c>
      <c r="K149" s="80">
        <f>VLOOKUP(A:A,'staff sales'!C:Q,15,)</f>
        <v>32308.7</v>
      </c>
      <c r="L149" s="81">
        <f>VLOOKUP(A:A,'staff sales'!C:T,18,)</f>
        <v>0</v>
      </c>
      <c r="M149" s="81">
        <f>VLOOKUP(A:A,'staff sales'!C:W,21,)</f>
        <v>2666.95</v>
      </c>
      <c r="N149" s="81">
        <f>VLOOKUP(A:A,'staff sales'!C:Z,24,)</f>
        <v>0</v>
      </c>
      <c r="O149" s="81">
        <f>VLOOKUP(A:A,'staff sales'!C:AC,27,)</f>
        <v>2</v>
      </c>
      <c r="P149" s="81">
        <f>VLOOKUP(A:A,'staff sales'!C:AF,30,)</f>
        <v>2</v>
      </c>
      <c r="Q149" s="81">
        <f>VLOOKUP(A:A,'staff sales'!C:AI,33,)</f>
        <v>35</v>
      </c>
      <c r="R149" s="81">
        <f>VLOOKUP(A:A,'staff sales'!C:AL,36,)</f>
        <v>1</v>
      </c>
      <c r="S149" s="81">
        <f>VLOOKUP(A:A,'staff sales'!C:AO,39,)</f>
        <v>1</v>
      </c>
      <c r="T149" s="81">
        <f>VLOOKUP(A:A,'staff sales'!C:AR,42,)</f>
        <v>0</v>
      </c>
      <c r="U149" s="81">
        <f>VLOOKUP(A:A,'staff sales'!C:AU,45,)</f>
        <v>0</v>
      </c>
      <c r="V149" s="81">
        <f>VLOOKUP(A:A,'staff sales'!C:AX,48,)</f>
        <v>0</v>
      </c>
      <c r="W149" s="81">
        <f>VLOOKUP(A:A,'staff sales'!C:BA,51,)</f>
        <v>0</v>
      </c>
    </row>
    <row r="150" spans="1:23" x14ac:dyDescent="0.25">
      <c r="A150" s="28">
        <v>1004533178</v>
      </c>
      <c r="B150" s="8" t="s">
        <v>718</v>
      </c>
      <c r="C150" s="10" t="s">
        <v>546</v>
      </c>
      <c r="D150" s="10" t="s">
        <v>546</v>
      </c>
      <c r="E150" s="10" t="s">
        <v>129</v>
      </c>
      <c r="F150" s="10" t="s">
        <v>129</v>
      </c>
      <c r="G150" s="10" t="s">
        <v>1218</v>
      </c>
      <c r="H150" s="10" t="s">
        <v>112</v>
      </c>
      <c r="I150" s="14" t="s">
        <v>714</v>
      </c>
      <c r="J150" s="14">
        <v>13015</v>
      </c>
      <c r="K150" s="80">
        <f>VLOOKUP(A:A,'staff sales'!C:Q,15,)</f>
        <v>66464.37</v>
      </c>
      <c r="L150" s="81">
        <f>VLOOKUP(A:A,'staff sales'!C:T,18,)</f>
        <v>0</v>
      </c>
      <c r="M150" s="81">
        <f>VLOOKUP(A:A,'staff sales'!C:W,21,)</f>
        <v>5153.47</v>
      </c>
      <c r="N150" s="81">
        <f>VLOOKUP(A:A,'staff sales'!C:Z,24,)</f>
        <v>80</v>
      </c>
      <c r="O150" s="81">
        <f>VLOOKUP(A:A,'staff sales'!C:AC,27,)</f>
        <v>5</v>
      </c>
      <c r="P150" s="81">
        <f>VLOOKUP(A:A,'staff sales'!C:AF,30,)</f>
        <v>0</v>
      </c>
      <c r="Q150" s="81">
        <f>VLOOKUP(A:A,'staff sales'!C:AI,33,)</f>
        <v>41</v>
      </c>
      <c r="R150" s="81">
        <f>VLOOKUP(A:A,'staff sales'!C:AL,36,)</f>
        <v>1</v>
      </c>
      <c r="S150" s="81">
        <f>VLOOKUP(A:A,'staff sales'!C:AO,39,)</f>
        <v>2</v>
      </c>
      <c r="T150" s="81">
        <f>VLOOKUP(A:A,'staff sales'!C:AR,42,)</f>
        <v>1</v>
      </c>
      <c r="U150" s="81">
        <f>VLOOKUP(A:A,'staff sales'!C:AU,45,)</f>
        <v>4</v>
      </c>
      <c r="V150" s="81">
        <f>VLOOKUP(A:A,'staff sales'!C:AX,48,)</f>
        <v>0</v>
      </c>
      <c r="W150" s="81">
        <f>VLOOKUP(A:A,'staff sales'!C:BA,51,)</f>
        <v>1</v>
      </c>
    </row>
    <row r="151" spans="1:23" x14ac:dyDescent="0.25">
      <c r="A151" s="28">
        <v>1051156162</v>
      </c>
      <c r="B151" s="8" t="s">
        <v>719</v>
      </c>
      <c r="C151" s="10" t="s">
        <v>546</v>
      </c>
      <c r="D151" s="10" t="s">
        <v>546</v>
      </c>
      <c r="E151" s="10" t="s">
        <v>126</v>
      </c>
      <c r="F151" s="10" t="s">
        <v>126</v>
      </c>
      <c r="G151" s="10" t="s">
        <v>1218</v>
      </c>
      <c r="H151" s="10" t="s">
        <v>112</v>
      </c>
      <c r="I151" s="14" t="s">
        <v>714</v>
      </c>
      <c r="J151" s="14">
        <v>13015</v>
      </c>
      <c r="K151" s="80">
        <f>VLOOKUP(A:A,'staff sales'!C:Q,15,)</f>
        <v>75709.58</v>
      </c>
      <c r="L151" s="81">
        <f>VLOOKUP(A:A,'staff sales'!C:T,18,)</f>
        <v>0</v>
      </c>
      <c r="M151" s="81">
        <f>VLOOKUP(A:A,'staff sales'!C:W,21,)</f>
        <v>15257.819999999998</v>
      </c>
      <c r="N151" s="81">
        <f>VLOOKUP(A:A,'staff sales'!C:Z,24,)</f>
        <v>0</v>
      </c>
      <c r="O151" s="81">
        <f>VLOOKUP(A:A,'staff sales'!C:AC,27,)</f>
        <v>4</v>
      </c>
      <c r="P151" s="81">
        <f>VLOOKUP(A:A,'staff sales'!C:AF,30,)</f>
        <v>0</v>
      </c>
      <c r="Q151" s="81">
        <f>VLOOKUP(A:A,'staff sales'!C:AI,33,)</f>
        <v>57</v>
      </c>
      <c r="R151" s="81">
        <f>VLOOKUP(A:A,'staff sales'!C:AL,36,)</f>
        <v>2</v>
      </c>
      <c r="S151" s="81">
        <f>VLOOKUP(A:A,'staff sales'!C:AO,39,)</f>
        <v>1</v>
      </c>
      <c r="T151" s="81">
        <f>VLOOKUP(A:A,'staff sales'!C:AR,42,)</f>
        <v>2</v>
      </c>
      <c r="U151" s="81">
        <f>VLOOKUP(A:A,'staff sales'!C:AU,45,)</f>
        <v>10</v>
      </c>
      <c r="V151" s="81">
        <f>VLOOKUP(A:A,'staff sales'!C:AX,48,)</f>
        <v>3</v>
      </c>
      <c r="W151" s="81">
        <f>VLOOKUP(A:A,'staff sales'!C:BA,51,)</f>
        <v>2</v>
      </c>
    </row>
    <row r="152" spans="1:23" x14ac:dyDescent="0.25">
      <c r="A152" s="28">
        <v>1061212906</v>
      </c>
      <c r="B152" s="12" t="s">
        <v>1192</v>
      </c>
      <c r="C152" s="14" t="s">
        <v>546</v>
      </c>
      <c r="D152" s="14" t="s">
        <v>546</v>
      </c>
      <c r="E152" s="14" t="s">
        <v>1193</v>
      </c>
      <c r="F152" s="14" t="s">
        <v>1193</v>
      </c>
      <c r="G152" s="14" t="s">
        <v>1218</v>
      </c>
      <c r="H152" s="14" t="s">
        <v>112</v>
      </c>
      <c r="I152" s="14" t="s">
        <v>714</v>
      </c>
      <c r="J152" s="14">
        <v>13015</v>
      </c>
      <c r="K152" s="80">
        <f>VLOOKUP(A:A,'staff sales'!C:Q,15,)</f>
        <v>21417.4</v>
      </c>
      <c r="L152" s="81">
        <f>VLOOKUP(A:A,'staff sales'!C:T,18,)</f>
        <v>0</v>
      </c>
      <c r="M152" s="81">
        <f>VLOOKUP(A:A,'staff sales'!C:W,21,)</f>
        <v>4613.47</v>
      </c>
      <c r="N152" s="81">
        <f>VLOOKUP(A:A,'staff sales'!C:Z,24,)</f>
        <v>0</v>
      </c>
      <c r="O152" s="81">
        <f>VLOOKUP(A:A,'staff sales'!C:AC,27,)</f>
        <v>12</v>
      </c>
      <c r="P152" s="81">
        <f>VLOOKUP(A:A,'staff sales'!C:AF,30,)</f>
        <v>3</v>
      </c>
      <c r="Q152" s="81">
        <f>VLOOKUP(A:A,'staff sales'!C:AI,33,)</f>
        <v>25</v>
      </c>
      <c r="R152" s="81">
        <f>VLOOKUP(A:A,'staff sales'!C:AL,36,)</f>
        <v>1</v>
      </c>
      <c r="S152" s="81">
        <f>VLOOKUP(A:A,'staff sales'!C:AO,39,)</f>
        <v>0</v>
      </c>
      <c r="T152" s="81">
        <f>VLOOKUP(A:A,'staff sales'!C:AR,42,)</f>
        <v>1</v>
      </c>
      <c r="U152" s="81">
        <f>VLOOKUP(A:A,'staff sales'!C:AU,45,)</f>
        <v>6</v>
      </c>
      <c r="V152" s="81">
        <f>VLOOKUP(A:A,'staff sales'!C:AX,48,)</f>
        <v>0</v>
      </c>
      <c r="W152" s="81">
        <f>VLOOKUP(A:A,'staff sales'!C:BA,51,)</f>
        <v>0</v>
      </c>
    </row>
    <row r="153" spans="1:23" x14ac:dyDescent="0.25">
      <c r="A153" s="28">
        <v>1052336151</v>
      </c>
      <c r="B153" s="8" t="s">
        <v>673</v>
      </c>
      <c r="C153" s="10" t="s">
        <v>544</v>
      </c>
      <c r="D153" s="10" t="s">
        <v>544</v>
      </c>
      <c r="E153" s="10" t="s">
        <v>391</v>
      </c>
      <c r="F153" s="10" t="s">
        <v>392</v>
      </c>
      <c r="G153" s="10" t="s">
        <v>1218</v>
      </c>
      <c r="H153" s="10" t="s">
        <v>112</v>
      </c>
      <c r="I153" s="14" t="s">
        <v>714</v>
      </c>
      <c r="J153" s="14">
        <v>13015</v>
      </c>
      <c r="K153" s="80">
        <f>VLOOKUP(A:A,'staff sales'!C:Q,15,)</f>
        <v>0</v>
      </c>
      <c r="L153" s="81">
        <f>VLOOKUP(A:A,'staff sales'!C:T,18,)</f>
        <v>0</v>
      </c>
      <c r="M153" s="81">
        <f>VLOOKUP(A:A,'staff sales'!C:W,21,)</f>
        <v>0</v>
      </c>
      <c r="N153" s="81">
        <f>VLOOKUP(A:A,'staff sales'!C:Z,24,)</f>
        <v>0</v>
      </c>
      <c r="O153" s="81">
        <f>VLOOKUP(A:A,'staff sales'!C:AC,27,)</f>
        <v>0</v>
      </c>
      <c r="P153" s="81">
        <f>VLOOKUP(A:A,'staff sales'!C:AF,30,)</f>
        <v>0</v>
      </c>
      <c r="Q153" s="81">
        <f>VLOOKUP(A:A,'staff sales'!C:AI,33,)</f>
        <v>2</v>
      </c>
      <c r="R153" s="81">
        <f>VLOOKUP(A:A,'staff sales'!C:AL,36,)</f>
        <v>0</v>
      </c>
      <c r="S153" s="81">
        <f>VLOOKUP(A:A,'staff sales'!C:AO,39,)</f>
        <v>1</v>
      </c>
      <c r="T153" s="81">
        <f>VLOOKUP(A:A,'staff sales'!C:AR,42,)</f>
        <v>0</v>
      </c>
      <c r="U153" s="81">
        <f>VLOOKUP(A:A,'staff sales'!C:AU,45,)</f>
        <v>0</v>
      </c>
      <c r="V153" s="81">
        <f>VLOOKUP(A:A,'staff sales'!C:AX,48,)</f>
        <v>0</v>
      </c>
      <c r="W153" s="81">
        <f>VLOOKUP(A:A,'staff sales'!C:BA,51,)</f>
        <v>0</v>
      </c>
    </row>
    <row r="154" spans="1:23" x14ac:dyDescent="0.25">
      <c r="A154" s="12">
        <v>1074025709</v>
      </c>
      <c r="B154" s="12" t="s">
        <v>722</v>
      </c>
      <c r="C154" s="14" t="s">
        <v>546</v>
      </c>
      <c r="D154" s="14" t="s">
        <v>546</v>
      </c>
      <c r="E154" s="14" t="s">
        <v>162</v>
      </c>
      <c r="F154" s="14" t="s">
        <v>162</v>
      </c>
      <c r="G154" s="14" t="s">
        <v>1218</v>
      </c>
      <c r="H154" s="14" t="s">
        <v>112</v>
      </c>
      <c r="I154" s="14" t="s">
        <v>714</v>
      </c>
      <c r="J154" s="14">
        <v>13015</v>
      </c>
      <c r="K154" s="80">
        <f>VLOOKUP(A:A,'staff sales'!C:Q,15,)</f>
        <v>58613.090000000011</v>
      </c>
      <c r="L154" s="81">
        <f>VLOOKUP(A:A,'staff sales'!C:T,18,)</f>
        <v>0</v>
      </c>
      <c r="M154" s="81">
        <f>VLOOKUP(A:A,'staff sales'!C:W,21,)</f>
        <v>14449.99</v>
      </c>
      <c r="N154" s="81">
        <f>VLOOKUP(A:A,'staff sales'!C:Z,24,)</f>
        <v>128</v>
      </c>
      <c r="O154" s="81">
        <f>VLOOKUP(A:A,'staff sales'!C:AC,27,)</f>
        <v>7</v>
      </c>
      <c r="P154" s="81">
        <f>VLOOKUP(A:A,'staff sales'!C:AF,30,)</f>
        <v>2</v>
      </c>
      <c r="Q154" s="81">
        <f>VLOOKUP(A:A,'staff sales'!C:AI,33,)</f>
        <v>67</v>
      </c>
      <c r="R154" s="81">
        <f>VLOOKUP(A:A,'staff sales'!C:AL,36,)</f>
        <v>1</v>
      </c>
      <c r="S154" s="81">
        <f>VLOOKUP(A:A,'staff sales'!C:AO,39,)</f>
        <v>3</v>
      </c>
      <c r="T154" s="81">
        <f>VLOOKUP(A:A,'staff sales'!C:AR,42,)</f>
        <v>7</v>
      </c>
      <c r="U154" s="81">
        <f>VLOOKUP(A:A,'staff sales'!C:AU,45,)</f>
        <v>0</v>
      </c>
      <c r="V154" s="81">
        <f>VLOOKUP(A:A,'staff sales'!C:AX,48,)</f>
        <v>0</v>
      </c>
      <c r="W154" s="81">
        <f>VLOOKUP(A:A,'staff sales'!C:BA,51,)</f>
        <v>4</v>
      </c>
    </row>
    <row r="155" spans="1:23" x14ac:dyDescent="0.25">
      <c r="A155" s="8">
        <v>1086160171</v>
      </c>
      <c r="B155" s="8" t="s">
        <v>723</v>
      </c>
      <c r="C155" s="10" t="s">
        <v>546</v>
      </c>
      <c r="D155" s="10" t="s">
        <v>546</v>
      </c>
      <c r="E155" s="10" t="s">
        <v>163</v>
      </c>
      <c r="F155" s="10" t="s">
        <v>163</v>
      </c>
      <c r="G155" s="10" t="s">
        <v>1218</v>
      </c>
      <c r="H155" s="10" t="s">
        <v>112</v>
      </c>
      <c r="I155" s="10" t="s">
        <v>714</v>
      </c>
      <c r="J155" s="10">
        <v>13015</v>
      </c>
      <c r="K155" s="80">
        <f>VLOOKUP(A:A,'staff sales'!C:Q,15,)</f>
        <v>30113.06</v>
      </c>
      <c r="L155" s="81">
        <f>VLOOKUP(A:A,'staff sales'!C:T,18,)</f>
        <v>0</v>
      </c>
      <c r="M155" s="81">
        <f>VLOOKUP(A:A,'staff sales'!C:W,21,)</f>
        <v>6980.8600000000006</v>
      </c>
      <c r="N155" s="81">
        <f>VLOOKUP(A:A,'staff sales'!C:Z,24,)</f>
        <v>0</v>
      </c>
      <c r="O155" s="81">
        <f>VLOOKUP(A:A,'staff sales'!C:AC,27,)</f>
        <v>6</v>
      </c>
      <c r="P155" s="81">
        <f>VLOOKUP(A:A,'staff sales'!C:AF,30,)</f>
        <v>2</v>
      </c>
      <c r="Q155" s="81">
        <f>VLOOKUP(A:A,'staff sales'!C:AI,33,)</f>
        <v>73</v>
      </c>
      <c r="R155" s="81">
        <f>VLOOKUP(A:A,'staff sales'!C:AL,36,)</f>
        <v>2</v>
      </c>
      <c r="S155" s="81">
        <f>VLOOKUP(A:A,'staff sales'!C:AO,39,)</f>
        <v>3</v>
      </c>
      <c r="T155" s="81">
        <f>VLOOKUP(A:A,'staff sales'!C:AR,42,)</f>
        <v>2</v>
      </c>
      <c r="U155" s="81">
        <f>VLOOKUP(A:A,'staff sales'!C:AU,45,)</f>
        <v>6</v>
      </c>
      <c r="V155" s="81">
        <f>VLOOKUP(A:A,'staff sales'!C:AX,48,)</f>
        <v>0</v>
      </c>
      <c r="W155" s="81">
        <f>VLOOKUP(A:A,'staff sales'!C:BA,51,)</f>
        <v>1</v>
      </c>
    </row>
    <row r="156" spans="1:23" x14ac:dyDescent="0.25">
      <c r="A156" s="12">
        <v>1057769414</v>
      </c>
      <c r="B156" s="12" t="s">
        <v>721</v>
      </c>
      <c r="C156" s="14" t="s">
        <v>546</v>
      </c>
      <c r="D156" s="14" t="s">
        <v>546</v>
      </c>
      <c r="E156" s="14" t="s">
        <v>180</v>
      </c>
      <c r="F156" s="14" t="s">
        <v>180</v>
      </c>
      <c r="G156" s="14" t="s">
        <v>1218</v>
      </c>
      <c r="H156" s="14" t="s">
        <v>112</v>
      </c>
      <c r="I156" s="14" t="s">
        <v>714</v>
      </c>
      <c r="J156" s="14">
        <v>13015</v>
      </c>
      <c r="K156" s="80">
        <f>VLOOKUP(A:A,'staff sales'!C:Q,15,)</f>
        <v>26865.230000000003</v>
      </c>
      <c r="L156" s="81">
        <f>VLOOKUP(A:A,'staff sales'!C:T,18,)</f>
        <v>0</v>
      </c>
      <c r="M156" s="81">
        <f>VLOOKUP(A:A,'staff sales'!C:W,21,)</f>
        <v>3739.56</v>
      </c>
      <c r="N156" s="81">
        <f>VLOOKUP(A:A,'staff sales'!C:Z,24,)</f>
        <v>9088</v>
      </c>
      <c r="O156" s="81">
        <f>VLOOKUP(A:A,'staff sales'!C:AC,27,)</f>
        <v>6</v>
      </c>
      <c r="P156" s="81">
        <f>VLOOKUP(A:A,'staff sales'!C:AF,30,)</f>
        <v>0</v>
      </c>
      <c r="Q156" s="81">
        <f>VLOOKUP(A:A,'staff sales'!C:AI,33,)</f>
        <v>40</v>
      </c>
      <c r="R156" s="81">
        <f>VLOOKUP(A:A,'staff sales'!C:AL,36,)</f>
        <v>2</v>
      </c>
      <c r="S156" s="81">
        <f>VLOOKUP(A:A,'staff sales'!C:AO,39,)</f>
        <v>3</v>
      </c>
      <c r="T156" s="81">
        <f>VLOOKUP(A:A,'staff sales'!C:AR,42,)</f>
        <v>1</v>
      </c>
      <c r="U156" s="81">
        <f>VLOOKUP(A:A,'staff sales'!C:AU,45,)</f>
        <v>3</v>
      </c>
      <c r="V156" s="81">
        <f>VLOOKUP(A:A,'staff sales'!C:AX,48,)</f>
        <v>0</v>
      </c>
      <c r="W156" s="81">
        <f>VLOOKUP(A:A,'staff sales'!C:BA,51,)</f>
        <v>1</v>
      </c>
    </row>
    <row r="157" spans="1:23" x14ac:dyDescent="0.25">
      <c r="A157" s="12">
        <v>1061312664</v>
      </c>
      <c r="B157" s="12" t="s">
        <v>724</v>
      </c>
      <c r="C157" s="14" t="s">
        <v>546</v>
      </c>
      <c r="D157" s="14" t="s">
        <v>546</v>
      </c>
      <c r="E157" s="14" t="s">
        <v>130</v>
      </c>
      <c r="F157" s="14" t="s">
        <v>130</v>
      </c>
      <c r="G157" s="14" t="s">
        <v>1218</v>
      </c>
      <c r="H157" s="14" t="s">
        <v>112</v>
      </c>
      <c r="I157" s="14" t="s">
        <v>714</v>
      </c>
      <c r="J157" s="14">
        <v>13015</v>
      </c>
      <c r="K157" s="80">
        <f>VLOOKUP(A:A,'staff sales'!C:Q,15,)</f>
        <v>25783.489999999998</v>
      </c>
      <c r="L157" s="81">
        <f>VLOOKUP(A:A,'staff sales'!C:T,18,)</f>
        <v>0</v>
      </c>
      <c r="M157" s="81">
        <f>VLOOKUP(A:A,'staff sales'!C:W,21,)</f>
        <v>3091.3</v>
      </c>
      <c r="N157" s="81">
        <f>VLOOKUP(A:A,'staff sales'!C:Z,24,)</f>
        <v>50</v>
      </c>
      <c r="O157" s="81">
        <f>VLOOKUP(A:A,'staff sales'!C:AC,27,)</f>
        <v>2</v>
      </c>
      <c r="P157" s="81">
        <f>VLOOKUP(A:A,'staff sales'!C:AF,30,)</f>
        <v>3</v>
      </c>
      <c r="Q157" s="81">
        <f>VLOOKUP(A:A,'staff sales'!C:AI,33,)</f>
        <v>24</v>
      </c>
      <c r="R157" s="81">
        <f>VLOOKUP(A:A,'staff sales'!C:AL,36,)</f>
        <v>1</v>
      </c>
      <c r="S157" s="81">
        <f>VLOOKUP(A:A,'staff sales'!C:AO,39,)</f>
        <v>1</v>
      </c>
      <c r="T157" s="81">
        <f>VLOOKUP(A:A,'staff sales'!C:AR,42,)</f>
        <v>0</v>
      </c>
      <c r="U157" s="81">
        <f>VLOOKUP(A:A,'staff sales'!C:AU,45,)</f>
        <v>0</v>
      </c>
      <c r="V157" s="81">
        <f>VLOOKUP(A:A,'staff sales'!C:AX,48,)</f>
        <v>0</v>
      </c>
      <c r="W157" s="81">
        <f>VLOOKUP(A:A,'staff sales'!C:BA,51,)</f>
        <v>2</v>
      </c>
    </row>
    <row r="158" spans="1:23" x14ac:dyDescent="0.25">
      <c r="A158" s="8">
        <v>1065921742</v>
      </c>
      <c r="B158" s="8" t="s">
        <v>725</v>
      </c>
      <c r="C158" s="10" t="s">
        <v>541</v>
      </c>
      <c r="D158" s="10" t="s">
        <v>541</v>
      </c>
      <c r="E158" s="10" t="s">
        <v>212</v>
      </c>
      <c r="F158" s="10" t="s">
        <v>212</v>
      </c>
      <c r="G158" s="10" t="s">
        <v>1218</v>
      </c>
      <c r="H158" s="10" t="s">
        <v>112</v>
      </c>
      <c r="I158" s="10" t="s">
        <v>1137</v>
      </c>
      <c r="J158" s="10">
        <v>73002</v>
      </c>
      <c r="K158" s="80">
        <f>VLOOKUP(A:A,'staff sales'!C:Q,15,)</f>
        <v>0</v>
      </c>
      <c r="L158" s="81">
        <f>VLOOKUP(A:A,'staff sales'!C:T,18,)</f>
        <v>0</v>
      </c>
      <c r="M158" s="81">
        <f>VLOOKUP(A:A,'staff sales'!C:W,21,)</f>
        <v>0</v>
      </c>
      <c r="N158" s="81">
        <f>VLOOKUP(A:A,'staff sales'!C:Z,24,)</f>
        <v>0</v>
      </c>
      <c r="O158" s="81">
        <f>VLOOKUP(A:A,'staff sales'!C:AC,27,)</f>
        <v>0</v>
      </c>
      <c r="P158" s="81">
        <f>VLOOKUP(A:A,'staff sales'!C:AF,30,)</f>
        <v>0</v>
      </c>
      <c r="Q158" s="81">
        <f>VLOOKUP(A:A,'staff sales'!C:AI,33,)</f>
        <v>0</v>
      </c>
      <c r="R158" s="81">
        <f>VLOOKUP(A:A,'staff sales'!C:AL,36,)</f>
        <v>0</v>
      </c>
      <c r="S158" s="81">
        <f>VLOOKUP(A:A,'staff sales'!C:AO,39,)</f>
        <v>0</v>
      </c>
      <c r="T158" s="81">
        <f>VLOOKUP(A:A,'staff sales'!C:AR,42,)</f>
        <v>0</v>
      </c>
      <c r="U158" s="81">
        <f>VLOOKUP(A:A,'staff sales'!C:AU,45,)</f>
        <v>0</v>
      </c>
      <c r="V158" s="81">
        <f>VLOOKUP(A:A,'staff sales'!C:AX,48,)</f>
        <v>0</v>
      </c>
      <c r="W158" s="81">
        <f>VLOOKUP(A:A,'staff sales'!C:BA,51,)</f>
        <v>0</v>
      </c>
    </row>
    <row r="159" spans="1:23" x14ac:dyDescent="0.25">
      <c r="A159" s="12">
        <v>1083191039</v>
      </c>
      <c r="B159" s="12" t="s">
        <v>726</v>
      </c>
      <c r="C159" s="14" t="s">
        <v>546</v>
      </c>
      <c r="D159" s="14" t="s">
        <v>546</v>
      </c>
      <c r="E159" s="14" t="s">
        <v>220</v>
      </c>
      <c r="F159" s="14" t="s">
        <v>220</v>
      </c>
      <c r="G159" s="14" t="s">
        <v>1218</v>
      </c>
      <c r="H159" s="14" t="s">
        <v>112</v>
      </c>
      <c r="I159" s="14" t="s">
        <v>521</v>
      </c>
      <c r="J159" s="14">
        <v>73002</v>
      </c>
      <c r="K159" s="80">
        <f>VLOOKUP(A:A,'staff sales'!C:Q,15,)</f>
        <v>50701.760000000002</v>
      </c>
      <c r="L159" s="81">
        <f>VLOOKUP(A:A,'staff sales'!C:T,18,)</f>
        <v>6954.78</v>
      </c>
      <c r="M159" s="81">
        <f>VLOOKUP(A:A,'staff sales'!C:W,21,)</f>
        <v>6782.19</v>
      </c>
      <c r="N159" s="81">
        <f>VLOOKUP(A:A,'staff sales'!C:Z,24,)</f>
        <v>0</v>
      </c>
      <c r="O159" s="81">
        <f>VLOOKUP(A:A,'staff sales'!C:AC,27,)</f>
        <v>5</v>
      </c>
      <c r="P159" s="81">
        <f>VLOOKUP(A:A,'staff sales'!C:AF,30,)</f>
        <v>0</v>
      </c>
      <c r="Q159" s="81">
        <f>VLOOKUP(A:A,'staff sales'!C:AI,33,)</f>
        <v>27</v>
      </c>
      <c r="R159" s="81">
        <f>VLOOKUP(A:A,'staff sales'!C:AL,36,)</f>
        <v>1</v>
      </c>
      <c r="S159" s="81">
        <f>VLOOKUP(A:A,'staff sales'!C:AO,39,)</f>
        <v>5</v>
      </c>
      <c r="T159" s="81">
        <f>VLOOKUP(A:A,'staff sales'!C:AR,42,)</f>
        <v>1</v>
      </c>
      <c r="U159" s="81">
        <f>VLOOKUP(A:A,'staff sales'!C:AU,45,)</f>
        <v>2</v>
      </c>
      <c r="V159" s="81">
        <f>VLOOKUP(A:A,'staff sales'!C:AX,48,)</f>
        <v>0</v>
      </c>
      <c r="W159" s="81">
        <f>VLOOKUP(A:A,'staff sales'!C:BA,51,)</f>
        <v>2</v>
      </c>
    </row>
    <row r="160" spans="1:23" x14ac:dyDescent="0.25">
      <c r="A160" s="8">
        <v>1060592951</v>
      </c>
      <c r="B160" s="8" t="s">
        <v>728</v>
      </c>
      <c r="C160" s="10" t="s">
        <v>546</v>
      </c>
      <c r="D160" s="10" t="s">
        <v>546</v>
      </c>
      <c r="E160" s="10" t="s">
        <v>201</v>
      </c>
      <c r="F160" s="10" t="s">
        <v>201</v>
      </c>
      <c r="G160" s="10" t="s">
        <v>1218</v>
      </c>
      <c r="H160" s="10" t="s">
        <v>112</v>
      </c>
      <c r="I160" s="10" t="s">
        <v>521</v>
      </c>
      <c r="J160" s="10">
        <v>73002</v>
      </c>
      <c r="K160" s="80">
        <f>VLOOKUP(A:A,'staff sales'!C:Q,15,)</f>
        <v>54149.58</v>
      </c>
      <c r="L160" s="81">
        <f>VLOOKUP(A:A,'staff sales'!C:T,18,)</f>
        <v>10171.299999999999</v>
      </c>
      <c r="M160" s="81">
        <f>VLOOKUP(A:A,'staff sales'!C:W,21,)</f>
        <v>10790.88</v>
      </c>
      <c r="N160" s="81">
        <f>VLOOKUP(A:A,'staff sales'!C:Z,24,)</f>
        <v>0</v>
      </c>
      <c r="O160" s="81">
        <f>VLOOKUP(A:A,'staff sales'!C:AC,27,)</f>
        <v>3</v>
      </c>
      <c r="P160" s="81">
        <f>VLOOKUP(A:A,'staff sales'!C:AF,30,)</f>
        <v>0</v>
      </c>
      <c r="Q160" s="81">
        <f>VLOOKUP(A:A,'staff sales'!C:AI,33,)</f>
        <v>46</v>
      </c>
      <c r="R160" s="81">
        <f>VLOOKUP(A:A,'staff sales'!C:AL,36,)</f>
        <v>1</v>
      </c>
      <c r="S160" s="81">
        <f>VLOOKUP(A:A,'staff sales'!C:AO,39,)</f>
        <v>2</v>
      </c>
      <c r="T160" s="81">
        <f>VLOOKUP(A:A,'staff sales'!C:AR,42,)</f>
        <v>0</v>
      </c>
      <c r="U160" s="81">
        <f>VLOOKUP(A:A,'staff sales'!C:AU,45,)</f>
        <v>4</v>
      </c>
      <c r="V160" s="81">
        <f>VLOOKUP(A:A,'staff sales'!C:AX,48,)</f>
        <v>1</v>
      </c>
      <c r="W160" s="81">
        <f>VLOOKUP(A:A,'staff sales'!C:BA,51,)</f>
        <v>0</v>
      </c>
    </row>
    <row r="161" spans="1:23" x14ac:dyDescent="0.25">
      <c r="A161" s="12">
        <v>1061370142</v>
      </c>
      <c r="B161" s="12" t="s">
        <v>1189</v>
      </c>
      <c r="C161" s="14" t="s">
        <v>546</v>
      </c>
      <c r="D161" s="14" t="s">
        <v>546</v>
      </c>
      <c r="E161" s="14" t="s">
        <v>211</v>
      </c>
      <c r="F161" s="14" t="s">
        <v>211</v>
      </c>
      <c r="G161" s="14" t="s">
        <v>1218</v>
      </c>
      <c r="H161" s="14" t="s">
        <v>112</v>
      </c>
      <c r="I161" s="14" t="s">
        <v>521</v>
      </c>
      <c r="J161" s="14">
        <v>73002</v>
      </c>
      <c r="K161" s="80">
        <f>VLOOKUP(A:A,'staff sales'!C:Q,15,)</f>
        <v>67900.010000000009</v>
      </c>
      <c r="L161" s="81">
        <f>VLOOKUP(A:A,'staff sales'!C:T,18,)</f>
        <v>0</v>
      </c>
      <c r="M161" s="81">
        <f>VLOOKUP(A:A,'staff sales'!C:W,21,)</f>
        <v>10716.1</v>
      </c>
      <c r="N161" s="81">
        <f>VLOOKUP(A:A,'staff sales'!C:Z,24,)</f>
        <v>0</v>
      </c>
      <c r="O161" s="81">
        <f>VLOOKUP(A:A,'staff sales'!C:AC,27,)</f>
        <v>13</v>
      </c>
      <c r="P161" s="81">
        <f>VLOOKUP(A:A,'staff sales'!C:AF,30,)</f>
        <v>0</v>
      </c>
      <c r="Q161" s="81">
        <f>VLOOKUP(A:A,'staff sales'!C:AI,33,)</f>
        <v>41</v>
      </c>
      <c r="R161" s="81">
        <f>VLOOKUP(A:A,'staff sales'!C:AL,36,)</f>
        <v>5</v>
      </c>
      <c r="S161" s="81">
        <f>VLOOKUP(A:A,'staff sales'!C:AO,39,)</f>
        <v>0</v>
      </c>
      <c r="T161" s="81">
        <f>VLOOKUP(A:A,'staff sales'!C:AR,42,)</f>
        <v>1</v>
      </c>
      <c r="U161" s="81">
        <f>VLOOKUP(A:A,'staff sales'!C:AU,45,)</f>
        <v>1</v>
      </c>
      <c r="V161" s="81">
        <f>VLOOKUP(A:A,'staff sales'!C:AX,48,)</f>
        <v>0</v>
      </c>
      <c r="W161" s="81">
        <f>VLOOKUP(A:A,'staff sales'!C:BA,51,)</f>
        <v>1</v>
      </c>
    </row>
    <row r="162" spans="1:23" x14ac:dyDescent="0.25">
      <c r="A162" s="12">
        <v>1030921751</v>
      </c>
      <c r="B162" s="12" t="s">
        <v>731</v>
      </c>
      <c r="C162" s="14" t="s">
        <v>546</v>
      </c>
      <c r="D162" s="14" t="s">
        <v>546</v>
      </c>
      <c r="E162" s="14" t="s">
        <v>213</v>
      </c>
      <c r="F162" s="14" t="s">
        <v>214</v>
      </c>
      <c r="G162" s="14" t="s">
        <v>1218</v>
      </c>
      <c r="H162" s="14" t="s">
        <v>112</v>
      </c>
      <c r="I162" s="14" t="s">
        <v>521</v>
      </c>
      <c r="J162" s="14">
        <v>73002</v>
      </c>
      <c r="K162" s="80">
        <f>VLOOKUP(A:A,'staff sales'!C:Q,15,)</f>
        <v>31448.71</v>
      </c>
      <c r="L162" s="81">
        <f>VLOOKUP(A:A,'staff sales'!C:T,18,)</f>
        <v>6954.78</v>
      </c>
      <c r="M162" s="81">
        <f>VLOOKUP(A:A,'staff sales'!C:W,21,)</f>
        <v>6175.6600000000008</v>
      </c>
      <c r="N162" s="81">
        <f>VLOOKUP(A:A,'staff sales'!C:Z,24,)</f>
        <v>0</v>
      </c>
      <c r="O162" s="81">
        <f>VLOOKUP(A:A,'staff sales'!C:AC,27,)</f>
        <v>1</v>
      </c>
      <c r="P162" s="81">
        <f>VLOOKUP(A:A,'staff sales'!C:AF,30,)</f>
        <v>0</v>
      </c>
      <c r="Q162" s="81">
        <f>VLOOKUP(A:A,'staff sales'!C:AI,33,)</f>
        <v>24</v>
      </c>
      <c r="R162" s="81">
        <f>VLOOKUP(A:A,'staff sales'!C:AL,36,)</f>
        <v>1</v>
      </c>
      <c r="S162" s="81">
        <f>VLOOKUP(A:A,'staff sales'!C:AO,39,)</f>
        <v>2</v>
      </c>
      <c r="T162" s="81">
        <f>VLOOKUP(A:A,'staff sales'!C:AR,42,)</f>
        <v>0</v>
      </c>
      <c r="U162" s="81">
        <f>VLOOKUP(A:A,'staff sales'!C:AU,45,)</f>
        <v>1</v>
      </c>
      <c r="V162" s="81">
        <f>VLOOKUP(A:A,'staff sales'!C:AX,48,)</f>
        <v>0</v>
      </c>
      <c r="W162" s="81">
        <f>VLOOKUP(A:A,'staff sales'!C:BA,51,)</f>
        <v>0</v>
      </c>
    </row>
    <row r="163" spans="1:23" x14ac:dyDescent="0.25">
      <c r="A163" s="8">
        <v>1064548900</v>
      </c>
      <c r="B163" s="8" t="s">
        <v>732</v>
      </c>
      <c r="C163" s="10" t="s">
        <v>546</v>
      </c>
      <c r="D163" s="10" t="s">
        <v>546</v>
      </c>
      <c r="E163" s="10" t="s">
        <v>485</v>
      </c>
      <c r="F163" s="10" t="s">
        <v>485</v>
      </c>
      <c r="G163" s="10" t="s">
        <v>1218</v>
      </c>
      <c r="H163" s="10" t="s">
        <v>112</v>
      </c>
      <c r="I163" s="10" t="s">
        <v>521</v>
      </c>
      <c r="J163" s="10">
        <v>73002</v>
      </c>
      <c r="K163" s="80">
        <f>VLOOKUP(A:A,'staff sales'!C:Q,15,)</f>
        <v>32691.32</v>
      </c>
      <c r="L163" s="81">
        <f>VLOOKUP(A:A,'staff sales'!C:T,18,)</f>
        <v>6954.78</v>
      </c>
      <c r="M163" s="81">
        <f>VLOOKUP(A:A,'staff sales'!C:W,21,)</f>
        <v>7385.6600000000008</v>
      </c>
      <c r="N163" s="81">
        <f>VLOOKUP(A:A,'staff sales'!C:Z,24,)</f>
        <v>0</v>
      </c>
      <c r="O163" s="81">
        <f>VLOOKUP(A:A,'staff sales'!C:AC,27,)</f>
        <v>1</v>
      </c>
      <c r="P163" s="81">
        <f>VLOOKUP(A:A,'staff sales'!C:AF,30,)</f>
        <v>0</v>
      </c>
      <c r="Q163" s="81">
        <f>VLOOKUP(A:A,'staff sales'!C:AI,33,)</f>
        <v>19</v>
      </c>
      <c r="R163" s="81">
        <f>VLOOKUP(A:A,'staff sales'!C:AL,36,)</f>
        <v>0</v>
      </c>
      <c r="S163" s="81">
        <f>VLOOKUP(A:A,'staff sales'!C:AO,39,)</f>
        <v>1</v>
      </c>
      <c r="T163" s="81">
        <f>VLOOKUP(A:A,'staff sales'!C:AR,42,)</f>
        <v>1</v>
      </c>
      <c r="U163" s="81">
        <f>VLOOKUP(A:A,'staff sales'!C:AU,45,)</f>
        <v>0</v>
      </c>
      <c r="V163" s="81">
        <f>VLOOKUP(A:A,'staff sales'!C:AX,48,)</f>
        <v>0</v>
      </c>
      <c r="W163" s="81">
        <f>VLOOKUP(A:A,'staff sales'!C:BA,51,)</f>
        <v>0</v>
      </c>
    </row>
    <row r="164" spans="1:23" x14ac:dyDescent="0.25">
      <c r="A164" s="12">
        <v>1088904402</v>
      </c>
      <c r="B164" s="12" t="s">
        <v>727</v>
      </c>
      <c r="C164" s="14" t="s">
        <v>546</v>
      </c>
      <c r="D164" s="14" t="s">
        <v>546</v>
      </c>
      <c r="E164" s="14" t="s">
        <v>204</v>
      </c>
      <c r="F164" s="14" t="s">
        <v>204</v>
      </c>
      <c r="G164" s="14" t="s">
        <v>1218</v>
      </c>
      <c r="H164" s="14" t="s">
        <v>112</v>
      </c>
      <c r="I164" s="14" t="s">
        <v>521</v>
      </c>
      <c r="J164" s="14">
        <v>73002</v>
      </c>
      <c r="K164" s="80">
        <f>VLOOKUP(A:A,'staff sales'!C:Q,15,)</f>
        <v>60006.130000000005</v>
      </c>
      <c r="L164" s="81">
        <f>VLOOKUP(A:A,'staff sales'!C:T,18,)</f>
        <v>6954.78</v>
      </c>
      <c r="M164" s="81">
        <f>VLOOKUP(A:A,'staff sales'!C:W,21,)</f>
        <v>14811.3</v>
      </c>
      <c r="N164" s="81">
        <f>VLOOKUP(A:A,'staff sales'!C:Z,24,)</f>
        <v>0</v>
      </c>
      <c r="O164" s="81">
        <f>VLOOKUP(A:A,'staff sales'!C:AC,27,)</f>
        <v>6</v>
      </c>
      <c r="P164" s="81">
        <f>VLOOKUP(A:A,'staff sales'!C:AF,30,)</f>
        <v>2</v>
      </c>
      <c r="Q164" s="81">
        <f>VLOOKUP(A:A,'staff sales'!C:AI,33,)</f>
        <v>12</v>
      </c>
      <c r="R164" s="81">
        <f>VLOOKUP(A:A,'staff sales'!C:AL,36,)</f>
        <v>0</v>
      </c>
      <c r="S164" s="81">
        <f>VLOOKUP(A:A,'staff sales'!C:AO,39,)</f>
        <v>0</v>
      </c>
      <c r="T164" s="81">
        <f>VLOOKUP(A:A,'staff sales'!C:AR,42,)</f>
        <v>2</v>
      </c>
      <c r="U164" s="81">
        <f>VLOOKUP(A:A,'staff sales'!C:AU,45,)</f>
        <v>0</v>
      </c>
      <c r="V164" s="81">
        <f>VLOOKUP(A:A,'staff sales'!C:AX,48,)</f>
        <v>0</v>
      </c>
      <c r="W164" s="81">
        <f>VLOOKUP(A:A,'staff sales'!C:BA,51,)</f>
        <v>6</v>
      </c>
    </row>
    <row r="165" spans="1:23" x14ac:dyDescent="0.25">
      <c r="A165" s="8">
        <v>1046721559</v>
      </c>
      <c r="B165" s="8" t="s">
        <v>710</v>
      </c>
      <c r="C165" s="10" t="s">
        <v>546</v>
      </c>
      <c r="D165" s="10" t="s">
        <v>546</v>
      </c>
      <c r="E165" s="10" t="s">
        <v>206</v>
      </c>
      <c r="F165" s="10" t="s">
        <v>206</v>
      </c>
      <c r="G165" s="10" t="s">
        <v>1218</v>
      </c>
      <c r="H165" s="10" t="s">
        <v>112</v>
      </c>
      <c r="I165" s="10" t="s">
        <v>521</v>
      </c>
      <c r="J165" s="10">
        <v>73002</v>
      </c>
      <c r="K165" s="80">
        <f>VLOOKUP(A:A,'staff sales'!C:Q,15,)</f>
        <v>38413.050000000003</v>
      </c>
      <c r="L165" s="81">
        <f>VLOOKUP(A:A,'staff sales'!C:T,18,)</f>
        <v>3738.26</v>
      </c>
      <c r="M165" s="81">
        <f>VLOOKUP(A:A,'staff sales'!C:W,21,)</f>
        <v>12144.79</v>
      </c>
      <c r="N165" s="81">
        <f>VLOOKUP(A:A,'staff sales'!C:Z,24,)</f>
        <v>0</v>
      </c>
      <c r="O165" s="81">
        <f>VLOOKUP(A:A,'staff sales'!C:AC,27,)</f>
        <v>2</v>
      </c>
      <c r="P165" s="81">
        <f>VLOOKUP(A:A,'staff sales'!C:AF,30,)</f>
        <v>0</v>
      </c>
      <c r="Q165" s="81">
        <f>VLOOKUP(A:A,'staff sales'!C:AI,33,)</f>
        <v>21</v>
      </c>
      <c r="R165" s="81">
        <f>VLOOKUP(A:A,'staff sales'!C:AL,36,)</f>
        <v>0</v>
      </c>
      <c r="S165" s="81">
        <f>VLOOKUP(A:A,'staff sales'!C:AO,39,)</f>
        <v>0</v>
      </c>
      <c r="T165" s="81">
        <f>VLOOKUP(A:A,'staff sales'!C:AR,42,)</f>
        <v>1</v>
      </c>
      <c r="U165" s="81">
        <f>VLOOKUP(A:A,'staff sales'!C:AU,45,)</f>
        <v>0</v>
      </c>
      <c r="V165" s="81">
        <f>VLOOKUP(A:A,'staff sales'!C:AX,48,)</f>
        <v>0</v>
      </c>
      <c r="W165" s="81">
        <f>VLOOKUP(A:A,'staff sales'!C:BA,51,)</f>
        <v>3</v>
      </c>
    </row>
    <row r="166" spans="1:23" x14ac:dyDescent="0.25">
      <c r="A166" s="12">
        <v>1046948137</v>
      </c>
      <c r="B166" s="12" t="s">
        <v>733</v>
      </c>
      <c r="C166" s="14" t="s">
        <v>537</v>
      </c>
      <c r="D166" s="14" t="s">
        <v>537</v>
      </c>
      <c r="E166" s="14">
        <v>0</v>
      </c>
      <c r="F166" s="14">
        <v>0</v>
      </c>
      <c r="G166" s="14" t="s">
        <v>1218</v>
      </c>
      <c r="H166" s="14" t="s">
        <v>30</v>
      </c>
      <c r="I166" s="14" t="s">
        <v>538</v>
      </c>
      <c r="J166" s="14" t="s">
        <v>539</v>
      </c>
      <c r="K166" s="80">
        <f>VLOOKUP(A:A,'staff sales'!C:Q,15,)</f>
        <v>0</v>
      </c>
      <c r="L166" s="81">
        <f>VLOOKUP(A:A,'staff sales'!C:T,18,)</f>
        <v>0</v>
      </c>
      <c r="M166" s="81">
        <f>VLOOKUP(A:A,'staff sales'!C:W,21,)</f>
        <v>0</v>
      </c>
      <c r="N166" s="81">
        <f>VLOOKUP(A:A,'staff sales'!C:Z,24,)</f>
        <v>0</v>
      </c>
      <c r="O166" s="81">
        <f>VLOOKUP(A:A,'staff sales'!C:AC,27,)</f>
        <v>0</v>
      </c>
      <c r="P166" s="81">
        <f>VLOOKUP(A:A,'staff sales'!C:AF,30,)</f>
        <v>0</v>
      </c>
      <c r="Q166" s="81">
        <f>VLOOKUP(A:A,'staff sales'!C:AI,33,)</f>
        <v>0</v>
      </c>
      <c r="R166" s="81">
        <f>VLOOKUP(A:A,'staff sales'!C:AL,36,)</f>
        <v>0</v>
      </c>
      <c r="S166" s="81">
        <f>VLOOKUP(A:A,'staff sales'!C:AO,39,)</f>
        <v>0</v>
      </c>
      <c r="T166" s="81">
        <f>VLOOKUP(A:A,'staff sales'!C:AR,42,)</f>
        <v>0</v>
      </c>
      <c r="U166" s="81">
        <f>VLOOKUP(A:A,'staff sales'!C:AU,45,)</f>
        <v>0</v>
      </c>
      <c r="V166" s="81">
        <f>VLOOKUP(A:A,'staff sales'!C:AX,48,)</f>
        <v>0</v>
      </c>
      <c r="W166" s="81">
        <f>VLOOKUP(A:A,'staff sales'!C:BA,51,)</f>
        <v>0</v>
      </c>
    </row>
    <row r="167" spans="1:23" x14ac:dyDescent="0.25">
      <c r="A167" s="8">
        <v>1050012028</v>
      </c>
      <c r="B167" s="8" t="s">
        <v>734</v>
      </c>
      <c r="C167" s="10" t="s">
        <v>541</v>
      </c>
      <c r="D167" s="10" t="s">
        <v>541</v>
      </c>
      <c r="E167" s="10" t="s">
        <v>31</v>
      </c>
      <c r="F167" s="10" t="s">
        <v>31</v>
      </c>
      <c r="G167" s="10" t="s">
        <v>1218</v>
      </c>
      <c r="H167" s="10" t="s">
        <v>30</v>
      </c>
      <c r="I167" s="10" t="s">
        <v>735</v>
      </c>
      <c r="J167" s="10">
        <v>73011</v>
      </c>
      <c r="K167" s="80">
        <f>VLOOKUP(A:A,'staff sales'!C:Q,15,)</f>
        <v>0</v>
      </c>
      <c r="L167" s="81">
        <f>VLOOKUP(A:A,'staff sales'!C:T,18,)</f>
        <v>0</v>
      </c>
      <c r="M167" s="81">
        <f>VLOOKUP(A:A,'staff sales'!C:W,21,)</f>
        <v>0</v>
      </c>
      <c r="N167" s="81">
        <f>VLOOKUP(A:A,'staff sales'!C:Z,24,)</f>
        <v>0</v>
      </c>
      <c r="O167" s="81">
        <f>VLOOKUP(A:A,'staff sales'!C:AC,27,)</f>
        <v>0</v>
      </c>
      <c r="P167" s="81">
        <f>VLOOKUP(A:A,'staff sales'!C:AF,30,)</f>
        <v>0</v>
      </c>
      <c r="Q167" s="81">
        <f>VLOOKUP(A:A,'staff sales'!C:AI,33,)</f>
        <v>0</v>
      </c>
      <c r="R167" s="81">
        <f>VLOOKUP(A:A,'staff sales'!C:AL,36,)</f>
        <v>0</v>
      </c>
      <c r="S167" s="81">
        <f>VLOOKUP(A:A,'staff sales'!C:AO,39,)</f>
        <v>0</v>
      </c>
      <c r="T167" s="81">
        <f>VLOOKUP(A:A,'staff sales'!C:AR,42,)</f>
        <v>0</v>
      </c>
      <c r="U167" s="81">
        <f>VLOOKUP(A:A,'staff sales'!C:AU,45,)</f>
        <v>0</v>
      </c>
      <c r="V167" s="81">
        <f>VLOOKUP(A:A,'staff sales'!C:AX,48,)</f>
        <v>0</v>
      </c>
      <c r="W167" s="81">
        <f>VLOOKUP(A:A,'staff sales'!C:BA,51,)</f>
        <v>0</v>
      </c>
    </row>
    <row r="168" spans="1:23" x14ac:dyDescent="0.25">
      <c r="A168" s="32">
        <v>1051719266</v>
      </c>
      <c r="B168" s="32" t="s">
        <v>742</v>
      </c>
      <c r="C168" s="26" t="s">
        <v>544</v>
      </c>
      <c r="D168" s="26" t="s">
        <v>544</v>
      </c>
      <c r="E168" s="26" t="s">
        <v>37</v>
      </c>
      <c r="F168" s="26" t="s">
        <v>37</v>
      </c>
      <c r="G168" s="26" t="s">
        <v>1218</v>
      </c>
      <c r="H168" s="26" t="s">
        <v>30</v>
      </c>
      <c r="I168" s="26" t="s">
        <v>735</v>
      </c>
      <c r="J168" s="26">
        <v>73011</v>
      </c>
      <c r="K168" s="80">
        <f>VLOOKUP(A:A,'staff sales'!C:Q,15,)</f>
        <v>5400</v>
      </c>
      <c r="L168" s="81">
        <f>VLOOKUP(A:A,'staff sales'!C:T,18,)</f>
        <v>0</v>
      </c>
      <c r="M168" s="81">
        <f>VLOOKUP(A:A,'staff sales'!C:W,21,)</f>
        <v>1468.26</v>
      </c>
      <c r="N168" s="81">
        <f>VLOOKUP(A:A,'staff sales'!C:Z,24,)</f>
        <v>0</v>
      </c>
      <c r="O168" s="81">
        <f>VLOOKUP(A:A,'staff sales'!C:AC,27,)</f>
        <v>1</v>
      </c>
      <c r="P168" s="81">
        <f>VLOOKUP(A:A,'staff sales'!C:AF,30,)</f>
        <v>0</v>
      </c>
      <c r="Q168" s="81">
        <f>VLOOKUP(A:A,'staff sales'!C:AI,33,)</f>
        <v>13</v>
      </c>
      <c r="R168" s="81">
        <f>VLOOKUP(A:A,'staff sales'!C:AL,36,)</f>
        <v>1</v>
      </c>
      <c r="S168" s="81">
        <f>VLOOKUP(A:A,'staff sales'!C:AO,39,)</f>
        <v>2</v>
      </c>
      <c r="T168" s="81">
        <f>VLOOKUP(A:A,'staff sales'!C:AR,42,)</f>
        <v>0</v>
      </c>
      <c r="U168" s="81">
        <f>VLOOKUP(A:A,'staff sales'!C:AU,45,)</f>
        <v>1</v>
      </c>
      <c r="V168" s="81">
        <f>VLOOKUP(A:A,'staff sales'!C:AX,48,)</f>
        <v>0</v>
      </c>
      <c r="W168" s="81">
        <f>VLOOKUP(A:A,'staff sales'!C:BA,51,)</f>
        <v>0</v>
      </c>
    </row>
    <row r="169" spans="1:23" x14ac:dyDescent="0.25">
      <c r="A169" s="5">
        <v>1072831629</v>
      </c>
      <c r="B169" s="5" t="s">
        <v>740</v>
      </c>
      <c r="C169" s="33" t="s">
        <v>546</v>
      </c>
      <c r="D169" s="33" t="s">
        <v>546</v>
      </c>
      <c r="E169" s="33" t="s">
        <v>32</v>
      </c>
      <c r="F169" s="33" t="s">
        <v>33</v>
      </c>
      <c r="G169" s="33" t="s">
        <v>1218</v>
      </c>
      <c r="H169" s="33" t="s">
        <v>30</v>
      </c>
      <c r="I169" s="33" t="s">
        <v>735</v>
      </c>
      <c r="J169" s="33">
        <v>73011</v>
      </c>
      <c r="K169" s="80">
        <f>VLOOKUP(A:A,'staff sales'!C:Q,15,)</f>
        <v>106220.04000000002</v>
      </c>
      <c r="L169" s="81">
        <f>VLOOKUP(A:A,'staff sales'!C:T,18,)</f>
        <v>5567.83</v>
      </c>
      <c r="M169" s="81">
        <f>VLOOKUP(A:A,'staff sales'!C:W,21,)</f>
        <v>21906.949999999997</v>
      </c>
      <c r="N169" s="81">
        <f>VLOOKUP(A:A,'staff sales'!C:Z,24,)</f>
        <v>0</v>
      </c>
      <c r="O169" s="81">
        <f>VLOOKUP(A:A,'staff sales'!C:AC,27,)</f>
        <v>9</v>
      </c>
      <c r="P169" s="81">
        <f>VLOOKUP(A:A,'staff sales'!C:AF,30,)</f>
        <v>1</v>
      </c>
      <c r="Q169" s="81">
        <f>VLOOKUP(A:A,'staff sales'!C:AI,33,)</f>
        <v>105</v>
      </c>
      <c r="R169" s="81">
        <f>VLOOKUP(A:A,'staff sales'!C:AL,36,)</f>
        <v>2</v>
      </c>
      <c r="S169" s="81">
        <f>VLOOKUP(A:A,'staff sales'!C:AO,39,)</f>
        <v>0</v>
      </c>
      <c r="T169" s="81">
        <f>VLOOKUP(A:A,'staff sales'!C:AR,42,)</f>
        <v>4</v>
      </c>
      <c r="U169" s="81">
        <f>VLOOKUP(A:A,'staff sales'!C:AU,45,)</f>
        <v>1</v>
      </c>
      <c r="V169" s="81">
        <f>VLOOKUP(A:A,'staff sales'!C:AX,48,)</f>
        <v>0</v>
      </c>
      <c r="W169" s="81">
        <f>VLOOKUP(A:A,'staff sales'!C:BA,51,)</f>
        <v>0</v>
      </c>
    </row>
    <row r="170" spans="1:23" x14ac:dyDescent="0.25">
      <c r="A170" s="32">
        <v>1091887388</v>
      </c>
      <c r="B170" s="32" t="s">
        <v>746</v>
      </c>
      <c r="C170" s="26" t="s">
        <v>546</v>
      </c>
      <c r="D170" s="26" t="s">
        <v>546</v>
      </c>
      <c r="E170" s="26" t="s">
        <v>492</v>
      </c>
      <c r="F170" s="26" t="s">
        <v>492</v>
      </c>
      <c r="G170" s="26" t="s">
        <v>1218</v>
      </c>
      <c r="H170" s="26" t="s">
        <v>30</v>
      </c>
      <c r="I170" s="26" t="s">
        <v>735</v>
      </c>
      <c r="J170" s="26">
        <v>73011</v>
      </c>
      <c r="K170" s="80">
        <f>VLOOKUP(A:A,'staff sales'!C:Q,15,)</f>
        <v>26364.34</v>
      </c>
      <c r="L170" s="81">
        <f>VLOOKUP(A:A,'staff sales'!C:T,18,)</f>
        <v>0</v>
      </c>
      <c r="M170" s="81">
        <f>VLOOKUP(A:A,'staff sales'!C:W,21,)</f>
        <v>4084.7799999999997</v>
      </c>
      <c r="N170" s="81">
        <f>VLOOKUP(A:A,'staff sales'!C:Z,24,)</f>
        <v>0</v>
      </c>
      <c r="O170" s="81">
        <f>VLOOKUP(A:A,'staff sales'!C:AC,27,)</f>
        <v>3</v>
      </c>
      <c r="P170" s="81">
        <f>VLOOKUP(A:A,'staff sales'!C:AF,30,)</f>
        <v>0</v>
      </c>
      <c r="Q170" s="81">
        <f>VLOOKUP(A:A,'staff sales'!C:AI,33,)</f>
        <v>20</v>
      </c>
      <c r="R170" s="81">
        <f>VLOOKUP(A:A,'staff sales'!C:AL,36,)</f>
        <v>1</v>
      </c>
      <c r="S170" s="81">
        <f>VLOOKUP(A:A,'staff sales'!C:AO,39,)</f>
        <v>1</v>
      </c>
      <c r="T170" s="81">
        <f>VLOOKUP(A:A,'staff sales'!C:AR,42,)</f>
        <v>1</v>
      </c>
      <c r="U170" s="81">
        <f>VLOOKUP(A:A,'staff sales'!C:AU,45,)</f>
        <v>0</v>
      </c>
      <c r="V170" s="81">
        <f>VLOOKUP(A:A,'staff sales'!C:AX,48,)</f>
        <v>0</v>
      </c>
      <c r="W170" s="81">
        <f>VLOOKUP(A:A,'staff sales'!C:BA,51,)</f>
        <v>0</v>
      </c>
    </row>
    <row r="171" spans="1:23" x14ac:dyDescent="0.25">
      <c r="A171" s="5">
        <v>1122522244</v>
      </c>
      <c r="B171" s="5" t="s">
        <v>737</v>
      </c>
      <c r="C171" s="33" t="s">
        <v>546</v>
      </c>
      <c r="D171" s="33" t="s">
        <v>546</v>
      </c>
      <c r="E171" s="33" t="s">
        <v>524</v>
      </c>
      <c r="F171" s="33" t="s">
        <v>524</v>
      </c>
      <c r="G171" s="33" t="s">
        <v>1218</v>
      </c>
      <c r="H171" s="33" t="s">
        <v>30</v>
      </c>
      <c r="I171" s="33" t="s">
        <v>735</v>
      </c>
      <c r="J171" s="33">
        <v>73011</v>
      </c>
      <c r="K171" s="80">
        <f>VLOOKUP(A:A,'staff sales'!C:Q,15,)</f>
        <v>171547.86</v>
      </c>
      <c r="L171" s="81">
        <f>VLOOKUP(A:A,'staff sales'!C:T,18,)</f>
        <v>2745.2299999999996</v>
      </c>
      <c r="M171" s="81">
        <f>VLOOKUP(A:A,'staff sales'!C:W,21,)</f>
        <v>19584.330000000002</v>
      </c>
      <c r="N171" s="81">
        <f>VLOOKUP(A:A,'staff sales'!C:Z,24,)</f>
        <v>0</v>
      </c>
      <c r="O171" s="81">
        <f>VLOOKUP(A:A,'staff sales'!C:AC,27,)</f>
        <v>5</v>
      </c>
      <c r="P171" s="81">
        <f>VLOOKUP(A:A,'staff sales'!C:AF,30,)</f>
        <v>0</v>
      </c>
      <c r="Q171" s="81">
        <f>VLOOKUP(A:A,'staff sales'!C:AI,33,)</f>
        <v>71</v>
      </c>
      <c r="R171" s="81">
        <f>VLOOKUP(A:A,'staff sales'!C:AL,36,)</f>
        <v>4</v>
      </c>
      <c r="S171" s="81">
        <f>VLOOKUP(A:A,'staff sales'!C:AO,39,)</f>
        <v>3</v>
      </c>
      <c r="T171" s="81">
        <f>VLOOKUP(A:A,'staff sales'!C:AR,42,)</f>
        <v>1</v>
      </c>
      <c r="U171" s="81">
        <f>VLOOKUP(A:A,'staff sales'!C:AU,45,)</f>
        <v>1</v>
      </c>
      <c r="V171" s="81">
        <f>VLOOKUP(A:A,'staff sales'!C:AX,48,)</f>
        <v>0</v>
      </c>
      <c r="W171" s="81">
        <f>VLOOKUP(A:A,'staff sales'!C:BA,51,)</f>
        <v>2</v>
      </c>
    </row>
    <row r="172" spans="1:23" x14ac:dyDescent="0.25">
      <c r="A172" s="32">
        <v>1094839089</v>
      </c>
      <c r="B172" s="32" t="s">
        <v>739</v>
      </c>
      <c r="C172" s="26" t="s">
        <v>546</v>
      </c>
      <c r="D172" s="26" t="s">
        <v>546</v>
      </c>
      <c r="E172" s="26" t="s">
        <v>479</v>
      </c>
      <c r="F172" s="26" t="s">
        <v>479</v>
      </c>
      <c r="G172" s="26" t="s">
        <v>1218</v>
      </c>
      <c r="H172" s="26" t="s">
        <v>30</v>
      </c>
      <c r="I172" s="26" t="s">
        <v>735</v>
      </c>
      <c r="J172" s="26">
        <v>73011</v>
      </c>
      <c r="K172" s="80">
        <f>VLOOKUP(A:A,'staff sales'!C:Q,15,)</f>
        <v>60383.489999999991</v>
      </c>
      <c r="L172" s="81">
        <f>VLOOKUP(A:A,'staff sales'!C:T,18,)</f>
        <v>11171.309999999998</v>
      </c>
      <c r="M172" s="81">
        <f>VLOOKUP(A:A,'staff sales'!C:W,21,)</f>
        <v>4563.9100000000008</v>
      </c>
      <c r="N172" s="81">
        <f>VLOOKUP(A:A,'staff sales'!C:Z,24,)</f>
        <v>2470</v>
      </c>
      <c r="O172" s="81">
        <f>VLOOKUP(A:A,'staff sales'!C:AC,27,)</f>
        <v>14</v>
      </c>
      <c r="P172" s="81">
        <f>VLOOKUP(A:A,'staff sales'!C:AF,30,)</f>
        <v>1</v>
      </c>
      <c r="Q172" s="81">
        <f>VLOOKUP(A:A,'staff sales'!C:AI,33,)</f>
        <v>18</v>
      </c>
      <c r="R172" s="81">
        <f>VLOOKUP(A:A,'staff sales'!C:AL,36,)</f>
        <v>1</v>
      </c>
      <c r="S172" s="81">
        <f>VLOOKUP(A:A,'staff sales'!C:AO,39,)</f>
        <v>3</v>
      </c>
      <c r="T172" s="81">
        <f>VLOOKUP(A:A,'staff sales'!C:AR,42,)</f>
        <v>3</v>
      </c>
      <c r="U172" s="81">
        <f>VLOOKUP(A:A,'staff sales'!C:AU,45,)</f>
        <v>1</v>
      </c>
      <c r="V172" s="81">
        <f>VLOOKUP(A:A,'staff sales'!C:AX,48,)</f>
        <v>0</v>
      </c>
      <c r="W172" s="81">
        <f>VLOOKUP(A:A,'staff sales'!C:BA,51,)</f>
        <v>0</v>
      </c>
    </row>
    <row r="173" spans="1:23" x14ac:dyDescent="0.25">
      <c r="A173" s="5">
        <v>1085093654</v>
      </c>
      <c r="B173" s="5" t="s">
        <v>747</v>
      </c>
      <c r="C173" s="33" t="s">
        <v>546</v>
      </c>
      <c r="D173" s="33" t="s">
        <v>546</v>
      </c>
      <c r="E173" s="33" t="s">
        <v>40</v>
      </c>
      <c r="F173" s="33" t="s">
        <v>40</v>
      </c>
      <c r="G173" s="33" t="s">
        <v>1218</v>
      </c>
      <c r="H173" s="33" t="s">
        <v>30</v>
      </c>
      <c r="I173" s="33" t="s">
        <v>735</v>
      </c>
      <c r="J173" s="33">
        <v>73011</v>
      </c>
      <c r="K173" s="80">
        <f>VLOOKUP(A:A,'staff sales'!C:Q,15,)</f>
        <v>135728.72</v>
      </c>
      <c r="L173" s="81">
        <f>VLOOKUP(A:A,'staff sales'!C:T,18,)</f>
        <v>3499.13</v>
      </c>
      <c r="M173" s="81">
        <f>VLOOKUP(A:A,'staff sales'!C:W,21,)</f>
        <v>34216.47</v>
      </c>
      <c r="N173" s="81">
        <f>VLOOKUP(A:A,'staff sales'!C:Z,24,)</f>
        <v>0</v>
      </c>
      <c r="O173" s="81">
        <f>VLOOKUP(A:A,'staff sales'!C:AC,27,)</f>
        <v>7</v>
      </c>
      <c r="P173" s="81">
        <f>VLOOKUP(A:A,'staff sales'!C:AF,30,)</f>
        <v>1</v>
      </c>
      <c r="Q173" s="81">
        <f>VLOOKUP(A:A,'staff sales'!C:AI,33,)</f>
        <v>63</v>
      </c>
      <c r="R173" s="81">
        <f>VLOOKUP(A:A,'staff sales'!C:AL,36,)</f>
        <v>0</v>
      </c>
      <c r="S173" s="81">
        <f>VLOOKUP(A:A,'staff sales'!C:AO,39,)</f>
        <v>2</v>
      </c>
      <c r="T173" s="81">
        <f>VLOOKUP(A:A,'staff sales'!C:AR,42,)</f>
        <v>4</v>
      </c>
      <c r="U173" s="81">
        <f>VLOOKUP(A:A,'staff sales'!C:AU,45,)</f>
        <v>4</v>
      </c>
      <c r="V173" s="81">
        <f>VLOOKUP(A:A,'staff sales'!C:AX,48,)</f>
        <v>0</v>
      </c>
      <c r="W173" s="81">
        <f>VLOOKUP(A:A,'staff sales'!C:BA,51,)</f>
        <v>16</v>
      </c>
    </row>
    <row r="174" spans="1:23" x14ac:dyDescent="0.25">
      <c r="A174" s="32">
        <v>1062485147</v>
      </c>
      <c r="B174" s="32" t="s">
        <v>736</v>
      </c>
      <c r="C174" s="26" t="s">
        <v>544</v>
      </c>
      <c r="D174" s="26" t="s">
        <v>544</v>
      </c>
      <c r="E174" s="26" t="s">
        <v>426</v>
      </c>
      <c r="F174" s="26" t="s">
        <v>426</v>
      </c>
      <c r="G174" s="26" t="s">
        <v>1218</v>
      </c>
      <c r="H174" s="26" t="s">
        <v>30</v>
      </c>
      <c r="I174" s="26" t="s">
        <v>735</v>
      </c>
      <c r="J174" s="26">
        <v>73011</v>
      </c>
      <c r="K174" s="80">
        <f>VLOOKUP(A:A,'staff sales'!C:Q,15,)</f>
        <v>5825.22</v>
      </c>
      <c r="L174" s="81">
        <f>VLOOKUP(A:A,'staff sales'!C:T,18,)</f>
        <v>0</v>
      </c>
      <c r="M174" s="81">
        <f>VLOOKUP(A:A,'staff sales'!C:W,21,)</f>
        <v>0</v>
      </c>
      <c r="N174" s="81">
        <f>VLOOKUP(A:A,'staff sales'!C:Z,24,)</f>
        <v>0</v>
      </c>
      <c r="O174" s="81">
        <f>VLOOKUP(A:A,'staff sales'!C:AC,27,)</f>
        <v>1</v>
      </c>
      <c r="P174" s="81">
        <f>VLOOKUP(A:A,'staff sales'!C:AF,30,)</f>
        <v>1</v>
      </c>
      <c r="Q174" s="81">
        <f>VLOOKUP(A:A,'staff sales'!C:AI,33,)</f>
        <v>4</v>
      </c>
      <c r="R174" s="81">
        <f>VLOOKUP(A:A,'staff sales'!C:AL,36,)</f>
        <v>0</v>
      </c>
      <c r="S174" s="81">
        <f>VLOOKUP(A:A,'staff sales'!C:AO,39,)</f>
        <v>1</v>
      </c>
      <c r="T174" s="81">
        <f>VLOOKUP(A:A,'staff sales'!C:AR,42,)</f>
        <v>0</v>
      </c>
      <c r="U174" s="81">
        <f>VLOOKUP(A:A,'staff sales'!C:AU,45,)</f>
        <v>0</v>
      </c>
      <c r="V174" s="81">
        <f>VLOOKUP(A:A,'staff sales'!C:AX,48,)</f>
        <v>0</v>
      </c>
      <c r="W174" s="81">
        <f>VLOOKUP(A:A,'staff sales'!C:BA,51,)</f>
        <v>0</v>
      </c>
    </row>
    <row r="175" spans="1:23" x14ac:dyDescent="0.25">
      <c r="A175" s="5">
        <v>1078297759</v>
      </c>
      <c r="B175" s="5" t="s">
        <v>743</v>
      </c>
      <c r="C175" s="33" t="s">
        <v>546</v>
      </c>
      <c r="D175" s="33" t="s">
        <v>546</v>
      </c>
      <c r="E175" s="33" t="s">
        <v>744</v>
      </c>
      <c r="F175" s="33" t="s">
        <v>744</v>
      </c>
      <c r="G175" s="33" t="s">
        <v>1218</v>
      </c>
      <c r="H175" s="33" t="s">
        <v>30</v>
      </c>
      <c r="I175" s="33" t="s">
        <v>735</v>
      </c>
      <c r="J175" s="33">
        <v>73011</v>
      </c>
      <c r="K175" s="80">
        <f>VLOOKUP(A:A,'staff sales'!C:Q,15,)</f>
        <v>79132.180000000008</v>
      </c>
      <c r="L175" s="81">
        <f>VLOOKUP(A:A,'staff sales'!C:T,18,)</f>
        <v>2934.49</v>
      </c>
      <c r="M175" s="81">
        <f>VLOOKUP(A:A,'staff sales'!C:W,21,)</f>
        <v>13671.980000000001</v>
      </c>
      <c r="N175" s="81">
        <f>VLOOKUP(A:A,'staff sales'!C:Z,24,)</f>
        <v>0</v>
      </c>
      <c r="O175" s="81">
        <f>VLOOKUP(A:A,'staff sales'!C:AC,27,)</f>
        <v>6</v>
      </c>
      <c r="P175" s="81">
        <f>VLOOKUP(A:A,'staff sales'!C:AF,30,)</f>
        <v>0</v>
      </c>
      <c r="Q175" s="81">
        <f>VLOOKUP(A:A,'staff sales'!C:AI,33,)</f>
        <v>64</v>
      </c>
      <c r="R175" s="81">
        <f>VLOOKUP(A:A,'staff sales'!C:AL,36,)</f>
        <v>2</v>
      </c>
      <c r="S175" s="81">
        <f>VLOOKUP(A:A,'staff sales'!C:AO,39,)</f>
        <v>2</v>
      </c>
      <c r="T175" s="81">
        <f>VLOOKUP(A:A,'staff sales'!C:AR,42,)</f>
        <v>1</v>
      </c>
      <c r="U175" s="81">
        <f>VLOOKUP(A:A,'staff sales'!C:AU,45,)</f>
        <v>0</v>
      </c>
      <c r="V175" s="81">
        <f>VLOOKUP(A:A,'staff sales'!C:AX,48,)</f>
        <v>0</v>
      </c>
      <c r="W175" s="81">
        <f>VLOOKUP(A:A,'staff sales'!C:BA,51,)</f>
        <v>3</v>
      </c>
    </row>
    <row r="176" spans="1:23" x14ac:dyDescent="0.25">
      <c r="A176" s="32">
        <v>1067502060</v>
      </c>
      <c r="B176" s="32" t="s">
        <v>738</v>
      </c>
      <c r="C176" s="26" t="s">
        <v>546</v>
      </c>
      <c r="D176" s="26" t="s">
        <v>546</v>
      </c>
      <c r="E176" s="26" t="s">
        <v>481</v>
      </c>
      <c r="F176" s="26" t="s">
        <v>481</v>
      </c>
      <c r="G176" s="26" t="s">
        <v>1218</v>
      </c>
      <c r="H176" s="26" t="s">
        <v>30</v>
      </c>
      <c r="I176" s="26" t="s">
        <v>735</v>
      </c>
      <c r="J176" s="26">
        <v>73011</v>
      </c>
      <c r="K176" s="80">
        <f>VLOOKUP(A:A,'staff sales'!C:Q,15,)</f>
        <v>84147.86</v>
      </c>
      <c r="L176" s="81">
        <f>VLOOKUP(A:A,'staff sales'!C:T,18,)</f>
        <v>3564.35</v>
      </c>
      <c r="M176" s="81">
        <f>VLOOKUP(A:A,'staff sales'!C:W,21,)</f>
        <v>10569.13</v>
      </c>
      <c r="N176" s="81">
        <f>VLOOKUP(A:A,'staff sales'!C:Z,24,)</f>
        <v>0</v>
      </c>
      <c r="O176" s="81">
        <f>VLOOKUP(A:A,'staff sales'!C:AC,27,)</f>
        <v>5</v>
      </c>
      <c r="P176" s="81">
        <f>VLOOKUP(A:A,'staff sales'!C:AF,30,)</f>
        <v>0</v>
      </c>
      <c r="Q176" s="81">
        <f>VLOOKUP(A:A,'staff sales'!C:AI,33,)</f>
        <v>31</v>
      </c>
      <c r="R176" s="81">
        <f>VLOOKUP(A:A,'staff sales'!C:AL,36,)</f>
        <v>0</v>
      </c>
      <c r="S176" s="81">
        <f>VLOOKUP(A:A,'staff sales'!C:AO,39,)</f>
        <v>0</v>
      </c>
      <c r="T176" s="81">
        <f>VLOOKUP(A:A,'staff sales'!C:AR,42,)</f>
        <v>1</v>
      </c>
      <c r="U176" s="81">
        <f>VLOOKUP(A:A,'staff sales'!C:AU,45,)</f>
        <v>1</v>
      </c>
      <c r="V176" s="81">
        <f>VLOOKUP(A:A,'staff sales'!C:AX,48,)</f>
        <v>0</v>
      </c>
      <c r="W176" s="81">
        <f>VLOOKUP(A:A,'staff sales'!C:BA,51,)</f>
        <v>1</v>
      </c>
    </row>
    <row r="177" spans="1:23" x14ac:dyDescent="0.25">
      <c r="A177" s="5">
        <v>1088445323</v>
      </c>
      <c r="B177" s="5" t="s">
        <v>777</v>
      </c>
      <c r="C177" s="33" t="s">
        <v>546</v>
      </c>
      <c r="D177" s="33" t="s">
        <v>546</v>
      </c>
      <c r="E177" s="33" t="s">
        <v>38</v>
      </c>
      <c r="F177" s="33" t="s">
        <v>38</v>
      </c>
      <c r="G177" s="33" t="s">
        <v>1218</v>
      </c>
      <c r="H177" s="33" t="s">
        <v>30</v>
      </c>
      <c r="I177" s="33" t="s">
        <v>735</v>
      </c>
      <c r="J177" s="33">
        <v>73011</v>
      </c>
      <c r="K177" s="80">
        <f>VLOOKUP(A:A,'staff sales'!C:Q,15,)</f>
        <v>193026.95</v>
      </c>
      <c r="L177" s="81">
        <f>VLOOKUP(A:A,'staff sales'!C:T,18,)</f>
        <v>11212.720000000001</v>
      </c>
      <c r="M177" s="81">
        <f>VLOOKUP(A:A,'staff sales'!C:W,21,)</f>
        <v>20220.719999999998</v>
      </c>
      <c r="N177" s="81">
        <f>VLOOKUP(A:A,'staff sales'!C:Z,24,)</f>
        <v>0</v>
      </c>
      <c r="O177" s="81">
        <f>VLOOKUP(A:A,'staff sales'!C:AC,27,)</f>
        <v>9</v>
      </c>
      <c r="P177" s="81">
        <f>VLOOKUP(A:A,'staff sales'!C:AF,30,)</f>
        <v>1</v>
      </c>
      <c r="Q177" s="81">
        <f>VLOOKUP(A:A,'staff sales'!C:AI,33,)</f>
        <v>120</v>
      </c>
      <c r="R177" s="81">
        <f>VLOOKUP(A:A,'staff sales'!C:AL,36,)</f>
        <v>3</v>
      </c>
      <c r="S177" s="81">
        <f>VLOOKUP(A:A,'staff sales'!C:AO,39,)</f>
        <v>0</v>
      </c>
      <c r="T177" s="81">
        <f>VLOOKUP(A:A,'staff sales'!C:AR,42,)</f>
        <v>0</v>
      </c>
      <c r="U177" s="81">
        <f>VLOOKUP(A:A,'staff sales'!C:AU,45,)</f>
        <v>2</v>
      </c>
      <c r="V177" s="81">
        <f>VLOOKUP(A:A,'staff sales'!C:AX,48,)</f>
        <v>0</v>
      </c>
      <c r="W177" s="81">
        <f>VLOOKUP(A:A,'staff sales'!C:BA,51,)</f>
        <v>1</v>
      </c>
    </row>
    <row r="178" spans="1:23" x14ac:dyDescent="0.25">
      <c r="A178" s="32">
        <v>1087908651</v>
      </c>
      <c r="B178" s="32" t="s">
        <v>741</v>
      </c>
      <c r="C178" s="26" t="s">
        <v>546</v>
      </c>
      <c r="D178" s="26" t="s">
        <v>546</v>
      </c>
      <c r="E178" s="26" t="s">
        <v>532</v>
      </c>
      <c r="F178" s="26" t="s">
        <v>532</v>
      </c>
      <c r="G178" s="26" t="s">
        <v>1218</v>
      </c>
      <c r="H178" s="26" t="s">
        <v>30</v>
      </c>
      <c r="I178" s="26" t="s">
        <v>735</v>
      </c>
      <c r="J178" s="26">
        <v>73011</v>
      </c>
      <c r="K178" s="80">
        <f>VLOOKUP(A:A,'staff sales'!C:Q,15,)</f>
        <v>123013.95</v>
      </c>
      <c r="L178" s="81">
        <f>VLOOKUP(A:A,'staff sales'!C:T,18,)</f>
        <v>5664.1399999999994</v>
      </c>
      <c r="M178" s="81">
        <f>VLOOKUP(A:A,'staff sales'!C:W,21,)</f>
        <v>13634.55</v>
      </c>
      <c r="N178" s="81">
        <f>VLOOKUP(A:A,'staff sales'!C:Z,24,)</f>
        <v>0</v>
      </c>
      <c r="O178" s="81">
        <f>VLOOKUP(A:A,'staff sales'!C:AC,27,)</f>
        <v>13</v>
      </c>
      <c r="P178" s="81">
        <f>VLOOKUP(A:A,'staff sales'!C:AF,30,)</f>
        <v>0</v>
      </c>
      <c r="Q178" s="81">
        <f>VLOOKUP(A:A,'staff sales'!C:AI,33,)</f>
        <v>92</v>
      </c>
      <c r="R178" s="81">
        <f>VLOOKUP(A:A,'staff sales'!C:AL,36,)</f>
        <v>1</v>
      </c>
      <c r="S178" s="81">
        <f>VLOOKUP(A:A,'staff sales'!C:AO,39,)</f>
        <v>4</v>
      </c>
      <c r="T178" s="81">
        <f>VLOOKUP(A:A,'staff sales'!C:AR,42,)</f>
        <v>1</v>
      </c>
      <c r="U178" s="81">
        <f>VLOOKUP(A:A,'staff sales'!C:AU,45,)</f>
        <v>5</v>
      </c>
      <c r="V178" s="81">
        <f>VLOOKUP(A:A,'staff sales'!C:AX,48,)</f>
        <v>0</v>
      </c>
      <c r="W178" s="81">
        <f>VLOOKUP(A:A,'staff sales'!C:BA,51,)</f>
        <v>1</v>
      </c>
    </row>
    <row r="179" spans="1:23" x14ac:dyDescent="0.25">
      <c r="A179" s="5">
        <v>1087101398</v>
      </c>
      <c r="B179" s="5" t="s">
        <v>748</v>
      </c>
      <c r="C179" s="33" t="s">
        <v>546</v>
      </c>
      <c r="D179" s="33" t="s">
        <v>546</v>
      </c>
      <c r="E179" s="33" t="s">
        <v>483</v>
      </c>
      <c r="F179" s="33" t="s">
        <v>484</v>
      </c>
      <c r="G179" s="33" t="s">
        <v>1218</v>
      </c>
      <c r="H179" s="33" t="s">
        <v>30</v>
      </c>
      <c r="I179" s="33" t="s">
        <v>735</v>
      </c>
      <c r="J179" s="33">
        <v>73011</v>
      </c>
      <c r="K179" s="80">
        <f>VLOOKUP(A:A,'staff sales'!C:Q,15,)</f>
        <v>61469.579999999987</v>
      </c>
      <c r="L179" s="81">
        <f>VLOOKUP(A:A,'staff sales'!C:T,18,)</f>
        <v>0</v>
      </c>
      <c r="M179" s="81">
        <f>VLOOKUP(A:A,'staff sales'!C:W,21,)</f>
        <v>5276.09</v>
      </c>
      <c r="N179" s="81">
        <f>VLOOKUP(A:A,'staff sales'!C:Z,24,)</f>
        <v>0</v>
      </c>
      <c r="O179" s="81">
        <f>VLOOKUP(A:A,'staff sales'!C:AC,27,)</f>
        <v>4</v>
      </c>
      <c r="P179" s="81">
        <f>VLOOKUP(A:A,'staff sales'!C:AF,30,)</f>
        <v>1</v>
      </c>
      <c r="Q179" s="81">
        <f>VLOOKUP(A:A,'staff sales'!C:AI,33,)</f>
        <v>50</v>
      </c>
      <c r="R179" s="81">
        <f>VLOOKUP(A:A,'staff sales'!C:AL,36,)</f>
        <v>4</v>
      </c>
      <c r="S179" s="81">
        <f>VLOOKUP(A:A,'staff sales'!C:AO,39,)</f>
        <v>5</v>
      </c>
      <c r="T179" s="81">
        <f>VLOOKUP(A:A,'staff sales'!C:AR,42,)</f>
        <v>1</v>
      </c>
      <c r="U179" s="81">
        <f>VLOOKUP(A:A,'staff sales'!C:AU,45,)</f>
        <v>1</v>
      </c>
      <c r="V179" s="81">
        <f>VLOOKUP(A:A,'staff sales'!C:AX,48,)</f>
        <v>0</v>
      </c>
      <c r="W179" s="81">
        <f>VLOOKUP(A:A,'staff sales'!C:BA,51,)</f>
        <v>0</v>
      </c>
    </row>
    <row r="180" spans="1:23" x14ac:dyDescent="0.25">
      <c r="A180" s="5">
        <v>1036090130</v>
      </c>
      <c r="B180" s="5" t="s">
        <v>749</v>
      </c>
      <c r="C180" s="33" t="s">
        <v>541</v>
      </c>
      <c r="D180" s="33" t="s">
        <v>541</v>
      </c>
      <c r="E180" s="33" t="s">
        <v>41</v>
      </c>
      <c r="F180" s="33" t="s">
        <v>41</v>
      </c>
      <c r="G180" s="33" t="s">
        <v>1218</v>
      </c>
      <c r="H180" s="33" t="s">
        <v>30</v>
      </c>
      <c r="I180" s="33" t="s">
        <v>42</v>
      </c>
      <c r="J180" s="33">
        <v>73013</v>
      </c>
      <c r="K180" s="80">
        <f>VLOOKUP(A:A,'staff sales'!C:Q,15,)</f>
        <v>0</v>
      </c>
      <c r="L180" s="81">
        <f>VLOOKUP(A:A,'staff sales'!C:T,18,)</f>
        <v>0</v>
      </c>
      <c r="M180" s="81">
        <f>VLOOKUP(A:A,'staff sales'!C:W,21,)</f>
        <v>0</v>
      </c>
      <c r="N180" s="81">
        <f>VLOOKUP(A:A,'staff sales'!C:Z,24,)</f>
        <v>0</v>
      </c>
      <c r="O180" s="81">
        <f>VLOOKUP(A:A,'staff sales'!C:AC,27,)</f>
        <v>0</v>
      </c>
      <c r="P180" s="81">
        <f>VLOOKUP(A:A,'staff sales'!C:AF,30,)</f>
        <v>0</v>
      </c>
      <c r="Q180" s="81">
        <f>VLOOKUP(A:A,'staff sales'!C:AI,33,)</f>
        <v>0</v>
      </c>
      <c r="R180" s="81">
        <f>VLOOKUP(A:A,'staff sales'!C:AL,36,)</f>
        <v>0</v>
      </c>
      <c r="S180" s="81">
        <f>VLOOKUP(A:A,'staff sales'!C:AO,39,)</f>
        <v>0</v>
      </c>
      <c r="T180" s="81">
        <f>VLOOKUP(A:A,'staff sales'!C:AR,42,)</f>
        <v>0</v>
      </c>
      <c r="U180" s="81">
        <f>VLOOKUP(A:A,'staff sales'!C:AU,45,)</f>
        <v>0</v>
      </c>
      <c r="V180" s="81">
        <f>VLOOKUP(A:A,'staff sales'!C:AX,48,)</f>
        <v>0</v>
      </c>
      <c r="W180" s="81">
        <f>VLOOKUP(A:A,'staff sales'!C:BA,51,)</f>
        <v>0</v>
      </c>
    </row>
    <row r="181" spans="1:23" x14ac:dyDescent="0.25">
      <c r="A181" s="32">
        <v>1052581749</v>
      </c>
      <c r="B181" s="32" t="s">
        <v>750</v>
      </c>
      <c r="C181" s="26" t="s">
        <v>544</v>
      </c>
      <c r="D181" s="26" t="s">
        <v>544</v>
      </c>
      <c r="E181" s="26" t="s">
        <v>43</v>
      </c>
      <c r="F181" s="26" t="s">
        <v>43</v>
      </c>
      <c r="G181" s="26" t="s">
        <v>1218</v>
      </c>
      <c r="H181" s="26" t="s">
        <v>30</v>
      </c>
      <c r="I181" s="26" t="s">
        <v>42</v>
      </c>
      <c r="J181" s="26">
        <v>73013</v>
      </c>
      <c r="K181" s="80">
        <f>VLOOKUP(A:A,'staff sales'!C:Q,15,)</f>
        <v>0</v>
      </c>
      <c r="L181" s="81">
        <f>VLOOKUP(A:A,'staff sales'!C:T,18,)</f>
        <v>0</v>
      </c>
      <c r="M181" s="81">
        <f>VLOOKUP(A:A,'staff sales'!C:W,21,)</f>
        <v>0</v>
      </c>
      <c r="N181" s="81">
        <f>VLOOKUP(A:A,'staff sales'!C:Z,24,)</f>
        <v>0</v>
      </c>
      <c r="O181" s="81">
        <f>VLOOKUP(A:A,'staff sales'!C:AC,27,)</f>
        <v>0</v>
      </c>
      <c r="P181" s="81">
        <f>VLOOKUP(A:A,'staff sales'!C:AF,30,)</f>
        <v>0</v>
      </c>
      <c r="Q181" s="81">
        <f>VLOOKUP(A:A,'staff sales'!C:AI,33,)</f>
        <v>0</v>
      </c>
      <c r="R181" s="81">
        <f>VLOOKUP(A:A,'staff sales'!C:AL,36,)</f>
        <v>0</v>
      </c>
      <c r="S181" s="81">
        <f>VLOOKUP(A:A,'staff sales'!C:AO,39,)</f>
        <v>0</v>
      </c>
      <c r="T181" s="81">
        <f>VLOOKUP(A:A,'staff sales'!C:AR,42,)</f>
        <v>0</v>
      </c>
      <c r="U181" s="81">
        <f>VLOOKUP(A:A,'staff sales'!C:AU,45,)</f>
        <v>0</v>
      </c>
      <c r="V181" s="81">
        <f>VLOOKUP(A:A,'staff sales'!C:AX,48,)</f>
        <v>0</v>
      </c>
      <c r="W181" s="81">
        <f>VLOOKUP(A:A,'staff sales'!C:BA,51,)</f>
        <v>0</v>
      </c>
    </row>
    <row r="182" spans="1:23" x14ac:dyDescent="0.25">
      <c r="A182" s="5">
        <v>1053949341</v>
      </c>
      <c r="B182" s="5" t="s">
        <v>751</v>
      </c>
      <c r="C182" s="33" t="s">
        <v>546</v>
      </c>
      <c r="D182" s="33" t="s">
        <v>546</v>
      </c>
      <c r="E182" s="33" t="s">
        <v>427</v>
      </c>
      <c r="F182" s="33" t="s">
        <v>428</v>
      </c>
      <c r="G182" s="33" t="s">
        <v>1218</v>
      </c>
      <c r="H182" s="33" t="s">
        <v>30</v>
      </c>
      <c r="I182" s="33" t="s">
        <v>42</v>
      </c>
      <c r="J182" s="33">
        <v>73013</v>
      </c>
      <c r="K182" s="80">
        <f>VLOOKUP(A:A,'staff sales'!C:Q,15,)</f>
        <v>47893.05</v>
      </c>
      <c r="L182" s="81">
        <f>VLOOKUP(A:A,'staff sales'!C:T,18,)</f>
        <v>0</v>
      </c>
      <c r="M182" s="81">
        <f>VLOOKUP(A:A,'staff sales'!C:W,21,)</f>
        <v>10615.650000000001</v>
      </c>
      <c r="N182" s="81">
        <f>VLOOKUP(A:A,'staff sales'!C:Z,24,)</f>
        <v>0</v>
      </c>
      <c r="O182" s="81">
        <f>VLOOKUP(A:A,'staff sales'!C:AC,27,)</f>
        <v>6</v>
      </c>
      <c r="P182" s="81">
        <f>VLOOKUP(A:A,'staff sales'!C:AF,30,)</f>
        <v>0</v>
      </c>
      <c r="Q182" s="81">
        <f>VLOOKUP(A:A,'staff sales'!C:AI,33,)</f>
        <v>47</v>
      </c>
      <c r="R182" s="81">
        <f>VLOOKUP(A:A,'staff sales'!C:AL,36,)</f>
        <v>1</v>
      </c>
      <c r="S182" s="81">
        <f>VLOOKUP(A:A,'staff sales'!C:AO,39,)</f>
        <v>1</v>
      </c>
      <c r="T182" s="81">
        <f>VLOOKUP(A:A,'staff sales'!C:AR,42,)</f>
        <v>6</v>
      </c>
      <c r="U182" s="81">
        <f>VLOOKUP(A:A,'staff sales'!C:AU,45,)</f>
        <v>0</v>
      </c>
      <c r="V182" s="81">
        <f>VLOOKUP(A:A,'staff sales'!C:AX,48,)</f>
        <v>0</v>
      </c>
      <c r="W182" s="81">
        <f>VLOOKUP(A:A,'staff sales'!C:BA,51,)</f>
        <v>1</v>
      </c>
    </row>
    <row r="183" spans="1:23" x14ac:dyDescent="0.25">
      <c r="A183" s="7">
        <v>1063190621</v>
      </c>
      <c r="B183" s="7" t="s">
        <v>752</v>
      </c>
      <c r="C183" s="6" t="s">
        <v>546</v>
      </c>
      <c r="D183" s="6" t="s">
        <v>546</v>
      </c>
      <c r="E183" s="6" t="s">
        <v>44</v>
      </c>
      <c r="F183" s="6" t="s">
        <v>45</v>
      </c>
      <c r="G183" s="6" t="s">
        <v>1218</v>
      </c>
      <c r="H183" s="6" t="s">
        <v>30</v>
      </c>
      <c r="I183" s="6" t="s">
        <v>42</v>
      </c>
      <c r="J183" s="6">
        <v>73013</v>
      </c>
      <c r="K183" s="80">
        <f>VLOOKUP(A:A,'staff sales'!C:Q,15,)</f>
        <v>32006.959999999999</v>
      </c>
      <c r="L183" s="81">
        <f>VLOOKUP(A:A,'staff sales'!C:T,18,)</f>
        <v>0</v>
      </c>
      <c r="M183" s="81">
        <f>VLOOKUP(A:A,'staff sales'!C:W,21,)</f>
        <v>7410</v>
      </c>
      <c r="N183" s="81">
        <f>VLOOKUP(A:A,'staff sales'!C:Z,24,)</f>
        <v>0</v>
      </c>
      <c r="O183" s="81">
        <f>VLOOKUP(A:A,'staff sales'!C:AC,27,)</f>
        <v>1</v>
      </c>
      <c r="P183" s="81">
        <f>VLOOKUP(A:A,'staff sales'!C:AF,30,)</f>
        <v>0</v>
      </c>
      <c r="Q183" s="81">
        <f>VLOOKUP(A:A,'staff sales'!C:AI,33,)</f>
        <v>31</v>
      </c>
      <c r="R183" s="81">
        <f>VLOOKUP(A:A,'staff sales'!C:AL,36,)</f>
        <v>0</v>
      </c>
      <c r="S183" s="81">
        <f>VLOOKUP(A:A,'staff sales'!C:AO,39,)</f>
        <v>0</v>
      </c>
      <c r="T183" s="81">
        <f>VLOOKUP(A:A,'staff sales'!C:AR,42,)</f>
        <v>3</v>
      </c>
      <c r="U183" s="81">
        <f>VLOOKUP(A:A,'staff sales'!C:AU,45,)</f>
        <v>0</v>
      </c>
      <c r="V183" s="81">
        <f>VLOOKUP(A:A,'staff sales'!C:AX,48,)</f>
        <v>0</v>
      </c>
      <c r="W183" s="81">
        <f>VLOOKUP(A:A,'staff sales'!C:BA,51,)</f>
        <v>5</v>
      </c>
    </row>
    <row r="184" spans="1:23" x14ac:dyDescent="0.25">
      <c r="A184" s="5">
        <v>1042028231</v>
      </c>
      <c r="B184" s="5" t="s">
        <v>754</v>
      </c>
      <c r="C184" s="6" t="s">
        <v>546</v>
      </c>
      <c r="D184" s="33" t="s">
        <v>546</v>
      </c>
      <c r="E184" s="33" t="s">
        <v>47</v>
      </c>
      <c r="F184" s="33" t="s">
        <v>47</v>
      </c>
      <c r="G184" s="33" t="s">
        <v>1218</v>
      </c>
      <c r="H184" s="33" t="s">
        <v>30</v>
      </c>
      <c r="I184" s="33" t="s">
        <v>42</v>
      </c>
      <c r="J184" s="33">
        <v>73013</v>
      </c>
      <c r="K184" s="80">
        <f>VLOOKUP(A:A,'staff sales'!C:Q,15,)</f>
        <v>142812.20000000001</v>
      </c>
      <c r="L184" s="81">
        <f>VLOOKUP(A:A,'staff sales'!C:T,18,)</f>
        <v>0</v>
      </c>
      <c r="M184" s="81">
        <f>VLOOKUP(A:A,'staff sales'!C:W,21,)</f>
        <v>14239.99</v>
      </c>
      <c r="N184" s="81">
        <f>VLOOKUP(A:A,'staff sales'!C:Z,24,)</f>
        <v>0</v>
      </c>
      <c r="O184" s="81">
        <f>VLOOKUP(A:A,'staff sales'!C:AC,27,)</f>
        <v>16</v>
      </c>
      <c r="P184" s="81">
        <f>VLOOKUP(A:A,'staff sales'!C:AF,30,)</f>
        <v>0</v>
      </c>
      <c r="Q184" s="81">
        <f>VLOOKUP(A:A,'staff sales'!C:AI,33,)</f>
        <v>58</v>
      </c>
      <c r="R184" s="81">
        <f>VLOOKUP(A:A,'staff sales'!C:AL,36,)</f>
        <v>2</v>
      </c>
      <c r="S184" s="81">
        <f>VLOOKUP(A:A,'staff sales'!C:AO,39,)</f>
        <v>0</v>
      </c>
      <c r="T184" s="81">
        <f>VLOOKUP(A:A,'staff sales'!C:AR,42,)</f>
        <v>4</v>
      </c>
      <c r="U184" s="81">
        <f>VLOOKUP(A:A,'staff sales'!C:AU,45,)</f>
        <v>0</v>
      </c>
      <c r="V184" s="81">
        <f>VLOOKUP(A:A,'staff sales'!C:AX,48,)</f>
        <v>0</v>
      </c>
      <c r="W184" s="81">
        <f>VLOOKUP(A:A,'staff sales'!C:BA,51,)</f>
        <v>12</v>
      </c>
    </row>
    <row r="185" spans="1:23" x14ac:dyDescent="0.25">
      <c r="A185" s="32">
        <v>1021358377</v>
      </c>
      <c r="B185" s="32" t="s">
        <v>755</v>
      </c>
      <c r="C185" s="26" t="s">
        <v>546</v>
      </c>
      <c r="D185" s="26" t="s">
        <v>546</v>
      </c>
      <c r="E185" s="26" t="s">
        <v>48</v>
      </c>
      <c r="F185" s="26" t="s">
        <v>49</v>
      </c>
      <c r="G185" s="26" t="s">
        <v>1218</v>
      </c>
      <c r="H185" s="26" t="s">
        <v>30</v>
      </c>
      <c r="I185" s="26" t="s">
        <v>42</v>
      </c>
      <c r="J185" s="26">
        <v>73013</v>
      </c>
      <c r="K185" s="80">
        <f>VLOOKUP(A:A,'staff sales'!C:Q,15,)</f>
        <v>52822.61</v>
      </c>
      <c r="L185" s="81">
        <f>VLOOKUP(A:A,'staff sales'!C:T,18,)</f>
        <v>7251.3</v>
      </c>
      <c r="M185" s="81">
        <f>VLOOKUP(A:A,'staff sales'!C:W,21,)</f>
        <v>7458.26</v>
      </c>
      <c r="N185" s="81">
        <f>VLOOKUP(A:A,'staff sales'!C:Z,24,)</f>
        <v>0</v>
      </c>
      <c r="O185" s="81">
        <f>VLOOKUP(A:A,'staff sales'!C:AC,27,)</f>
        <v>0</v>
      </c>
      <c r="P185" s="81">
        <f>VLOOKUP(A:A,'staff sales'!C:AF,30,)</f>
        <v>1</v>
      </c>
      <c r="Q185" s="81">
        <f>VLOOKUP(A:A,'staff sales'!C:AI,33,)</f>
        <v>32</v>
      </c>
      <c r="R185" s="81">
        <f>VLOOKUP(A:A,'staff sales'!C:AL,36,)</f>
        <v>0</v>
      </c>
      <c r="S185" s="81">
        <f>VLOOKUP(A:A,'staff sales'!C:AO,39,)</f>
        <v>1</v>
      </c>
      <c r="T185" s="81">
        <f>VLOOKUP(A:A,'staff sales'!C:AR,42,)</f>
        <v>2</v>
      </c>
      <c r="U185" s="81">
        <f>VLOOKUP(A:A,'staff sales'!C:AU,45,)</f>
        <v>0</v>
      </c>
      <c r="V185" s="81">
        <f>VLOOKUP(A:A,'staff sales'!C:AX,48,)</f>
        <v>0</v>
      </c>
      <c r="W185" s="81">
        <f>VLOOKUP(A:A,'staff sales'!C:BA,51,)</f>
        <v>4</v>
      </c>
    </row>
    <row r="186" spans="1:23" x14ac:dyDescent="0.25">
      <c r="A186" s="5">
        <v>1066321231</v>
      </c>
      <c r="B186" s="5" t="s">
        <v>756</v>
      </c>
      <c r="C186" s="33" t="s">
        <v>546</v>
      </c>
      <c r="D186" s="33" t="s">
        <v>546</v>
      </c>
      <c r="E186" s="33" t="s">
        <v>50</v>
      </c>
      <c r="F186" s="33" t="s">
        <v>50</v>
      </c>
      <c r="G186" s="33" t="s">
        <v>1218</v>
      </c>
      <c r="H186" s="33" t="s">
        <v>30</v>
      </c>
      <c r="I186" s="33" t="s">
        <v>42</v>
      </c>
      <c r="J186" s="33">
        <v>73013</v>
      </c>
      <c r="K186" s="80">
        <f>VLOOKUP(A:A,'staff sales'!C:Q,15,)</f>
        <v>65240.020000000004</v>
      </c>
      <c r="L186" s="81">
        <f>VLOOKUP(A:A,'staff sales'!C:T,18,)</f>
        <v>0</v>
      </c>
      <c r="M186" s="81">
        <f>VLOOKUP(A:A,'staff sales'!C:W,21,)</f>
        <v>7077.380000000001</v>
      </c>
      <c r="N186" s="81">
        <f>VLOOKUP(A:A,'staff sales'!C:Z,24,)</f>
        <v>0</v>
      </c>
      <c r="O186" s="81">
        <f>VLOOKUP(A:A,'staff sales'!C:AC,27,)</f>
        <v>3</v>
      </c>
      <c r="P186" s="81">
        <f>VLOOKUP(A:A,'staff sales'!C:AF,30,)</f>
        <v>1</v>
      </c>
      <c r="Q186" s="81">
        <f>VLOOKUP(A:A,'staff sales'!C:AI,33,)</f>
        <v>71</v>
      </c>
      <c r="R186" s="81">
        <f>VLOOKUP(A:A,'staff sales'!C:AL,36,)</f>
        <v>1</v>
      </c>
      <c r="S186" s="81">
        <f>VLOOKUP(A:A,'staff sales'!C:AO,39,)</f>
        <v>3</v>
      </c>
      <c r="T186" s="81">
        <f>VLOOKUP(A:A,'staff sales'!C:AR,42,)</f>
        <v>4</v>
      </c>
      <c r="U186" s="81">
        <f>VLOOKUP(A:A,'staff sales'!C:AU,45,)</f>
        <v>0</v>
      </c>
      <c r="V186" s="81">
        <f>VLOOKUP(A:A,'staff sales'!C:AX,48,)</f>
        <v>0</v>
      </c>
      <c r="W186" s="81">
        <f>VLOOKUP(A:A,'staff sales'!C:BA,51,)</f>
        <v>1</v>
      </c>
    </row>
    <row r="187" spans="1:23" x14ac:dyDescent="0.25">
      <c r="A187" s="32">
        <v>1049143066</v>
      </c>
      <c r="B187" s="32" t="s">
        <v>757</v>
      </c>
      <c r="C187" s="26" t="s">
        <v>546</v>
      </c>
      <c r="D187" s="26" t="s">
        <v>546</v>
      </c>
      <c r="E187" s="26" t="s">
        <v>51</v>
      </c>
      <c r="F187" s="26" t="s">
        <v>51</v>
      </c>
      <c r="G187" s="26" t="s">
        <v>1218</v>
      </c>
      <c r="H187" s="26" t="s">
        <v>30</v>
      </c>
      <c r="I187" s="26" t="s">
        <v>42</v>
      </c>
      <c r="J187" s="26">
        <v>73013</v>
      </c>
      <c r="K187" s="80">
        <f>VLOOKUP(A:A,'staff sales'!C:Q,15,)</f>
        <v>119757.43</v>
      </c>
      <c r="L187" s="81">
        <f>VLOOKUP(A:A,'staff sales'!C:T,18,)</f>
        <v>3216.52</v>
      </c>
      <c r="M187" s="81">
        <f>VLOOKUP(A:A,'staff sales'!C:W,21,)</f>
        <v>15559.999999999998</v>
      </c>
      <c r="N187" s="81">
        <f>VLOOKUP(A:A,'staff sales'!C:Z,24,)</f>
        <v>0</v>
      </c>
      <c r="O187" s="81">
        <f>VLOOKUP(A:A,'staff sales'!C:AC,27,)</f>
        <v>10</v>
      </c>
      <c r="P187" s="81">
        <f>VLOOKUP(A:A,'staff sales'!C:AF,30,)</f>
        <v>0</v>
      </c>
      <c r="Q187" s="81">
        <f>VLOOKUP(A:A,'staff sales'!C:AI,33,)</f>
        <v>52</v>
      </c>
      <c r="R187" s="81">
        <f>VLOOKUP(A:A,'staff sales'!C:AL,36,)</f>
        <v>11</v>
      </c>
      <c r="S187" s="81">
        <f>VLOOKUP(A:A,'staff sales'!C:AO,39,)</f>
        <v>0</v>
      </c>
      <c r="T187" s="81">
        <f>VLOOKUP(A:A,'staff sales'!C:AR,42,)</f>
        <v>8</v>
      </c>
      <c r="U187" s="81">
        <f>VLOOKUP(A:A,'staff sales'!C:AU,45,)</f>
        <v>0</v>
      </c>
      <c r="V187" s="81">
        <f>VLOOKUP(A:A,'staff sales'!C:AX,48,)</f>
        <v>0</v>
      </c>
      <c r="W187" s="81">
        <f>VLOOKUP(A:A,'staff sales'!C:BA,51,)</f>
        <v>10</v>
      </c>
    </row>
    <row r="188" spans="1:23" x14ac:dyDescent="0.25">
      <c r="A188" s="5">
        <v>0</v>
      </c>
      <c r="B188" s="5" t="s">
        <v>973</v>
      </c>
      <c r="C188" s="33" t="s">
        <v>541</v>
      </c>
      <c r="D188" s="33" t="s">
        <v>541</v>
      </c>
      <c r="E188" s="33">
        <v>0</v>
      </c>
      <c r="F188" s="33">
        <v>0</v>
      </c>
      <c r="G188" s="33" t="s">
        <v>1218</v>
      </c>
      <c r="H188" s="33" t="s">
        <v>30</v>
      </c>
      <c r="I188" s="33" t="s">
        <v>52</v>
      </c>
      <c r="J188" s="33">
        <v>73014</v>
      </c>
      <c r="K188" s="80">
        <f>VLOOKUP(A:A,'staff sales'!C:Q,15,)</f>
        <v>0</v>
      </c>
      <c r="L188" s="81">
        <f>VLOOKUP(A:A,'staff sales'!C:T,18,)</f>
        <v>0</v>
      </c>
      <c r="M188" s="81">
        <f>VLOOKUP(A:A,'staff sales'!C:W,21,)</f>
        <v>0</v>
      </c>
      <c r="N188" s="81">
        <f>VLOOKUP(A:A,'staff sales'!C:Z,24,)</f>
        <v>0</v>
      </c>
      <c r="O188" s="81">
        <f>VLOOKUP(A:A,'staff sales'!C:AC,27,)</f>
        <v>0</v>
      </c>
      <c r="P188" s="81">
        <f>VLOOKUP(A:A,'staff sales'!C:AF,30,)</f>
        <v>0</v>
      </c>
      <c r="Q188" s="81">
        <f>VLOOKUP(A:A,'staff sales'!C:AI,33,)</f>
        <v>0</v>
      </c>
      <c r="R188" s="81">
        <f>VLOOKUP(A:A,'staff sales'!C:AL,36,)</f>
        <v>0</v>
      </c>
      <c r="S188" s="81">
        <f>VLOOKUP(A:A,'staff sales'!C:AO,39,)</f>
        <v>0</v>
      </c>
      <c r="T188" s="81">
        <f>VLOOKUP(A:A,'staff sales'!C:AR,42,)</f>
        <v>0</v>
      </c>
      <c r="U188" s="81">
        <f>VLOOKUP(A:A,'staff sales'!C:AU,45,)</f>
        <v>0</v>
      </c>
      <c r="V188" s="81">
        <f>VLOOKUP(A:A,'staff sales'!C:AX,48,)</f>
        <v>0</v>
      </c>
      <c r="W188" s="81">
        <f>VLOOKUP(A:A,'staff sales'!C:BA,51,)</f>
        <v>0</v>
      </c>
    </row>
    <row r="189" spans="1:23" x14ac:dyDescent="0.25">
      <c r="A189" s="32">
        <v>1048870875</v>
      </c>
      <c r="B189" s="32" t="s">
        <v>759</v>
      </c>
      <c r="C189" s="26" t="s">
        <v>544</v>
      </c>
      <c r="D189" s="26" t="s">
        <v>544</v>
      </c>
      <c r="E189" s="26" t="s">
        <v>53</v>
      </c>
      <c r="F189" s="26" t="s">
        <v>53</v>
      </c>
      <c r="G189" s="26" t="s">
        <v>1218</v>
      </c>
      <c r="H189" s="26" t="s">
        <v>30</v>
      </c>
      <c r="I189" s="26" t="s">
        <v>52</v>
      </c>
      <c r="J189" s="26">
        <v>73014</v>
      </c>
      <c r="K189" s="80">
        <f>VLOOKUP(A:A,'staff sales'!C:Q,15,)</f>
        <v>0</v>
      </c>
      <c r="L189" s="81">
        <f>VLOOKUP(A:A,'staff sales'!C:T,18,)</f>
        <v>0</v>
      </c>
      <c r="M189" s="81">
        <f>VLOOKUP(A:A,'staff sales'!C:W,21,)</f>
        <v>0</v>
      </c>
      <c r="N189" s="81">
        <f>VLOOKUP(A:A,'staff sales'!C:Z,24,)</f>
        <v>0</v>
      </c>
      <c r="O189" s="81">
        <f>VLOOKUP(A:A,'staff sales'!C:AC,27,)</f>
        <v>0</v>
      </c>
      <c r="P189" s="81">
        <f>VLOOKUP(A:A,'staff sales'!C:AF,30,)</f>
        <v>0</v>
      </c>
      <c r="Q189" s="81">
        <f>VLOOKUP(A:A,'staff sales'!C:AI,33,)</f>
        <v>0</v>
      </c>
      <c r="R189" s="81">
        <f>VLOOKUP(A:A,'staff sales'!C:AL,36,)</f>
        <v>0</v>
      </c>
      <c r="S189" s="81">
        <f>VLOOKUP(A:A,'staff sales'!C:AO,39,)</f>
        <v>0</v>
      </c>
      <c r="T189" s="81">
        <f>VLOOKUP(A:A,'staff sales'!C:AR,42,)</f>
        <v>0</v>
      </c>
      <c r="U189" s="81">
        <f>VLOOKUP(A:A,'staff sales'!C:AU,45,)</f>
        <v>0</v>
      </c>
      <c r="V189" s="81">
        <f>VLOOKUP(A:A,'staff sales'!C:AX,48,)</f>
        <v>0</v>
      </c>
      <c r="W189" s="81">
        <f>VLOOKUP(A:A,'staff sales'!C:BA,51,)</f>
        <v>0</v>
      </c>
    </row>
    <row r="190" spans="1:23" x14ac:dyDescent="0.25">
      <c r="A190" s="5">
        <v>1028041018</v>
      </c>
      <c r="B190" s="5" t="s">
        <v>758</v>
      </c>
      <c r="C190" s="33" t="s">
        <v>546</v>
      </c>
      <c r="D190" s="33" t="s">
        <v>546</v>
      </c>
      <c r="E190" s="33" t="s">
        <v>55</v>
      </c>
      <c r="F190" s="33" t="s">
        <v>55</v>
      </c>
      <c r="G190" s="33" t="s">
        <v>1218</v>
      </c>
      <c r="H190" s="33" t="s">
        <v>30</v>
      </c>
      <c r="I190" s="33" t="s">
        <v>52</v>
      </c>
      <c r="J190" s="33">
        <v>73014</v>
      </c>
      <c r="K190" s="80">
        <f>VLOOKUP(A:A,'staff sales'!C:Q,15,)</f>
        <v>60560.05</v>
      </c>
      <c r="L190" s="81">
        <f>VLOOKUP(A:A,'staff sales'!C:T,18,)</f>
        <v>0</v>
      </c>
      <c r="M190" s="81">
        <f>VLOOKUP(A:A,'staff sales'!C:W,21,)</f>
        <v>9973.4799999999977</v>
      </c>
      <c r="N190" s="81">
        <f>VLOOKUP(A:A,'staff sales'!C:Z,24,)</f>
        <v>0</v>
      </c>
      <c r="O190" s="81">
        <f>VLOOKUP(A:A,'staff sales'!C:AC,27,)</f>
        <v>1</v>
      </c>
      <c r="P190" s="81">
        <f>VLOOKUP(A:A,'staff sales'!C:AF,30,)</f>
        <v>0</v>
      </c>
      <c r="Q190" s="81">
        <f>VLOOKUP(A:A,'staff sales'!C:AI,33,)</f>
        <v>36</v>
      </c>
      <c r="R190" s="81">
        <f>VLOOKUP(A:A,'staff sales'!C:AL,36,)</f>
        <v>2</v>
      </c>
      <c r="S190" s="81">
        <f>VLOOKUP(A:A,'staff sales'!C:AO,39,)</f>
        <v>0</v>
      </c>
      <c r="T190" s="81">
        <f>VLOOKUP(A:A,'staff sales'!C:AR,42,)</f>
        <v>1</v>
      </c>
      <c r="U190" s="81">
        <f>VLOOKUP(A:A,'staff sales'!C:AU,45,)</f>
        <v>1</v>
      </c>
      <c r="V190" s="81">
        <f>VLOOKUP(A:A,'staff sales'!C:AX,48,)</f>
        <v>0</v>
      </c>
      <c r="W190" s="81">
        <f>VLOOKUP(A:A,'staff sales'!C:BA,51,)</f>
        <v>0</v>
      </c>
    </row>
    <row r="191" spans="1:23" x14ac:dyDescent="0.25">
      <c r="A191" s="32">
        <v>1057592089</v>
      </c>
      <c r="B191" s="32" t="s">
        <v>761</v>
      </c>
      <c r="C191" s="26" t="s">
        <v>546</v>
      </c>
      <c r="D191" s="26" t="s">
        <v>546</v>
      </c>
      <c r="E191" s="26" t="s">
        <v>429</v>
      </c>
      <c r="F191" s="26" t="s">
        <v>430</v>
      </c>
      <c r="G191" s="26" t="s">
        <v>1218</v>
      </c>
      <c r="H191" s="26" t="s">
        <v>30</v>
      </c>
      <c r="I191" s="26" t="s">
        <v>52</v>
      </c>
      <c r="J191" s="26">
        <v>73014</v>
      </c>
      <c r="K191" s="80">
        <f>VLOOKUP(A:A,'staff sales'!C:Q,15,)</f>
        <v>31240.020000000004</v>
      </c>
      <c r="L191" s="81">
        <f>VLOOKUP(A:A,'staff sales'!C:T,18,)</f>
        <v>0</v>
      </c>
      <c r="M191" s="81">
        <f>VLOOKUP(A:A,'staff sales'!C:W,21,)</f>
        <v>4336.9600000000009</v>
      </c>
      <c r="N191" s="81">
        <f>VLOOKUP(A:A,'staff sales'!C:Z,24,)</f>
        <v>0</v>
      </c>
      <c r="O191" s="81">
        <f>VLOOKUP(A:A,'staff sales'!C:AC,27,)</f>
        <v>0</v>
      </c>
      <c r="P191" s="81">
        <f>VLOOKUP(A:A,'staff sales'!C:AF,30,)</f>
        <v>0</v>
      </c>
      <c r="Q191" s="81">
        <f>VLOOKUP(A:A,'staff sales'!C:AI,33,)</f>
        <v>21</v>
      </c>
      <c r="R191" s="81">
        <f>VLOOKUP(A:A,'staff sales'!C:AL,36,)</f>
        <v>2</v>
      </c>
      <c r="S191" s="81">
        <f>VLOOKUP(A:A,'staff sales'!C:AO,39,)</f>
        <v>1</v>
      </c>
      <c r="T191" s="81">
        <f>VLOOKUP(A:A,'staff sales'!C:AR,42,)</f>
        <v>1</v>
      </c>
      <c r="U191" s="81">
        <f>VLOOKUP(A:A,'staff sales'!C:AU,45,)</f>
        <v>0</v>
      </c>
      <c r="V191" s="81">
        <f>VLOOKUP(A:A,'staff sales'!C:AX,48,)</f>
        <v>0</v>
      </c>
      <c r="W191" s="81">
        <f>VLOOKUP(A:A,'staff sales'!C:BA,51,)</f>
        <v>0</v>
      </c>
    </row>
    <row r="192" spans="1:23" x14ac:dyDescent="0.25">
      <c r="A192" s="5">
        <v>1057857342</v>
      </c>
      <c r="B192" s="5" t="s">
        <v>765</v>
      </c>
      <c r="C192" s="33" t="s">
        <v>546</v>
      </c>
      <c r="D192" s="33" t="s">
        <v>546</v>
      </c>
      <c r="E192" s="33" t="s">
        <v>60</v>
      </c>
      <c r="F192" s="33" t="s">
        <v>61</v>
      </c>
      <c r="G192" s="33" t="s">
        <v>1218</v>
      </c>
      <c r="H192" s="33" t="s">
        <v>30</v>
      </c>
      <c r="I192" s="33" t="s">
        <v>52</v>
      </c>
      <c r="J192" s="33">
        <v>73014</v>
      </c>
      <c r="K192" s="80">
        <f>VLOOKUP(A:A,'staff sales'!C:Q,15,)</f>
        <v>32286.98</v>
      </c>
      <c r="L192" s="81">
        <f>VLOOKUP(A:A,'staff sales'!C:T,18,)</f>
        <v>6844.35</v>
      </c>
      <c r="M192" s="81">
        <f>VLOOKUP(A:A,'staff sales'!C:W,21,)</f>
        <v>8312.5999999999985</v>
      </c>
      <c r="N192" s="81">
        <f>VLOOKUP(A:A,'staff sales'!C:Z,24,)</f>
        <v>0</v>
      </c>
      <c r="O192" s="81">
        <f>VLOOKUP(A:A,'staff sales'!C:AC,27,)</f>
        <v>2</v>
      </c>
      <c r="P192" s="81">
        <f>VLOOKUP(A:A,'staff sales'!C:AF,30,)</f>
        <v>0</v>
      </c>
      <c r="Q192" s="81">
        <f>VLOOKUP(A:A,'staff sales'!C:AI,33,)</f>
        <v>14</v>
      </c>
      <c r="R192" s="81">
        <f>VLOOKUP(A:A,'staff sales'!C:AL,36,)</f>
        <v>2</v>
      </c>
      <c r="S192" s="81">
        <f>VLOOKUP(A:A,'staff sales'!C:AO,39,)</f>
        <v>0</v>
      </c>
      <c r="T192" s="81">
        <f>VLOOKUP(A:A,'staff sales'!C:AR,42,)</f>
        <v>1</v>
      </c>
      <c r="U192" s="81">
        <f>VLOOKUP(A:A,'staff sales'!C:AU,45,)</f>
        <v>0</v>
      </c>
      <c r="V192" s="81">
        <f>VLOOKUP(A:A,'staff sales'!C:AX,48,)</f>
        <v>0</v>
      </c>
      <c r="W192" s="81">
        <f>VLOOKUP(A:A,'staff sales'!C:BA,51,)</f>
        <v>2</v>
      </c>
    </row>
    <row r="193" spans="1:23" x14ac:dyDescent="0.25">
      <c r="A193" s="32">
        <v>1068180684</v>
      </c>
      <c r="B193" s="32" t="s">
        <v>763</v>
      </c>
      <c r="C193" s="26" t="s">
        <v>546</v>
      </c>
      <c r="D193" s="26" t="s">
        <v>546</v>
      </c>
      <c r="E193" s="26" t="s">
        <v>57</v>
      </c>
      <c r="F193" s="26" t="s">
        <v>57</v>
      </c>
      <c r="G193" s="26" t="s">
        <v>1218</v>
      </c>
      <c r="H193" s="26" t="s">
        <v>30</v>
      </c>
      <c r="I193" s="26" t="s">
        <v>52</v>
      </c>
      <c r="J193" s="26">
        <v>73014</v>
      </c>
      <c r="K193" s="80">
        <f>VLOOKUP(A:A,'staff sales'!C:Q,15,)</f>
        <v>27067.83</v>
      </c>
      <c r="L193" s="81">
        <f>VLOOKUP(A:A,'staff sales'!C:T,18,)</f>
        <v>1216.52</v>
      </c>
      <c r="M193" s="81">
        <f>VLOOKUP(A:A,'staff sales'!C:W,21,)</f>
        <v>4660.87</v>
      </c>
      <c r="N193" s="81">
        <f>VLOOKUP(A:A,'staff sales'!C:Z,24,)</f>
        <v>0</v>
      </c>
      <c r="O193" s="81">
        <f>VLOOKUP(A:A,'staff sales'!C:AC,27,)</f>
        <v>0</v>
      </c>
      <c r="P193" s="81">
        <f>VLOOKUP(A:A,'staff sales'!C:AF,30,)</f>
        <v>1</v>
      </c>
      <c r="Q193" s="81">
        <f>VLOOKUP(A:A,'staff sales'!C:AI,33,)</f>
        <v>33</v>
      </c>
      <c r="R193" s="81">
        <f>VLOOKUP(A:A,'staff sales'!C:AL,36,)</f>
        <v>3</v>
      </c>
      <c r="S193" s="81">
        <f>VLOOKUP(A:A,'staff sales'!C:AO,39,)</f>
        <v>0</v>
      </c>
      <c r="T193" s="81">
        <f>VLOOKUP(A:A,'staff sales'!C:AR,42,)</f>
        <v>0</v>
      </c>
      <c r="U193" s="81">
        <f>VLOOKUP(A:A,'staff sales'!C:AU,45,)</f>
        <v>0</v>
      </c>
      <c r="V193" s="81">
        <f>VLOOKUP(A:A,'staff sales'!C:AX,48,)</f>
        <v>0</v>
      </c>
      <c r="W193" s="81">
        <f>VLOOKUP(A:A,'staff sales'!C:BA,51,)</f>
        <v>0</v>
      </c>
    </row>
    <row r="194" spans="1:23" x14ac:dyDescent="0.25">
      <c r="A194" s="5">
        <v>1044656633</v>
      </c>
      <c r="B194" s="5" t="s">
        <v>762</v>
      </c>
      <c r="C194" s="33" t="s">
        <v>546</v>
      </c>
      <c r="D194" s="33" t="s">
        <v>546</v>
      </c>
      <c r="E194" s="33" t="s">
        <v>56</v>
      </c>
      <c r="F194" s="33" t="s">
        <v>56</v>
      </c>
      <c r="G194" s="33" t="s">
        <v>1218</v>
      </c>
      <c r="H194" s="33" t="s">
        <v>30</v>
      </c>
      <c r="I194" s="33" t="s">
        <v>52</v>
      </c>
      <c r="J194" s="33">
        <v>73014</v>
      </c>
      <c r="K194" s="80">
        <f>VLOOKUP(A:A,'staff sales'!C:Q,15,)</f>
        <v>59083.5</v>
      </c>
      <c r="L194" s="81">
        <f>VLOOKUP(A:A,'staff sales'!C:T,18,)</f>
        <v>7475.66</v>
      </c>
      <c r="M194" s="81">
        <f>VLOOKUP(A:A,'staff sales'!C:W,21,)</f>
        <v>14145.23</v>
      </c>
      <c r="N194" s="81">
        <f>VLOOKUP(A:A,'staff sales'!C:Z,24,)</f>
        <v>0</v>
      </c>
      <c r="O194" s="81">
        <f>VLOOKUP(A:A,'staff sales'!C:AC,27,)</f>
        <v>2</v>
      </c>
      <c r="P194" s="81">
        <f>VLOOKUP(A:A,'staff sales'!C:AF,30,)</f>
        <v>1</v>
      </c>
      <c r="Q194" s="81">
        <f>VLOOKUP(A:A,'staff sales'!C:AI,33,)</f>
        <v>20</v>
      </c>
      <c r="R194" s="81">
        <f>VLOOKUP(A:A,'staff sales'!C:AL,36,)</f>
        <v>1</v>
      </c>
      <c r="S194" s="81">
        <f>VLOOKUP(A:A,'staff sales'!C:AO,39,)</f>
        <v>0</v>
      </c>
      <c r="T194" s="81">
        <f>VLOOKUP(A:A,'staff sales'!C:AR,42,)</f>
        <v>2</v>
      </c>
      <c r="U194" s="81">
        <f>VLOOKUP(A:A,'staff sales'!C:AU,45,)</f>
        <v>0</v>
      </c>
      <c r="V194" s="81">
        <f>VLOOKUP(A:A,'staff sales'!C:AX,48,)</f>
        <v>0</v>
      </c>
      <c r="W194" s="81">
        <f>VLOOKUP(A:A,'staff sales'!C:BA,51,)</f>
        <v>0</v>
      </c>
    </row>
    <row r="195" spans="1:23" x14ac:dyDescent="0.25">
      <c r="A195" s="32">
        <v>1044200820</v>
      </c>
      <c r="B195" s="32" t="s">
        <v>760</v>
      </c>
      <c r="C195" s="26" t="s">
        <v>546</v>
      </c>
      <c r="D195" s="26" t="s">
        <v>546</v>
      </c>
      <c r="E195" s="26" t="s">
        <v>54</v>
      </c>
      <c r="F195" s="26" t="s">
        <v>54</v>
      </c>
      <c r="G195" s="26" t="s">
        <v>1218</v>
      </c>
      <c r="H195" s="26" t="s">
        <v>30</v>
      </c>
      <c r="I195" s="26" t="s">
        <v>52</v>
      </c>
      <c r="J195" s="26">
        <v>73014</v>
      </c>
      <c r="K195" s="80">
        <f>VLOOKUP(A:A,'staff sales'!C:Q,15,)</f>
        <v>39860.910000000003</v>
      </c>
      <c r="L195" s="81">
        <f>VLOOKUP(A:A,'staff sales'!C:T,18,)</f>
        <v>0</v>
      </c>
      <c r="M195" s="81">
        <f>VLOOKUP(A:A,'staff sales'!C:W,21,)</f>
        <v>15401.219999999998</v>
      </c>
      <c r="N195" s="81">
        <f>VLOOKUP(A:A,'staff sales'!C:Z,24,)</f>
        <v>0</v>
      </c>
      <c r="O195" s="81">
        <f>VLOOKUP(A:A,'staff sales'!C:AC,27,)</f>
        <v>2</v>
      </c>
      <c r="P195" s="81">
        <f>VLOOKUP(A:A,'staff sales'!C:AF,30,)</f>
        <v>0</v>
      </c>
      <c r="Q195" s="81">
        <f>VLOOKUP(A:A,'staff sales'!C:AI,33,)</f>
        <v>25</v>
      </c>
      <c r="R195" s="81">
        <f>VLOOKUP(A:A,'staff sales'!C:AL,36,)</f>
        <v>4</v>
      </c>
      <c r="S195" s="81">
        <f>VLOOKUP(A:A,'staff sales'!C:AO,39,)</f>
        <v>0</v>
      </c>
      <c r="T195" s="81">
        <f>VLOOKUP(A:A,'staff sales'!C:AR,42,)</f>
        <v>2</v>
      </c>
      <c r="U195" s="81">
        <f>VLOOKUP(A:A,'staff sales'!C:AU,45,)</f>
        <v>0</v>
      </c>
      <c r="V195" s="81">
        <f>VLOOKUP(A:A,'staff sales'!C:AX,48,)</f>
        <v>0</v>
      </c>
      <c r="W195" s="81">
        <f>VLOOKUP(A:A,'staff sales'!C:BA,51,)</f>
        <v>3</v>
      </c>
    </row>
    <row r="196" spans="1:23" x14ac:dyDescent="0.25">
      <c r="A196" s="5">
        <v>1028584595</v>
      </c>
      <c r="B196" s="5" t="s">
        <v>764</v>
      </c>
      <c r="C196" s="33" t="s">
        <v>546</v>
      </c>
      <c r="D196" s="33" t="s">
        <v>546</v>
      </c>
      <c r="E196" s="33" t="s">
        <v>58</v>
      </c>
      <c r="F196" s="33" t="s">
        <v>58</v>
      </c>
      <c r="G196" s="33" t="s">
        <v>1218</v>
      </c>
      <c r="H196" s="33" t="s">
        <v>30</v>
      </c>
      <c r="I196" s="33" t="s">
        <v>52</v>
      </c>
      <c r="J196" s="33">
        <v>73014</v>
      </c>
      <c r="K196" s="80">
        <f>VLOOKUP(A:A,'staff sales'!C:Q,15,)</f>
        <v>32440.89</v>
      </c>
      <c r="L196" s="81">
        <f>VLOOKUP(A:A,'staff sales'!C:T,18,)</f>
        <v>0</v>
      </c>
      <c r="M196" s="81">
        <f>VLOOKUP(A:A,'staff sales'!C:W,21,)</f>
        <v>6264.35</v>
      </c>
      <c r="N196" s="81">
        <f>VLOOKUP(A:A,'staff sales'!C:Z,24,)</f>
        <v>0</v>
      </c>
      <c r="O196" s="81">
        <f>VLOOKUP(A:A,'staff sales'!C:AC,27,)</f>
        <v>1</v>
      </c>
      <c r="P196" s="81">
        <f>VLOOKUP(A:A,'staff sales'!C:AF,30,)</f>
        <v>0</v>
      </c>
      <c r="Q196" s="81">
        <f>VLOOKUP(A:A,'staff sales'!C:AI,33,)</f>
        <v>22</v>
      </c>
      <c r="R196" s="81">
        <f>VLOOKUP(A:A,'staff sales'!C:AL,36,)</f>
        <v>1</v>
      </c>
      <c r="S196" s="81">
        <f>VLOOKUP(A:A,'staff sales'!C:AO,39,)</f>
        <v>1</v>
      </c>
      <c r="T196" s="81">
        <f>VLOOKUP(A:A,'staff sales'!C:AR,42,)</f>
        <v>2</v>
      </c>
      <c r="U196" s="81">
        <f>VLOOKUP(A:A,'staff sales'!C:AU,45,)</f>
        <v>0</v>
      </c>
      <c r="V196" s="81">
        <f>VLOOKUP(A:A,'staff sales'!C:AX,48,)</f>
        <v>0</v>
      </c>
      <c r="W196" s="81">
        <f>VLOOKUP(A:A,'staff sales'!C:BA,51,)</f>
        <v>1</v>
      </c>
    </row>
    <row r="197" spans="1:23" x14ac:dyDescent="0.25">
      <c r="A197" s="5">
        <v>1123088518</v>
      </c>
      <c r="B197" s="5" t="s">
        <v>767</v>
      </c>
      <c r="C197" s="33" t="s">
        <v>541</v>
      </c>
      <c r="D197" s="33" t="s">
        <v>541</v>
      </c>
      <c r="E197" s="33" t="s">
        <v>63</v>
      </c>
      <c r="F197" s="33" t="s">
        <v>63</v>
      </c>
      <c r="G197" s="33" t="s">
        <v>1218</v>
      </c>
      <c r="H197" s="33" t="s">
        <v>30</v>
      </c>
      <c r="I197" s="33" t="s">
        <v>768</v>
      </c>
      <c r="J197" s="33">
        <v>73024</v>
      </c>
      <c r="K197" s="80">
        <f>VLOOKUP(A:A,'staff sales'!C:Q,15,)</f>
        <v>0</v>
      </c>
      <c r="L197" s="81">
        <f>VLOOKUP(A:A,'staff sales'!C:T,18,)</f>
        <v>0</v>
      </c>
      <c r="M197" s="81">
        <f>VLOOKUP(A:A,'staff sales'!C:W,21,)</f>
        <v>0</v>
      </c>
      <c r="N197" s="81">
        <f>VLOOKUP(A:A,'staff sales'!C:Z,24,)</f>
        <v>0</v>
      </c>
      <c r="O197" s="81">
        <f>VLOOKUP(A:A,'staff sales'!C:AC,27,)</f>
        <v>0</v>
      </c>
      <c r="P197" s="81">
        <f>VLOOKUP(A:A,'staff sales'!C:AF,30,)</f>
        <v>0</v>
      </c>
      <c r="Q197" s="81">
        <f>VLOOKUP(A:A,'staff sales'!C:AI,33,)</f>
        <v>2</v>
      </c>
      <c r="R197" s="81">
        <f>VLOOKUP(A:A,'staff sales'!C:AL,36,)</f>
        <v>0</v>
      </c>
      <c r="S197" s="81">
        <f>VLOOKUP(A:A,'staff sales'!C:AO,39,)</f>
        <v>2</v>
      </c>
      <c r="T197" s="81">
        <f>VLOOKUP(A:A,'staff sales'!C:AR,42,)</f>
        <v>0</v>
      </c>
      <c r="U197" s="81">
        <f>VLOOKUP(A:A,'staff sales'!C:AU,45,)</f>
        <v>0</v>
      </c>
      <c r="V197" s="81">
        <f>VLOOKUP(A:A,'staff sales'!C:AX,48,)</f>
        <v>0</v>
      </c>
      <c r="W197" s="81">
        <f>VLOOKUP(A:A,'staff sales'!C:BA,51,)</f>
        <v>0</v>
      </c>
    </row>
    <row r="198" spans="1:23" x14ac:dyDescent="0.25">
      <c r="A198" s="32">
        <v>1058083260</v>
      </c>
      <c r="B198" s="32" t="s">
        <v>769</v>
      </c>
      <c r="C198" s="26" t="s">
        <v>544</v>
      </c>
      <c r="D198" s="26" t="s">
        <v>544</v>
      </c>
      <c r="E198" s="26" t="s">
        <v>64</v>
      </c>
      <c r="F198" s="26" t="s">
        <v>65</v>
      </c>
      <c r="G198" s="26" t="s">
        <v>1218</v>
      </c>
      <c r="H198" s="26" t="s">
        <v>30</v>
      </c>
      <c r="I198" s="26" t="s">
        <v>768</v>
      </c>
      <c r="J198" s="26">
        <v>73024</v>
      </c>
      <c r="K198" s="80">
        <f>VLOOKUP(A:A,'staff sales'!C:Q,15,)</f>
        <v>0</v>
      </c>
      <c r="L198" s="81">
        <f>VLOOKUP(A:A,'staff sales'!C:T,18,)</f>
        <v>0</v>
      </c>
      <c r="M198" s="81">
        <f>VLOOKUP(A:A,'staff sales'!C:W,21,)</f>
        <v>0</v>
      </c>
      <c r="N198" s="81">
        <f>VLOOKUP(A:A,'staff sales'!C:Z,24,)</f>
        <v>0</v>
      </c>
      <c r="O198" s="81">
        <f>VLOOKUP(A:A,'staff sales'!C:AC,27,)</f>
        <v>0</v>
      </c>
      <c r="P198" s="81">
        <f>VLOOKUP(A:A,'staff sales'!C:AF,30,)</f>
        <v>0</v>
      </c>
      <c r="Q198" s="81">
        <f>VLOOKUP(A:A,'staff sales'!C:AI,33,)</f>
        <v>0</v>
      </c>
      <c r="R198" s="81">
        <f>VLOOKUP(A:A,'staff sales'!C:AL,36,)</f>
        <v>0</v>
      </c>
      <c r="S198" s="81">
        <f>VLOOKUP(A:A,'staff sales'!C:AO,39,)</f>
        <v>2</v>
      </c>
      <c r="T198" s="81">
        <f>VLOOKUP(A:A,'staff sales'!C:AR,42,)</f>
        <v>0</v>
      </c>
      <c r="U198" s="81">
        <f>VLOOKUP(A:A,'staff sales'!C:AU,45,)</f>
        <v>0</v>
      </c>
      <c r="V198" s="81">
        <f>VLOOKUP(A:A,'staff sales'!C:AX,48,)</f>
        <v>0</v>
      </c>
      <c r="W198" s="81">
        <f>VLOOKUP(A:A,'staff sales'!C:BA,51,)</f>
        <v>0</v>
      </c>
    </row>
    <row r="199" spans="1:23" x14ac:dyDescent="0.25">
      <c r="A199" s="5">
        <v>1029769542</v>
      </c>
      <c r="B199" s="5" t="s">
        <v>775</v>
      </c>
      <c r="C199" s="33" t="s">
        <v>546</v>
      </c>
      <c r="D199" s="33" t="s">
        <v>546</v>
      </c>
      <c r="E199" s="33" t="s">
        <v>39</v>
      </c>
      <c r="F199" s="33" t="s">
        <v>39</v>
      </c>
      <c r="G199" s="33" t="s">
        <v>1218</v>
      </c>
      <c r="H199" s="33" t="s">
        <v>30</v>
      </c>
      <c r="I199" s="33" t="s">
        <v>768</v>
      </c>
      <c r="J199" s="33">
        <v>73024</v>
      </c>
      <c r="K199" s="80">
        <f>VLOOKUP(A:A,'staff sales'!C:Q,15,)</f>
        <v>157205.24</v>
      </c>
      <c r="L199" s="81">
        <f>VLOOKUP(A:A,'staff sales'!C:T,18,)</f>
        <v>3216.52</v>
      </c>
      <c r="M199" s="81">
        <f>VLOOKUP(A:A,'staff sales'!C:W,21,)</f>
        <v>18409.989999999998</v>
      </c>
      <c r="N199" s="81">
        <f>VLOOKUP(A:A,'staff sales'!C:Z,24,)</f>
        <v>0</v>
      </c>
      <c r="O199" s="81">
        <f>VLOOKUP(A:A,'staff sales'!C:AC,27,)</f>
        <v>20</v>
      </c>
      <c r="P199" s="81">
        <f>VLOOKUP(A:A,'staff sales'!C:AF,30,)</f>
        <v>1</v>
      </c>
      <c r="Q199" s="81">
        <f>VLOOKUP(A:A,'staff sales'!C:AI,33,)</f>
        <v>23</v>
      </c>
      <c r="R199" s="81">
        <f>VLOOKUP(A:A,'staff sales'!C:AL,36,)</f>
        <v>0</v>
      </c>
      <c r="S199" s="81">
        <f>VLOOKUP(A:A,'staff sales'!C:AO,39,)</f>
        <v>6</v>
      </c>
      <c r="T199" s="81">
        <f>VLOOKUP(A:A,'staff sales'!C:AR,42,)</f>
        <v>7</v>
      </c>
      <c r="U199" s="81">
        <f>VLOOKUP(A:A,'staff sales'!C:AU,45,)</f>
        <v>1</v>
      </c>
      <c r="V199" s="81">
        <f>VLOOKUP(A:A,'staff sales'!C:AX,48,)</f>
        <v>0</v>
      </c>
      <c r="W199" s="81">
        <f>VLOOKUP(A:A,'staff sales'!C:BA,51,)</f>
        <v>4</v>
      </c>
    </row>
    <row r="200" spans="1:23" x14ac:dyDescent="0.25">
      <c r="A200" s="32">
        <v>1047519184</v>
      </c>
      <c r="B200" s="32" t="s">
        <v>776</v>
      </c>
      <c r="C200" s="26" t="s">
        <v>546</v>
      </c>
      <c r="D200" s="26" t="s">
        <v>546</v>
      </c>
      <c r="E200" s="26" t="s">
        <v>474</v>
      </c>
      <c r="F200" s="26" t="s">
        <v>475</v>
      </c>
      <c r="G200" s="26" t="s">
        <v>1218</v>
      </c>
      <c r="H200" s="26" t="s">
        <v>30</v>
      </c>
      <c r="I200" s="26" t="s">
        <v>768</v>
      </c>
      <c r="J200" s="26">
        <v>73024</v>
      </c>
      <c r="K200" s="80">
        <f>VLOOKUP(A:A,'staff sales'!C:Q,15,)</f>
        <v>50979.14</v>
      </c>
      <c r="L200" s="81">
        <f>VLOOKUP(A:A,'staff sales'!C:T,18,)</f>
        <v>0</v>
      </c>
      <c r="M200" s="81">
        <f>VLOOKUP(A:A,'staff sales'!C:W,21,)</f>
        <v>4174.3500000000004</v>
      </c>
      <c r="N200" s="81">
        <f>VLOOKUP(A:A,'staff sales'!C:Z,24,)</f>
        <v>0</v>
      </c>
      <c r="O200" s="81">
        <f>VLOOKUP(A:A,'staff sales'!C:AC,27,)</f>
        <v>3</v>
      </c>
      <c r="P200" s="81">
        <f>VLOOKUP(A:A,'staff sales'!C:AF,30,)</f>
        <v>0</v>
      </c>
      <c r="Q200" s="81">
        <f>VLOOKUP(A:A,'staff sales'!C:AI,33,)</f>
        <v>32</v>
      </c>
      <c r="R200" s="81">
        <f>VLOOKUP(A:A,'staff sales'!C:AL,36,)</f>
        <v>0</v>
      </c>
      <c r="S200" s="81">
        <f>VLOOKUP(A:A,'staff sales'!C:AO,39,)</f>
        <v>6</v>
      </c>
      <c r="T200" s="81">
        <f>VLOOKUP(A:A,'staff sales'!C:AR,42,)</f>
        <v>3</v>
      </c>
      <c r="U200" s="81">
        <f>VLOOKUP(A:A,'staff sales'!C:AU,45,)</f>
        <v>1</v>
      </c>
      <c r="V200" s="81">
        <f>VLOOKUP(A:A,'staff sales'!C:AX,48,)</f>
        <v>0</v>
      </c>
      <c r="W200" s="81">
        <f>VLOOKUP(A:A,'staff sales'!C:BA,51,)</f>
        <v>0</v>
      </c>
    </row>
    <row r="201" spans="1:23" x14ac:dyDescent="0.25">
      <c r="A201" s="5">
        <v>1073291187</v>
      </c>
      <c r="B201" s="5" t="s">
        <v>772</v>
      </c>
      <c r="C201" s="33" t="s">
        <v>546</v>
      </c>
      <c r="D201" s="33" t="s">
        <v>546</v>
      </c>
      <c r="E201" s="33" t="s">
        <v>372</v>
      </c>
      <c r="F201" s="33" t="s">
        <v>373</v>
      </c>
      <c r="G201" s="33" t="s">
        <v>1218</v>
      </c>
      <c r="H201" s="33" t="s">
        <v>30</v>
      </c>
      <c r="I201" s="33" t="s">
        <v>768</v>
      </c>
      <c r="J201" s="33">
        <v>73024</v>
      </c>
      <c r="K201" s="80">
        <f>VLOOKUP(A:A,'staff sales'!C:Q,15,)</f>
        <v>83260.899999999994</v>
      </c>
      <c r="L201" s="81">
        <f>VLOOKUP(A:A,'staff sales'!C:T,18,)</f>
        <v>0</v>
      </c>
      <c r="M201" s="81">
        <f>VLOOKUP(A:A,'staff sales'!C:W,21,)</f>
        <v>6542.61</v>
      </c>
      <c r="N201" s="81">
        <f>VLOOKUP(A:A,'staff sales'!C:Z,24,)</f>
        <v>1607</v>
      </c>
      <c r="O201" s="81">
        <f>VLOOKUP(A:A,'staff sales'!C:AC,27,)</f>
        <v>12</v>
      </c>
      <c r="P201" s="81">
        <f>VLOOKUP(A:A,'staff sales'!C:AF,30,)</f>
        <v>5</v>
      </c>
      <c r="Q201" s="81">
        <f>VLOOKUP(A:A,'staff sales'!C:AI,33,)</f>
        <v>30</v>
      </c>
      <c r="R201" s="81">
        <f>VLOOKUP(A:A,'staff sales'!C:AL,36,)</f>
        <v>2</v>
      </c>
      <c r="S201" s="81">
        <f>VLOOKUP(A:A,'staff sales'!C:AO,39,)</f>
        <v>3</v>
      </c>
      <c r="T201" s="81">
        <f>VLOOKUP(A:A,'staff sales'!C:AR,42,)</f>
        <v>2</v>
      </c>
      <c r="U201" s="81">
        <f>VLOOKUP(A:A,'staff sales'!C:AU,45,)</f>
        <v>0</v>
      </c>
      <c r="V201" s="81">
        <f>VLOOKUP(A:A,'staff sales'!C:AX,48,)</f>
        <v>0</v>
      </c>
      <c r="W201" s="81">
        <f>VLOOKUP(A:A,'staff sales'!C:BA,51,)</f>
        <v>2</v>
      </c>
    </row>
    <row r="202" spans="1:23" x14ac:dyDescent="0.25">
      <c r="A202" s="32">
        <v>1088827306</v>
      </c>
      <c r="B202" s="32" t="s">
        <v>774</v>
      </c>
      <c r="C202" s="26" t="s">
        <v>546</v>
      </c>
      <c r="D202" s="26" t="s">
        <v>546</v>
      </c>
      <c r="E202" s="26" t="s">
        <v>480</v>
      </c>
      <c r="F202" s="26" t="s">
        <v>480</v>
      </c>
      <c r="G202" s="26" t="s">
        <v>1218</v>
      </c>
      <c r="H202" s="26" t="s">
        <v>30</v>
      </c>
      <c r="I202" s="26" t="s">
        <v>768</v>
      </c>
      <c r="J202" s="26">
        <v>73024</v>
      </c>
      <c r="K202" s="80">
        <f>VLOOKUP(A:A,'staff sales'!C:Q,15,)</f>
        <v>99763.48</v>
      </c>
      <c r="L202" s="81">
        <f>VLOOKUP(A:A,'staff sales'!C:T,18,)</f>
        <v>6433.05</v>
      </c>
      <c r="M202" s="81">
        <f>VLOOKUP(A:A,'staff sales'!C:W,21,)</f>
        <v>13005.220000000001</v>
      </c>
      <c r="N202" s="81">
        <f>VLOOKUP(A:A,'staff sales'!C:Z,24,)</f>
        <v>720</v>
      </c>
      <c r="O202" s="81">
        <f>VLOOKUP(A:A,'staff sales'!C:AC,27,)</f>
        <v>5</v>
      </c>
      <c r="P202" s="81">
        <f>VLOOKUP(A:A,'staff sales'!C:AF,30,)</f>
        <v>3</v>
      </c>
      <c r="Q202" s="81">
        <f>VLOOKUP(A:A,'staff sales'!C:AI,33,)</f>
        <v>34</v>
      </c>
      <c r="R202" s="81">
        <f>VLOOKUP(A:A,'staff sales'!C:AL,36,)</f>
        <v>0</v>
      </c>
      <c r="S202" s="81">
        <f>VLOOKUP(A:A,'staff sales'!C:AO,39,)</f>
        <v>6</v>
      </c>
      <c r="T202" s="81">
        <f>VLOOKUP(A:A,'staff sales'!C:AR,42,)</f>
        <v>7</v>
      </c>
      <c r="U202" s="81">
        <f>VLOOKUP(A:A,'staff sales'!C:AU,45,)</f>
        <v>2</v>
      </c>
      <c r="V202" s="81">
        <f>VLOOKUP(A:A,'staff sales'!C:AX,48,)</f>
        <v>0</v>
      </c>
      <c r="W202" s="81">
        <f>VLOOKUP(A:A,'staff sales'!C:BA,51,)</f>
        <v>2</v>
      </c>
    </row>
    <row r="203" spans="1:23" x14ac:dyDescent="0.25">
      <c r="A203" s="5">
        <v>1074451665</v>
      </c>
      <c r="B203" s="5" t="s">
        <v>773</v>
      </c>
      <c r="C203" s="33" t="s">
        <v>546</v>
      </c>
      <c r="D203" s="33" t="s">
        <v>546</v>
      </c>
      <c r="E203" s="33" t="s">
        <v>67</v>
      </c>
      <c r="F203" s="33" t="s">
        <v>67</v>
      </c>
      <c r="G203" s="33" t="s">
        <v>1218</v>
      </c>
      <c r="H203" s="33" t="s">
        <v>30</v>
      </c>
      <c r="I203" s="33" t="s">
        <v>768</v>
      </c>
      <c r="J203" s="33">
        <v>73024</v>
      </c>
      <c r="K203" s="80">
        <f>VLOOKUP(A:A,'staff sales'!C:Q,15,)</f>
        <v>105769.56999999999</v>
      </c>
      <c r="L203" s="81">
        <f>VLOOKUP(A:A,'staff sales'!C:T,18,)</f>
        <v>0</v>
      </c>
      <c r="M203" s="81">
        <f>VLOOKUP(A:A,'staff sales'!C:W,21,)</f>
        <v>10482.17</v>
      </c>
      <c r="N203" s="81">
        <f>VLOOKUP(A:A,'staff sales'!C:Z,24,)</f>
        <v>0</v>
      </c>
      <c r="O203" s="81">
        <f>VLOOKUP(A:A,'staff sales'!C:AC,27,)</f>
        <v>10</v>
      </c>
      <c r="P203" s="81">
        <f>VLOOKUP(A:A,'staff sales'!C:AF,30,)</f>
        <v>2</v>
      </c>
      <c r="Q203" s="81">
        <f>VLOOKUP(A:A,'staff sales'!C:AI,33,)</f>
        <v>60</v>
      </c>
      <c r="R203" s="81">
        <f>VLOOKUP(A:A,'staff sales'!C:AL,36,)</f>
        <v>1</v>
      </c>
      <c r="S203" s="81">
        <f>VLOOKUP(A:A,'staff sales'!C:AO,39,)</f>
        <v>3</v>
      </c>
      <c r="T203" s="81">
        <f>VLOOKUP(A:A,'staff sales'!C:AR,42,)</f>
        <v>3</v>
      </c>
      <c r="U203" s="81">
        <f>VLOOKUP(A:A,'staff sales'!C:AU,45,)</f>
        <v>41</v>
      </c>
      <c r="V203" s="81">
        <f>VLOOKUP(A:A,'staff sales'!C:AX,48,)</f>
        <v>0</v>
      </c>
      <c r="W203" s="81">
        <f>VLOOKUP(A:A,'staff sales'!C:BA,51,)</f>
        <v>1</v>
      </c>
    </row>
    <row r="204" spans="1:23" x14ac:dyDescent="0.25">
      <c r="A204" s="32">
        <v>1031982711</v>
      </c>
      <c r="B204" s="32" t="s">
        <v>804</v>
      </c>
      <c r="C204" s="26" t="s">
        <v>546</v>
      </c>
      <c r="D204" s="26" t="s">
        <v>546</v>
      </c>
      <c r="E204" s="26" t="s">
        <v>431</v>
      </c>
      <c r="F204" s="26" t="s">
        <v>431</v>
      </c>
      <c r="G204" s="26" t="s">
        <v>1218</v>
      </c>
      <c r="H204" s="26" t="s">
        <v>30</v>
      </c>
      <c r="I204" s="26" t="s">
        <v>768</v>
      </c>
      <c r="J204" s="26">
        <v>73024</v>
      </c>
      <c r="K204" s="80">
        <f>VLOOKUP(A:A,'staff sales'!C:Q,15,)</f>
        <v>39991.319999999992</v>
      </c>
      <c r="L204" s="81">
        <f>VLOOKUP(A:A,'staff sales'!C:T,18,)</f>
        <v>0</v>
      </c>
      <c r="M204" s="81">
        <f>VLOOKUP(A:A,'staff sales'!C:W,21,)</f>
        <v>16211.31</v>
      </c>
      <c r="N204" s="81">
        <f>VLOOKUP(A:A,'staff sales'!C:Z,24,)</f>
        <v>0</v>
      </c>
      <c r="O204" s="81">
        <f>VLOOKUP(A:A,'staff sales'!C:AC,27,)</f>
        <v>6</v>
      </c>
      <c r="P204" s="81">
        <f>VLOOKUP(A:A,'staff sales'!C:AF,30,)</f>
        <v>0</v>
      </c>
      <c r="Q204" s="81">
        <f>VLOOKUP(A:A,'staff sales'!C:AI,33,)</f>
        <v>37</v>
      </c>
      <c r="R204" s="81">
        <f>VLOOKUP(A:A,'staff sales'!C:AL,36,)</f>
        <v>0</v>
      </c>
      <c r="S204" s="81">
        <f>VLOOKUP(A:A,'staff sales'!C:AO,39,)</f>
        <v>0</v>
      </c>
      <c r="T204" s="81">
        <f>VLOOKUP(A:A,'staff sales'!C:AR,42,)</f>
        <v>4</v>
      </c>
      <c r="U204" s="81">
        <f>VLOOKUP(A:A,'staff sales'!C:AU,45,)</f>
        <v>3</v>
      </c>
      <c r="V204" s="81">
        <f>VLOOKUP(A:A,'staff sales'!C:AX,48,)</f>
        <v>0</v>
      </c>
      <c r="W204" s="81">
        <f>VLOOKUP(A:A,'staff sales'!C:BA,51,)</f>
        <v>0</v>
      </c>
    </row>
    <row r="205" spans="1:23" x14ac:dyDescent="0.25">
      <c r="A205" s="5">
        <v>1046203335</v>
      </c>
      <c r="B205" s="5" t="s">
        <v>753</v>
      </c>
      <c r="C205" s="33" t="s">
        <v>546</v>
      </c>
      <c r="D205" s="33" t="s">
        <v>546</v>
      </c>
      <c r="E205" s="33" t="s">
        <v>46</v>
      </c>
      <c r="F205" s="33" t="s">
        <v>46</v>
      </c>
      <c r="G205" s="33" t="s">
        <v>1218</v>
      </c>
      <c r="H205" s="33" t="s">
        <v>30</v>
      </c>
      <c r="I205" s="33" t="s">
        <v>768</v>
      </c>
      <c r="J205" s="33">
        <v>73024</v>
      </c>
      <c r="K205" s="80">
        <f>VLOOKUP(A:A,'staff sales'!C:Q,15,)</f>
        <v>29653.93</v>
      </c>
      <c r="L205" s="81">
        <f>VLOOKUP(A:A,'staff sales'!C:T,18,)</f>
        <v>0</v>
      </c>
      <c r="M205" s="81">
        <f>VLOOKUP(A:A,'staff sales'!C:W,21,)</f>
        <v>6581.3099999999995</v>
      </c>
      <c r="N205" s="81">
        <f>VLOOKUP(A:A,'staff sales'!C:Z,24,)</f>
        <v>519</v>
      </c>
      <c r="O205" s="81">
        <f>VLOOKUP(A:A,'staff sales'!C:AC,27,)</f>
        <v>8</v>
      </c>
      <c r="P205" s="81">
        <f>VLOOKUP(A:A,'staff sales'!C:AF,30,)</f>
        <v>1</v>
      </c>
      <c r="Q205" s="81">
        <f>VLOOKUP(A:A,'staff sales'!C:AI,33,)</f>
        <v>30</v>
      </c>
      <c r="R205" s="81">
        <f>VLOOKUP(A:A,'staff sales'!C:AL,36,)</f>
        <v>0</v>
      </c>
      <c r="S205" s="81">
        <f>VLOOKUP(A:A,'staff sales'!C:AO,39,)</f>
        <v>5</v>
      </c>
      <c r="T205" s="81">
        <f>VLOOKUP(A:A,'staff sales'!C:AR,42,)</f>
        <v>2</v>
      </c>
      <c r="U205" s="81">
        <f>VLOOKUP(A:A,'staff sales'!C:AU,45,)</f>
        <v>1</v>
      </c>
      <c r="V205" s="81">
        <f>VLOOKUP(A:A,'staff sales'!C:AX,48,)</f>
        <v>0</v>
      </c>
      <c r="W205" s="81">
        <f>VLOOKUP(A:A,'staff sales'!C:BA,51,)</f>
        <v>0</v>
      </c>
    </row>
    <row r="206" spans="1:23" x14ac:dyDescent="0.25">
      <c r="A206" s="32">
        <v>1064307042</v>
      </c>
      <c r="B206" s="32" t="s">
        <v>745</v>
      </c>
      <c r="C206" s="26" t="s">
        <v>546</v>
      </c>
      <c r="D206" s="26" t="s">
        <v>546</v>
      </c>
      <c r="E206" s="26" t="s">
        <v>34</v>
      </c>
      <c r="F206" s="26" t="s">
        <v>34</v>
      </c>
      <c r="G206" s="26" t="s">
        <v>1218</v>
      </c>
      <c r="H206" s="26" t="s">
        <v>30</v>
      </c>
      <c r="I206" s="26" t="s">
        <v>768</v>
      </c>
      <c r="J206" s="26">
        <v>73024</v>
      </c>
      <c r="K206" s="80">
        <f>VLOOKUP(A:A,'staff sales'!C:Q,15,)</f>
        <v>71175.66</v>
      </c>
      <c r="L206" s="81">
        <f>VLOOKUP(A:A,'staff sales'!C:T,18,)</f>
        <v>1129.57</v>
      </c>
      <c r="M206" s="81">
        <f>VLOOKUP(A:A,'staff sales'!C:W,21,)</f>
        <v>1850.87</v>
      </c>
      <c r="N206" s="81">
        <f>VLOOKUP(A:A,'staff sales'!C:Z,24,)</f>
        <v>0</v>
      </c>
      <c r="O206" s="81">
        <f>VLOOKUP(A:A,'staff sales'!C:AC,27,)</f>
        <v>5</v>
      </c>
      <c r="P206" s="81">
        <f>VLOOKUP(A:A,'staff sales'!C:AF,30,)</f>
        <v>1</v>
      </c>
      <c r="Q206" s="81">
        <f>VLOOKUP(A:A,'staff sales'!C:AI,33,)</f>
        <v>51</v>
      </c>
      <c r="R206" s="81">
        <f>VLOOKUP(A:A,'staff sales'!C:AL,36,)</f>
        <v>0</v>
      </c>
      <c r="S206" s="81">
        <f>VLOOKUP(A:A,'staff sales'!C:AO,39,)</f>
        <v>4</v>
      </c>
      <c r="T206" s="81">
        <f>VLOOKUP(A:A,'staff sales'!C:AR,42,)</f>
        <v>1</v>
      </c>
      <c r="U206" s="81">
        <f>VLOOKUP(A:A,'staff sales'!C:AU,45,)</f>
        <v>1</v>
      </c>
      <c r="V206" s="81">
        <f>VLOOKUP(A:A,'staff sales'!C:AX,48,)</f>
        <v>0</v>
      </c>
      <c r="W206" s="81">
        <f>VLOOKUP(A:A,'staff sales'!C:BA,51,)</f>
        <v>0</v>
      </c>
    </row>
    <row r="207" spans="1:23" x14ac:dyDescent="0.25">
      <c r="A207" s="5">
        <v>1014494163</v>
      </c>
      <c r="B207" s="5" t="s">
        <v>771</v>
      </c>
      <c r="C207" s="33" t="s">
        <v>546</v>
      </c>
      <c r="D207" s="33" t="s">
        <v>546</v>
      </c>
      <c r="E207" s="33" t="s">
        <v>66</v>
      </c>
      <c r="F207" s="33" t="s">
        <v>66</v>
      </c>
      <c r="G207" s="33" t="s">
        <v>1218</v>
      </c>
      <c r="H207" s="33" t="s">
        <v>30</v>
      </c>
      <c r="I207" s="33" t="s">
        <v>768</v>
      </c>
      <c r="J207" s="33">
        <v>73024</v>
      </c>
      <c r="K207" s="80">
        <f>VLOOKUP(A:A,'staff sales'!C:Q,15,)</f>
        <v>22742.62</v>
      </c>
      <c r="L207" s="81">
        <f>VLOOKUP(A:A,'staff sales'!C:T,18,)</f>
        <v>0</v>
      </c>
      <c r="M207" s="81">
        <f>VLOOKUP(A:A,'staff sales'!C:W,21,)</f>
        <v>7830</v>
      </c>
      <c r="N207" s="81">
        <f>VLOOKUP(A:A,'staff sales'!C:Z,24,)</f>
        <v>0</v>
      </c>
      <c r="O207" s="81">
        <f>VLOOKUP(A:A,'staff sales'!C:AC,27,)</f>
        <v>3</v>
      </c>
      <c r="P207" s="81">
        <f>VLOOKUP(A:A,'staff sales'!C:AF,30,)</f>
        <v>1</v>
      </c>
      <c r="Q207" s="81">
        <f>VLOOKUP(A:A,'staff sales'!C:AI,33,)</f>
        <v>22</v>
      </c>
      <c r="R207" s="81">
        <f>VLOOKUP(A:A,'staff sales'!C:AL,36,)</f>
        <v>0</v>
      </c>
      <c r="S207" s="81">
        <f>VLOOKUP(A:A,'staff sales'!C:AO,39,)</f>
        <v>2</v>
      </c>
      <c r="T207" s="81">
        <f>VLOOKUP(A:A,'staff sales'!C:AR,42,)</f>
        <v>1</v>
      </c>
      <c r="U207" s="81">
        <f>VLOOKUP(A:A,'staff sales'!C:AU,45,)</f>
        <v>0</v>
      </c>
      <c r="V207" s="81">
        <f>VLOOKUP(A:A,'staff sales'!C:AX,48,)</f>
        <v>0</v>
      </c>
      <c r="W207" s="81">
        <f>VLOOKUP(A:A,'staff sales'!C:BA,51,)</f>
        <v>1</v>
      </c>
    </row>
    <row r="208" spans="1:23" x14ac:dyDescent="0.25">
      <c r="A208" s="5">
        <v>1029827290</v>
      </c>
      <c r="B208" s="5" t="s">
        <v>778</v>
      </c>
      <c r="C208" s="33" t="s">
        <v>541</v>
      </c>
      <c r="D208" s="33" t="s">
        <v>541</v>
      </c>
      <c r="E208" s="33" t="s">
        <v>69</v>
      </c>
      <c r="F208" s="33" t="s">
        <v>69</v>
      </c>
      <c r="G208" s="33" t="s">
        <v>1218</v>
      </c>
      <c r="H208" s="33" t="s">
        <v>30</v>
      </c>
      <c r="I208" s="33" t="s">
        <v>779</v>
      </c>
      <c r="J208" s="33">
        <v>73025</v>
      </c>
      <c r="K208" s="80">
        <f>VLOOKUP(A:A,'staff sales'!C:Q,15,)</f>
        <v>0</v>
      </c>
      <c r="L208" s="81">
        <f>VLOOKUP(A:A,'staff sales'!C:T,18,)</f>
        <v>0</v>
      </c>
      <c r="M208" s="81">
        <f>VLOOKUP(A:A,'staff sales'!C:W,21,)</f>
        <v>0</v>
      </c>
      <c r="N208" s="81">
        <f>VLOOKUP(A:A,'staff sales'!C:Z,24,)</f>
        <v>0</v>
      </c>
      <c r="O208" s="81">
        <f>VLOOKUP(A:A,'staff sales'!C:AC,27,)</f>
        <v>0</v>
      </c>
      <c r="P208" s="81">
        <f>VLOOKUP(A:A,'staff sales'!C:AF,30,)</f>
        <v>0</v>
      </c>
      <c r="Q208" s="81">
        <f>VLOOKUP(A:A,'staff sales'!C:AI,33,)</f>
        <v>0</v>
      </c>
      <c r="R208" s="81">
        <f>VLOOKUP(A:A,'staff sales'!C:AL,36,)</f>
        <v>0</v>
      </c>
      <c r="S208" s="81">
        <f>VLOOKUP(A:A,'staff sales'!C:AO,39,)</f>
        <v>2</v>
      </c>
      <c r="T208" s="81">
        <f>VLOOKUP(A:A,'staff sales'!C:AR,42,)</f>
        <v>0</v>
      </c>
      <c r="U208" s="81">
        <f>VLOOKUP(A:A,'staff sales'!C:AU,45,)</f>
        <v>0</v>
      </c>
      <c r="V208" s="81">
        <f>VLOOKUP(A:A,'staff sales'!C:AX,48,)</f>
        <v>0</v>
      </c>
      <c r="W208" s="81">
        <f>VLOOKUP(A:A,'staff sales'!C:BA,51,)</f>
        <v>0</v>
      </c>
    </row>
    <row r="209" spans="1:23" x14ac:dyDescent="0.25">
      <c r="A209" s="5">
        <v>1027489705</v>
      </c>
      <c r="B209" s="5" t="s">
        <v>780</v>
      </c>
      <c r="C209" s="33" t="s">
        <v>544</v>
      </c>
      <c r="D209" s="33" t="s">
        <v>544</v>
      </c>
      <c r="E209" s="33" t="s">
        <v>70</v>
      </c>
      <c r="F209" s="33" t="s">
        <v>70</v>
      </c>
      <c r="G209" s="33" t="s">
        <v>1218</v>
      </c>
      <c r="H209" s="33" t="s">
        <v>30</v>
      </c>
      <c r="I209" s="33" t="s">
        <v>779</v>
      </c>
      <c r="J209" s="33">
        <v>73025</v>
      </c>
      <c r="K209" s="80">
        <f>VLOOKUP(A:A,'staff sales'!C:Q,15,)</f>
        <v>0</v>
      </c>
      <c r="L209" s="81">
        <f>VLOOKUP(A:A,'staff sales'!C:T,18,)</f>
        <v>0</v>
      </c>
      <c r="M209" s="81">
        <f>VLOOKUP(A:A,'staff sales'!C:W,21,)</f>
        <v>0</v>
      </c>
      <c r="N209" s="81">
        <f>VLOOKUP(A:A,'staff sales'!C:Z,24,)</f>
        <v>0</v>
      </c>
      <c r="O209" s="81">
        <f>VLOOKUP(A:A,'staff sales'!C:AC,27,)</f>
        <v>0</v>
      </c>
      <c r="P209" s="81">
        <f>VLOOKUP(A:A,'staff sales'!C:AF,30,)</f>
        <v>0</v>
      </c>
      <c r="Q209" s="81">
        <f>VLOOKUP(A:A,'staff sales'!C:AI,33,)</f>
        <v>2</v>
      </c>
      <c r="R209" s="81">
        <f>VLOOKUP(A:A,'staff sales'!C:AL,36,)</f>
        <v>0</v>
      </c>
      <c r="S209" s="81">
        <f>VLOOKUP(A:A,'staff sales'!C:AO,39,)</f>
        <v>0</v>
      </c>
      <c r="T209" s="81">
        <f>VLOOKUP(A:A,'staff sales'!C:AR,42,)</f>
        <v>0</v>
      </c>
      <c r="U209" s="81">
        <f>VLOOKUP(A:A,'staff sales'!C:AU,45,)</f>
        <v>0</v>
      </c>
      <c r="V209" s="81">
        <f>VLOOKUP(A:A,'staff sales'!C:AX,48,)</f>
        <v>0</v>
      </c>
      <c r="W209" s="81">
        <f>VLOOKUP(A:A,'staff sales'!C:BA,51,)</f>
        <v>0</v>
      </c>
    </row>
    <row r="210" spans="1:23" x14ac:dyDescent="0.25">
      <c r="A210" s="32">
        <v>1024193268</v>
      </c>
      <c r="B210" s="32" t="s">
        <v>781</v>
      </c>
      <c r="C210" s="26" t="s">
        <v>546</v>
      </c>
      <c r="D210" s="26" t="s">
        <v>546</v>
      </c>
      <c r="E210" s="26" t="s">
        <v>432</v>
      </c>
      <c r="F210" s="26" t="s">
        <v>433</v>
      </c>
      <c r="G210" s="26" t="s">
        <v>1218</v>
      </c>
      <c r="H210" s="26" t="s">
        <v>30</v>
      </c>
      <c r="I210" s="26" t="s">
        <v>779</v>
      </c>
      <c r="J210" s="26">
        <v>73025</v>
      </c>
      <c r="K210" s="80">
        <f>VLOOKUP(A:A,'staff sales'!C:Q,15,)</f>
        <v>17345.22</v>
      </c>
      <c r="L210" s="81">
        <f>VLOOKUP(A:A,'staff sales'!C:T,18,)</f>
        <v>0</v>
      </c>
      <c r="M210" s="81">
        <f>VLOOKUP(A:A,'staff sales'!C:W,21,)</f>
        <v>2451.7399999999998</v>
      </c>
      <c r="N210" s="81">
        <f>VLOOKUP(A:A,'staff sales'!C:Z,24,)</f>
        <v>0</v>
      </c>
      <c r="O210" s="81">
        <f>VLOOKUP(A:A,'staff sales'!C:AC,27,)</f>
        <v>0</v>
      </c>
      <c r="P210" s="81">
        <f>VLOOKUP(A:A,'staff sales'!C:AF,30,)</f>
        <v>0</v>
      </c>
      <c r="Q210" s="81">
        <f>VLOOKUP(A:A,'staff sales'!C:AI,33,)</f>
        <v>6</v>
      </c>
      <c r="R210" s="81">
        <f>VLOOKUP(A:A,'staff sales'!C:AL,36,)</f>
        <v>0</v>
      </c>
      <c r="S210" s="81">
        <f>VLOOKUP(A:A,'staff sales'!C:AO,39,)</f>
        <v>2</v>
      </c>
      <c r="T210" s="81">
        <f>VLOOKUP(A:A,'staff sales'!C:AR,42,)</f>
        <v>1</v>
      </c>
      <c r="U210" s="81">
        <f>VLOOKUP(A:A,'staff sales'!C:AU,45,)</f>
        <v>0</v>
      </c>
      <c r="V210" s="81">
        <f>VLOOKUP(A:A,'staff sales'!C:AX,48,)</f>
        <v>0</v>
      </c>
      <c r="W210" s="81">
        <f>VLOOKUP(A:A,'staff sales'!C:BA,51,)</f>
        <v>0</v>
      </c>
    </row>
    <row r="211" spans="1:23" x14ac:dyDescent="0.25">
      <c r="A211" s="7">
        <v>1029578257</v>
      </c>
      <c r="B211" s="7" t="s">
        <v>782</v>
      </c>
      <c r="C211" s="6" t="s">
        <v>546</v>
      </c>
      <c r="D211" s="6" t="s">
        <v>546</v>
      </c>
      <c r="E211" s="6" t="s">
        <v>434</v>
      </c>
      <c r="F211" s="6" t="s">
        <v>434</v>
      </c>
      <c r="G211" s="6" t="s">
        <v>1218</v>
      </c>
      <c r="H211" s="6" t="s">
        <v>30</v>
      </c>
      <c r="I211" s="6" t="s">
        <v>779</v>
      </c>
      <c r="J211" s="6">
        <v>73025</v>
      </c>
      <c r="K211" s="80">
        <f>VLOOKUP(A:A,'staff sales'!C:Q,15,)</f>
        <v>57026.110000000008</v>
      </c>
      <c r="L211" s="81">
        <f>VLOOKUP(A:A,'staff sales'!C:T,18,)</f>
        <v>0</v>
      </c>
      <c r="M211" s="81">
        <f>VLOOKUP(A:A,'staff sales'!C:W,21,)</f>
        <v>4427.83</v>
      </c>
      <c r="N211" s="81">
        <f>VLOOKUP(A:A,'staff sales'!C:Z,24,)</f>
        <v>0</v>
      </c>
      <c r="O211" s="81">
        <f>VLOOKUP(A:A,'staff sales'!C:AC,27,)</f>
        <v>3</v>
      </c>
      <c r="P211" s="81">
        <f>VLOOKUP(A:A,'staff sales'!C:AF,30,)</f>
        <v>1</v>
      </c>
      <c r="Q211" s="81">
        <f>VLOOKUP(A:A,'staff sales'!C:AI,33,)</f>
        <v>3</v>
      </c>
      <c r="R211" s="81">
        <f>VLOOKUP(A:A,'staff sales'!C:AL,36,)</f>
        <v>0</v>
      </c>
      <c r="S211" s="81">
        <f>VLOOKUP(A:A,'staff sales'!C:AO,39,)</f>
        <v>1</v>
      </c>
      <c r="T211" s="81">
        <f>VLOOKUP(A:A,'staff sales'!C:AR,42,)</f>
        <v>2</v>
      </c>
      <c r="U211" s="81">
        <f>VLOOKUP(A:A,'staff sales'!C:AU,45,)</f>
        <v>0</v>
      </c>
      <c r="V211" s="81">
        <f>VLOOKUP(A:A,'staff sales'!C:AX,48,)</f>
        <v>0</v>
      </c>
      <c r="W211" s="81">
        <f>VLOOKUP(A:A,'staff sales'!C:BA,51,)</f>
        <v>1</v>
      </c>
    </row>
    <row r="212" spans="1:23" x14ac:dyDescent="0.25">
      <c r="A212" s="32">
        <v>1071747545</v>
      </c>
      <c r="B212" s="32" t="s">
        <v>786</v>
      </c>
      <c r="C212" s="26" t="s">
        <v>546</v>
      </c>
      <c r="D212" s="26" t="s">
        <v>546</v>
      </c>
      <c r="E212" s="26" t="s">
        <v>74</v>
      </c>
      <c r="F212" s="26" t="s">
        <v>74</v>
      </c>
      <c r="G212" s="26" t="s">
        <v>1218</v>
      </c>
      <c r="H212" s="26" t="s">
        <v>30</v>
      </c>
      <c r="I212" s="26" t="s">
        <v>779</v>
      </c>
      <c r="J212" s="26">
        <v>73025</v>
      </c>
      <c r="K212" s="80">
        <f>VLOOKUP(A:A,'staff sales'!C:Q,15,)</f>
        <v>43648.7</v>
      </c>
      <c r="L212" s="81">
        <f>VLOOKUP(A:A,'staff sales'!C:T,18,)</f>
        <v>0</v>
      </c>
      <c r="M212" s="81">
        <f>VLOOKUP(A:A,'staff sales'!C:W,21,)</f>
        <v>870</v>
      </c>
      <c r="N212" s="81">
        <f>VLOOKUP(A:A,'staff sales'!C:Z,24,)</f>
        <v>0</v>
      </c>
      <c r="O212" s="81">
        <f>VLOOKUP(A:A,'staff sales'!C:AC,27,)</f>
        <v>1</v>
      </c>
      <c r="P212" s="81">
        <f>VLOOKUP(A:A,'staff sales'!C:AF,30,)</f>
        <v>0</v>
      </c>
      <c r="Q212" s="81">
        <f>VLOOKUP(A:A,'staff sales'!C:AI,33,)</f>
        <v>13</v>
      </c>
      <c r="R212" s="81">
        <f>VLOOKUP(A:A,'staff sales'!C:AL,36,)</f>
        <v>0</v>
      </c>
      <c r="S212" s="81">
        <f>VLOOKUP(A:A,'staff sales'!C:AO,39,)</f>
        <v>0</v>
      </c>
      <c r="T212" s="81">
        <f>VLOOKUP(A:A,'staff sales'!C:AR,42,)</f>
        <v>1</v>
      </c>
      <c r="U212" s="81">
        <f>VLOOKUP(A:A,'staff sales'!C:AU,45,)</f>
        <v>0</v>
      </c>
      <c r="V212" s="81">
        <f>VLOOKUP(A:A,'staff sales'!C:AX,48,)</f>
        <v>0</v>
      </c>
      <c r="W212" s="81">
        <f>VLOOKUP(A:A,'staff sales'!C:BA,51,)</f>
        <v>0</v>
      </c>
    </row>
    <row r="213" spans="1:23" x14ac:dyDescent="0.25">
      <c r="A213" s="5">
        <v>1084957305</v>
      </c>
      <c r="B213" s="5" t="s">
        <v>784</v>
      </c>
      <c r="C213" s="33" t="s">
        <v>546</v>
      </c>
      <c r="D213" s="33" t="s">
        <v>546</v>
      </c>
      <c r="E213" s="33" t="s">
        <v>71</v>
      </c>
      <c r="F213" s="33" t="s">
        <v>71</v>
      </c>
      <c r="G213" s="33" t="s">
        <v>1218</v>
      </c>
      <c r="H213" s="33" t="s">
        <v>30</v>
      </c>
      <c r="I213" s="33" t="s">
        <v>779</v>
      </c>
      <c r="J213" s="33">
        <v>73025</v>
      </c>
      <c r="K213" s="80">
        <f>VLOOKUP(A:A,'staff sales'!C:Q,15,)</f>
        <v>82337.39</v>
      </c>
      <c r="L213" s="81">
        <f>VLOOKUP(A:A,'staff sales'!C:T,18,)</f>
        <v>5859.1399999999994</v>
      </c>
      <c r="M213" s="81">
        <f>VLOOKUP(A:A,'staff sales'!C:W,21,)</f>
        <v>2791.2900000000004</v>
      </c>
      <c r="N213" s="81">
        <f>VLOOKUP(A:A,'staff sales'!C:Z,24,)</f>
        <v>3664</v>
      </c>
      <c r="O213" s="81">
        <f>VLOOKUP(A:A,'staff sales'!C:AC,27,)</f>
        <v>5</v>
      </c>
      <c r="P213" s="81">
        <f>VLOOKUP(A:A,'staff sales'!C:AF,30,)</f>
        <v>0</v>
      </c>
      <c r="Q213" s="81">
        <f>VLOOKUP(A:A,'staff sales'!C:AI,33,)</f>
        <v>0</v>
      </c>
      <c r="R213" s="81">
        <f>VLOOKUP(A:A,'staff sales'!C:AL,36,)</f>
        <v>0</v>
      </c>
      <c r="S213" s="81">
        <f>VLOOKUP(A:A,'staff sales'!C:AO,39,)</f>
        <v>0</v>
      </c>
      <c r="T213" s="81">
        <f>VLOOKUP(A:A,'staff sales'!C:AR,42,)</f>
        <v>0</v>
      </c>
      <c r="U213" s="81">
        <f>VLOOKUP(A:A,'staff sales'!C:AU,45,)</f>
        <v>1</v>
      </c>
      <c r="V213" s="81">
        <f>VLOOKUP(A:A,'staff sales'!C:AX,48,)</f>
        <v>0</v>
      </c>
      <c r="W213" s="81">
        <f>VLOOKUP(A:A,'staff sales'!C:BA,51,)</f>
        <v>0</v>
      </c>
    </row>
    <row r="214" spans="1:23" x14ac:dyDescent="0.25">
      <c r="A214" s="32">
        <v>1127595948</v>
      </c>
      <c r="B214" s="32" t="s">
        <v>785</v>
      </c>
      <c r="C214" s="26" t="s">
        <v>546</v>
      </c>
      <c r="D214" s="26" t="s">
        <v>546</v>
      </c>
      <c r="E214" s="26" t="s">
        <v>72</v>
      </c>
      <c r="F214" s="26" t="s">
        <v>73</v>
      </c>
      <c r="G214" s="26" t="s">
        <v>1218</v>
      </c>
      <c r="H214" s="26" t="s">
        <v>30</v>
      </c>
      <c r="I214" s="26" t="s">
        <v>779</v>
      </c>
      <c r="J214" s="26">
        <v>73025</v>
      </c>
      <c r="K214" s="80">
        <f>VLOOKUP(A:A,'staff sales'!C:Q,15,)</f>
        <v>37502.61</v>
      </c>
      <c r="L214" s="81">
        <f>VLOOKUP(A:A,'staff sales'!C:T,18,)</f>
        <v>0</v>
      </c>
      <c r="M214" s="81">
        <f>VLOOKUP(A:A,'staff sales'!C:W,21,)</f>
        <v>5570</v>
      </c>
      <c r="N214" s="81">
        <f>VLOOKUP(A:A,'staff sales'!C:Z,24,)</f>
        <v>0</v>
      </c>
      <c r="O214" s="81">
        <f>VLOOKUP(A:A,'staff sales'!C:AC,27,)</f>
        <v>0</v>
      </c>
      <c r="P214" s="81">
        <f>VLOOKUP(A:A,'staff sales'!C:AF,30,)</f>
        <v>1</v>
      </c>
      <c r="Q214" s="81">
        <f>VLOOKUP(A:A,'staff sales'!C:AI,33,)</f>
        <v>32</v>
      </c>
      <c r="R214" s="81">
        <f>VLOOKUP(A:A,'staff sales'!C:AL,36,)</f>
        <v>0</v>
      </c>
      <c r="S214" s="81">
        <f>VLOOKUP(A:A,'staff sales'!C:AO,39,)</f>
        <v>0</v>
      </c>
      <c r="T214" s="81">
        <f>VLOOKUP(A:A,'staff sales'!C:AR,42,)</f>
        <v>1</v>
      </c>
      <c r="U214" s="81">
        <f>VLOOKUP(A:A,'staff sales'!C:AU,45,)</f>
        <v>0</v>
      </c>
      <c r="V214" s="81">
        <f>VLOOKUP(A:A,'staff sales'!C:AX,48,)</f>
        <v>0</v>
      </c>
      <c r="W214" s="81">
        <f>VLOOKUP(A:A,'staff sales'!C:BA,51,)</f>
        <v>3</v>
      </c>
    </row>
    <row r="215" spans="1:23" x14ac:dyDescent="0.25">
      <c r="A215" s="32">
        <v>1037747621</v>
      </c>
      <c r="B215" s="32" t="s">
        <v>820</v>
      </c>
      <c r="C215" s="26" t="s">
        <v>546</v>
      </c>
      <c r="D215" s="26" t="s">
        <v>546</v>
      </c>
      <c r="E215" s="26" t="s">
        <v>92</v>
      </c>
      <c r="F215" s="26" t="s">
        <v>93</v>
      </c>
      <c r="G215" s="26" t="s">
        <v>1218</v>
      </c>
      <c r="H215" s="26" t="s">
        <v>30</v>
      </c>
      <c r="I215" s="26" t="s">
        <v>779</v>
      </c>
      <c r="J215" s="26">
        <v>73025</v>
      </c>
      <c r="K215" s="80">
        <f>VLOOKUP(A:A,'staff sales'!C:Q,15,)</f>
        <v>18431.309999999998</v>
      </c>
      <c r="L215" s="81">
        <f>VLOOKUP(A:A,'staff sales'!C:T,18,)</f>
        <v>0</v>
      </c>
      <c r="M215" s="81">
        <f>VLOOKUP(A:A,'staff sales'!C:W,21,)</f>
        <v>960</v>
      </c>
      <c r="N215" s="81">
        <f>VLOOKUP(A:A,'staff sales'!C:Z,24,)</f>
        <v>0</v>
      </c>
      <c r="O215" s="81">
        <f>VLOOKUP(A:A,'staff sales'!C:AC,27,)</f>
        <v>2</v>
      </c>
      <c r="P215" s="81">
        <f>VLOOKUP(A:A,'staff sales'!C:AF,30,)</f>
        <v>0</v>
      </c>
      <c r="Q215" s="81">
        <f>VLOOKUP(A:A,'staff sales'!C:AI,33,)</f>
        <v>45</v>
      </c>
      <c r="R215" s="81">
        <f>VLOOKUP(A:A,'staff sales'!C:AL,36,)</f>
        <v>1</v>
      </c>
      <c r="S215" s="81">
        <f>VLOOKUP(A:A,'staff sales'!C:AO,39,)</f>
        <v>2</v>
      </c>
      <c r="T215" s="81">
        <f>VLOOKUP(A:A,'staff sales'!C:AR,42,)</f>
        <v>0</v>
      </c>
      <c r="U215" s="81">
        <f>VLOOKUP(A:A,'staff sales'!C:AU,45,)</f>
        <v>0</v>
      </c>
      <c r="V215" s="81">
        <f>VLOOKUP(A:A,'staff sales'!C:AX,48,)</f>
        <v>0</v>
      </c>
      <c r="W215" s="81">
        <f>VLOOKUP(A:A,'staff sales'!C:BA,51,)</f>
        <v>1</v>
      </c>
    </row>
    <row r="216" spans="1:23" x14ac:dyDescent="0.25">
      <c r="A216" s="5">
        <v>1063664930</v>
      </c>
      <c r="B216" s="5" t="s">
        <v>783</v>
      </c>
      <c r="C216" s="33" t="s">
        <v>546</v>
      </c>
      <c r="D216" s="33" t="s">
        <v>546</v>
      </c>
      <c r="E216" s="33" t="s">
        <v>96</v>
      </c>
      <c r="F216" s="33" t="s">
        <v>96</v>
      </c>
      <c r="G216" s="33" t="s">
        <v>1218</v>
      </c>
      <c r="H216" s="33" t="s">
        <v>30</v>
      </c>
      <c r="I216" s="33" t="s">
        <v>779</v>
      </c>
      <c r="J216" s="33">
        <v>73025</v>
      </c>
      <c r="K216" s="80">
        <f>VLOOKUP(A:A,'staff sales'!C:Q,15,)</f>
        <v>17647.830000000002</v>
      </c>
      <c r="L216" s="81">
        <f>VLOOKUP(A:A,'staff sales'!C:T,18,)</f>
        <v>0</v>
      </c>
      <c r="M216" s="81">
        <f>VLOOKUP(A:A,'staff sales'!C:W,21,)</f>
        <v>6006.09</v>
      </c>
      <c r="N216" s="81">
        <f>VLOOKUP(A:A,'staff sales'!C:Z,24,)</f>
        <v>399</v>
      </c>
      <c r="O216" s="81">
        <f>VLOOKUP(A:A,'staff sales'!C:AC,27,)</f>
        <v>5</v>
      </c>
      <c r="P216" s="81">
        <f>VLOOKUP(A:A,'staff sales'!C:AF,30,)</f>
        <v>0</v>
      </c>
      <c r="Q216" s="81">
        <f>VLOOKUP(A:A,'staff sales'!C:AI,33,)</f>
        <v>6</v>
      </c>
      <c r="R216" s="81">
        <f>VLOOKUP(A:A,'staff sales'!C:AL,36,)</f>
        <v>1</v>
      </c>
      <c r="S216" s="81">
        <f>VLOOKUP(A:A,'staff sales'!C:AO,39,)</f>
        <v>0</v>
      </c>
      <c r="T216" s="81">
        <f>VLOOKUP(A:A,'staff sales'!C:AR,42,)</f>
        <v>0</v>
      </c>
      <c r="U216" s="81">
        <f>VLOOKUP(A:A,'staff sales'!C:AU,45,)</f>
        <v>3</v>
      </c>
      <c r="V216" s="81">
        <f>VLOOKUP(A:A,'staff sales'!C:AX,48,)</f>
        <v>0</v>
      </c>
      <c r="W216" s="81">
        <f>VLOOKUP(A:A,'staff sales'!C:BA,51,)</f>
        <v>0</v>
      </c>
    </row>
    <row r="217" spans="1:23" x14ac:dyDescent="0.25">
      <c r="A217" s="32">
        <v>1030366650</v>
      </c>
      <c r="B217" s="32" t="s">
        <v>787</v>
      </c>
      <c r="C217" s="26" t="s">
        <v>546</v>
      </c>
      <c r="D217" s="26" t="s">
        <v>546</v>
      </c>
      <c r="E217" s="26" t="s">
        <v>75</v>
      </c>
      <c r="F217" s="26" t="s">
        <v>76</v>
      </c>
      <c r="G217" s="26" t="s">
        <v>1218</v>
      </c>
      <c r="H217" s="26" t="s">
        <v>30</v>
      </c>
      <c r="I217" s="26" t="s">
        <v>779</v>
      </c>
      <c r="J217" s="26">
        <v>73025</v>
      </c>
      <c r="K217" s="80">
        <f>VLOOKUP(A:A,'staff sales'!C:Q,15,)</f>
        <v>22840.880000000001</v>
      </c>
      <c r="L217" s="81">
        <f>VLOOKUP(A:A,'staff sales'!C:T,18,)</f>
        <v>0</v>
      </c>
      <c r="M217" s="81">
        <f>VLOOKUP(A:A,'staff sales'!C:W,21,)</f>
        <v>2058.69</v>
      </c>
      <c r="N217" s="81">
        <f>VLOOKUP(A:A,'staff sales'!C:Z,24,)</f>
        <v>0</v>
      </c>
      <c r="O217" s="81">
        <f>VLOOKUP(A:A,'staff sales'!C:AC,27,)</f>
        <v>2</v>
      </c>
      <c r="P217" s="81">
        <f>VLOOKUP(A:A,'staff sales'!C:AF,30,)</f>
        <v>0</v>
      </c>
      <c r="Q217" s="81">
        <f>VLOOKUP(A:A,'staff sales'!C:AI,33,)</f>
        <v>0</v>
      </c>
      <c r="R217" s="81">
        <f>VLOOKUP(A:A,'staff sales'!C:AL,36,)</f>
        <v>0</v>
      </c>
      <c r="S217" s="81">
        <f>VLOOKUP(A:A,'staff sales'!C:AO,39,)</f>
        <v>0</v>
      </c>
      <c r="T217" s="81">
        <f>VLOOKUP(A:A,'staff sales'!C:AR,42,)</f>
        <v>1</v>
      </c>
      <c r="U217" s="81">
        <f>VLOOKUP(A:A,'staff sales'!C:AU,45,)</f>
        <v>0</v>
      </c>
      <c r="V217" s="81">
        <f>VLOOKUP(A:A,'staff sales'!C:AX,48,)</f>
        <v>0</v>
      </c>
      <c r="W217" s="81">
        <f>VLOOKUP(A:A,'staff sales'!C:BA,51,)</f>
        <v>0</v>
      </c>
    </row>
    <row r="218" spans="1:23" x14ac:dyDescent="0.25">
      <c r="A218" s="5">
        <v>1036260378</v>
      </c>
      <c r="B218" s="5" t="s">
        <v>789</v>
      </c>
      <c r="C218" s="33" t="s">
        <v>546</v>
      </c>
      <c r="D218" s="33" t="s">
        <v>546</v>
      </c>
      <c r="E218" s="33" t="s">
        <v>78</v>
      </c>
      <c r="F218" s="33" t="s">
        <v>78</v>
      </c>
      <c r="G218" s="33" t="s">
        <v>1218</v>
      </c>
      <c r="H218" s="33" t="s">
        <v>30</v>
      </c>
      <c r="I218" s="33" t="s">
        <v>779</v>
      </c>
      <c r="J218" s="33">
        <v>73025</v>
      </c>
      <c r="K218" s="80">
        <f>VLOOKUP(A:A,'staff sales'!C:Q,15,)</f>
        <v>7625.22</v>
      </c>
      <c r="L218" s="81">
        <f>VLOOKUP(A:A,'staff sales'!C:T,18,)</f>
        <v>0</v>
      </c>
      <c r="M218" s="81">
        <f>VLOOKUP(A:A,'staff sales'!C:W,21,)</f>
        <v>0</v>
      </c>
      <c r="N218" s="81">
        <f>VLOOKUP(A:A,'staff sales'!C:Z,24,)</f>
        <v>0</v>
      </c>
      <c r="O218" s="81">
        <f>VLOOKUP(A:A,'staff sales'!C:AC,27,)</f>
        <v>3</v>
      </c>
      <c r="P218" s="81">
        <f>VLOOKUP(A:A,'staff sales'!C:AF,30,)</f>
        <v>0</v>
      </c>
      <c r="Q218" s="81">
        <f>VLOOKUP(A:A,'staff sales'!C:AI,33,)</f>
        <v>0</v>
      </c>
      <c r="R218" s="81">
        <f>VLOOKUP(A:A,'staff sales'!C:AL,36,)</f>
        <v>0</v>
      </c>
      <c r="S218" s="81">
        <f>VLOOKUP(A:A,'staff sales'!C:AO,39,)</f>
        <v>0</v>
      </c>
      <c r="T218" s="81">
        <f>VLOOKUP(A:A,'staff sales'!C:AR,42,)</f>
        <v>0</v>
      </c>
      <c r="U218" s="81">
        <f>VLOOKUP(A:A,'staff sales'!C:AU,45,)</f>
        <v>0</v>
      </c>
      <c r="V218" s="81">
        <f>VLOOKUP(A:A,'staff sales'!C:AX,48,)</f>
        <v>0</v>
      </c>
      <c r="W218" s="81">
        <f>VLOOKUP(A:A,'staff sales'!C:BA,51,)</f>
        <v>0</v>
      </c>
    </row>
    <row r="219" spans="1:23" x14ac:dyDescent="0.25">
      <c r="A219" s="32">
        <v>1076409562</v>
      </c>
      <c r="B219" s="32" t="s">
        <v>791</v>
      </c>
      <c r="C219" s="26" t="s">
        <v>546</v>
      </c>
      <c r="D219" s="26" t="s">
        <v>546</v>
      </c>
      <c r="E219" s="26" t="s">
        <v>80</v>
      </c>
      <c r="F219" s="26" t="s">
        <v>80</v>
      </c>
      <c r="G219" s="26" t="s">
        <v>1218</v>
      </c>
      <c r="H219" s="26" t="s">
        <v>30</v>
      </c>
      <c r="I219" s="26" t="s">
        <v>779</v>
      </c>
      <c r="J219" s="26">
        <v>73025</v>
      </c>
      <c r="K219" s="80">
        <f>VLOOKUP(A:A,'staff sales'!C:Q,15,)</f>
        <v>44609.590000000004</v>
      </c>
      <c r="L219" s="81">
        <f>VLOOKUP(A:A,'staff sales'!C:T,18,)</f>
        <v>0</v>
      </c>
      <c r="M219" s="81">
        <f>VLOOKUP(A:A,'staff sales'!C:W,21,)</f>
        <v>3553.48</v>
      </c>
      <c r="N219" s="81">
        <f>VLOOKUP(A:A,'staff sales'!C:Z,24,)</f>
        <v>0</v>
      </c>
      <c r="O219" s="81">
        <f>VLOOKUP(A:A,'staff sales'!C:AC,27,)</f>
        <v>4</v>
      </c>
      <c r="P219" s="81">
        <f>VLOOKUP(A:A,'staff sales'!C:AF,30,)</f>
        <v>0</v>
      </c>
      <c r="Q219" s="81">
        <f>VLOOKUP(A:A,'staff sales'!C:AI,33,)</f>
        <v>0</v>
      </c>
      <c r="R219" s="81">
        <f>VLOOKUP(A:A,'staff sales'!C:AL,36,)</f>
        <v>0</v>
      </c>
      <c r="S219" s="81">
        <f>VLOOKUP(A:A,'staff sales'!C:AO,39,)</f>
        <v>0</v>
      </c>
      <c r="T219" s="81">
        <f>VLOOKUP(A:A,'staff sales'!C:AR,42,)</f>
        <v>1</v>
      </c>
      <c r="U219" s="81">
        <f>VLOOKUP(A:A,'staff sales'!C:AU,45,)</f>
        <v>0</v>
      </c>
      <c r="V219" s="81">
        <f>VLOOKUP(A:A,'staff sales'!C:AX,48,)</f>
        <v>0</v>
      </c>
      <c r="W219" s="81">
        <f>VLOOKUP(A:A,'staff sales'!C:BA,51,)</f>
        <v>0</v>
      </c>
    </row>
    <row r="220" spans="1:23" x14ac:dyDescent="0.25">
      <c r="A220" s="5">
        <v>1080002510</v>
      </c>
      <c r="B220" s="5" t="s">
        <v>792</v>
      </c>
      <c r="C220" s="33" t="s">
        <v>546</v>
      </c>
      <c r="D220" s="33" t="s">
        <v>546</v>
      </c>
      <c r="E220" s="33" t="s">
        <v>81</v>
      </c>
      <c r="F220" s="33" t="s">
        <v>81</v>
      </c>
      <c r="G220" s="33" t="s">
        <v>1218</v>
      </c>
      <c r="H220" s="33" t="s">
        <v>30</v>
      </c>
      <c r="I220" s="33" t="s">
        <v>779</v>
      </c>
      <c r="J220" s="33">
        <v>73025</v>
      </c>
      <c r="K220" s="80">
        <f>VLOOKUP(A:A,'staff sales'!C:Q,15,)</f>
        <v>69220.02</v>
      </c>
      <c r="L220" s="81">
        <f>VLOOKUP(A:A,'staff sales'!C:T,18,)</f>
        <v>1099.71</v>
      </c>
      <c r="M220" s="81">
        <f>VLOOKUP(A:A,'staff sales'!C:W,21,)</f>
        <v>11539.82</v>
      </c>
      <c r="N220" s="81">
        <f>VLOOKUP(A:A,'staff sales'!C:Z,24,)</f>
        <v>0</v>
      </c>
      <c r="O220" s="81">
        <f>VLOOKUP(A:A,'staff sales'!C:AC,27,)</f>
        <v>4</v>
      </c>
      <c r="P220" s="81">
        <f>VLOOKUP(A:A,'staff sales'!C:AF,30,)</f>
        <v>0</v>
      </c>
      <c r="Q220" s="81">
        <f>VLOOKUP(A:A,'staff sales'!C:AI,33,)</f>
        <v>23</v>
      </c>
      <c r="R220" s="81">
        <f>VLOOKUP(A:A,'staff sales'!C:AL,36,)</f>
        <v>0</v>
      </c>
      <c r="S220" s="81">
        <f>VLOOKUP(A:A,'staff sales'!C:AO,39,)</f>
        <v>0</v>
      </c>
      <c r="T220" s="81">
        <f>VLOOKUP(A:A,'staff sales'!C:AR,42,)</f>
        <v>1</v>
      </c>
      <c r="U220" s="81">
        <f>VLOOKUP(A:A,'staff sales'!C:AU,45,)</f>
        <v>0</v>
      </c>
      <c r="V220" s="81">
        <f>VLOOKUP(A:A,'staff sales'!C:AX,48,)</f>
        <v>0</v>
      </c>
      <c r="W220" s="81">
        <f>VLOOKUP(A:A,'staff sales'!C:BA,51,)</f>
        <v>2</v>
      </c>
    </row>
    <row r="221" spans="1:23" x14ac:dyDescent="0.25">
      <c r="A221" s="32">
        <v>1020499156</v>
      </c>
      <c r="B221" s="32" t="s">
        <v>793</v>
      </c>
      <c r="C221" s="26" t="s">
        <v>546</v>
      </c>
      <c r="D221" s="26" t="s">
        <v>546</v>
      </c>
      <c r="E221" s="26" t="s">
        <v>98</v>
      </c>
      <c r="F221" s="26" t="s">
        <v>98</v>
      </c>
      <c r="G221" s="26" t="s">
        <v>1218</v>
      </c>
      <c r="H221" s="26" t="s">
        <v>30</v>
      </c>
      <c r="I221" s="26" t="s">
        <v>779</v>
      </c>
      <c r="J221" s="26">
        <v>73025</v>
      </c>
      <c r="K221" s="80">
        <f>VLOOKUP(A:A,'staff sales'!C:Q,15,)</f>
        <v>43716.54</v>
      </c>
      <c r="L221" s="81">
        <f>VLOOKUP(A:A,'staff sales'!C:T,18,)</f>
        <v>3216.52</v>
      </c>
      <c r="M221" s="81">
        <f>VLOOKUP(A:A,'staff sales'!C:W,21,)</f>
        <v>5676.08</v>
      </c>
      <c r="N221" s="81">
        <f>VLOOKUP(A:A,'staff sales'!C:Z,24,)</f>
        <v>0</v>
      </c>
      <c r="O221" s="81">
        <f>VLOOKUP(A:A,'staff sales'!C:AC,27,)</f>
        <v>3</v>
      </c>
      <c r="P221" s="81">
        <f>VLOOKUP(A:A,'staff sales'!C:AF,30,)</f>
        <v>1</v>
      </c>
      <c r="Q221" s="81">
        <f>VLOOKUP(A:A,'staff sales'!C:AI,33,)</f>
        <v>11</v>
      </c>
      <c r="R221" s="81">
        <f>VLOOKUP(A:A,'staff sales'!C:AL,36,)</f>
        <v>1</v>
      </c>
      <c r="S221" s="81">
        <f>VLOOKUP(A:A,'staff sales'!C:AO,39,)</f>
        <v>0</v>
      </c>
      <c r="T221" s="81">
        <f>VLOOKUP(A:A,'staff sales'!C:AR,42,)</f>
        <v>0</v>
      </c>
      <c r="U221" s="81">
        <f>VLOOKUP(A:A,'staff sales'!C:AU,45,)</f>
        <v>0</v>
      </c>
      <c r="V221" s="81">
        <f>VLOOKUP(A:A,'staff sales'!C:AX,48,)</f>
        <v>0</v>
      </c>
      <c r="W221" s="81">
        <f>VLOOKUP(A:A,'staff sales'!C:BA,51,)</f>
        <v>0</v>
      </c>
    </row>
    <row r="222" spans="1:23" x14ac:dyDescent="0.25">
      <c r="A222" s="5">
        <v>1047887672</v>
      </c>
      <c r="B222" s="5" t="s">
        <v>794</v>
      </c>
      <c r="C222" s="33" t="s">
        <v>546</v>
      </c>
      <c r="D222" s="33" t="s">
        <v>546</v>
      </c>
      <c r="E222" s="33" t="s">
        <v>82</v>
      </c>
      <c r="F222" s="33" t="s">
        <v>82</v>
      </c>
      <c r="G222" s="33" t="s">
        <v>1218</v>
      </c>
      <c r="H222" s="33" t="s">
        <v>30</v>
      </c>
      <c r="I222" s="33" t="s">
        <v>779</v>
      </c>
      <c r="J222" s="33">
        <v>73025</v>
      </c>
      <c r="K222" s="80">
        <f>VLOOKUP(A:A,'staff sales'!C:Q,15,)</f>
        <v>26691.31</v>
      </c>
      <c r="L222" s="81">
        <f>VLOOKUP(A:A,'staff sales'!C:T,18,)</f>
        <v>0</v>
      </c>
      <c r="M222" s="81">
        <f>VLOOKUP(A:A,'staff sales'!C:W,21,)</f>
        <v>1740</v>
      </c>
      <c r="N222" s="81">
        <f>VLOOKUP(A:A,'staff sales'!C:Z,24,)</f>
        <v>0</v>
      </c>
      <c r="O222" s="81">
        <f>VLOOKUP(A:A,'staff sales'!C:AC,27,)</f>
        <v>2</v>
      </c>
      <c r="P222" s="81">
        <f>VLOOKUP(A:A,'staff sales'!C:AF,30,)</f>
        <v>0</v>
      </c>
      <c r="Q222" s="81">
        <f>VLOOKUP(A:A,'staff sales'!C:AI,33,)</f>
        <v>25</v>
      </c>
      <c r="R222" s="81">
        <f>VLOOKUP(A:A,'staff sales'!C:AL,36,)</f>
        <v>0</v>
      </c>
      <c r="S222" s="81">
        <f>VLOOKUP(A:A,'staff sales'!C:AO,39,)</f>
        <v>1</v>
      </c>
      <c r="T222" s="81">
        <f>VLOOKUP(A:A,'staff sales'!C:AR,42,)</f>
        <v>2</v>
      </c>
      <c r="U222" s="81">
        <f>VLOOKUP(A:A,'staff sales'!C:AU,45,)</f>
        <v>0</v>
      </c>
      <c r="V222" s="81">
        <f>VLOOKUP(A:A,'staff sales'!C:AX,48,)</f>
        <v>0</v>
      </c>
      <c r="W222" s="81">
        <f>VLOOKUP(A:A,'staff sales'!C:BA,51,)</f>
        <v>0</v>
      </c>
    </row>
    <row r="223" spans="1:23" x14ac:dyDescent="0.25">
      <c r="A223" s="32">
        <v>1123614586</v>
      </c>
      <c r="B223" s="32" t="s">
        <v>795</v>
      </c>
      <c r="C223" s="26" t="s">
        <v>546</v>
      </c>
      <c r="D223" s="26" t="s">
        <v>546</v>
      </c>
      <c r="E223" s="26" t="s">
        <v>106</v>
      </c>
      <c r="F223" s="26" t="s">
        <v>107</v>
      </c>
      <c r="G223" s="26" t="s">
        <v>1218</v>
      </c>
      <c r="H223" s="26" t="s">
        <v>30</v>
      </c>
      <c r="I223" s="26" t="s">
        <v>779</v>
      </c>
      <c r="J223" s="26">
        <v>73025</v>
      </c>
      <c r="K223" s="80">
        <f>VLOOKUP(A:A,'staff sales'!C:Q,15,)</f>
        <v>43151.540000000008</v>
      </c>
      <c r="L223" s="81">
        <f>VLOOKUP(A:A,'staff sales'!C:T,18,)</f>
        <v>0</v>
      </c>
      <c r="M223" s="81">
        <f>VLOOKUP(A:A,'staff sales'!C:W,21,)</f>
        <v>3587.18</v>
      </c>
      <c r="N223" s="81">
        <f>VLOOKUP(A:A,'staff sales'!C:Z,24,)</f>
        <v>0</v>
      </c>
      <c r="O223" s="81">
        <f>VLOOKUP(A:A,'staff sales'!C:AC,27,)</f>
        <v>6</v>
      </c>
      <c r="P223" s="81">
        <f>VLOOKUP(A:A,'staff sales'!C:AF,30,)</f>
        <v>0</v>
      </c>
      <c r="Q223" s="81">
        <f>VLOOKUP(A:A,'staff sales'!C:AI,33,)</f>
        <v>17</v>
      </c>
      <c r="R223" s="81">
        <f>VLOOKUP(A:A,'staff sales'!C:AL,36,)</f>
        <v>0</v>
      </c>
      <c r="S223" s="81">
        <f>VLOOKUP(A:A,'staff sales'!C:AO,39,)</f>
        <v>0</v>
      </c>
      <c r="T223" s="81">
        <f>VLOOKUP(A:A,'staff sales'!C:AR,42,)</f>
        <v>1</v>
      </c>
      <c r="U223" s="81">
        <f>VLOOKUP(A:A,'staff sales'!C:AU,45,)</f>
        <v>0</v>
      </c>
      <c r="V223" s="81">
        <f>VLOOKUP(A:A,'staff sales'!C:AX,48,)</f>
        <v>0</v>
      </c>
      <c r="W223" s="81">
        <f>VLOOKUP(A:A,'staff sales'!C:BA,51,)</f>
        <v>0</v>
      </c>
    </row>
    <row r="224" spans="1:23" x14ac:dyDescent="0.25">
      <c r="A224" s="32">
        <v>1020953095</v>
      </c>
      <c r="B224" s="32" t="s">
        <v>796</v>
      </c>
      <c r="C224" s="26" t="s">
        <v>541</v>
      </c>
      <c r="D224" s="26" t="s">
        <v>541</v>
      </c>
      <c r="E224" s="26" t="s">
        <v>83</v>
      </c>
      <c r="F224" s="26" t="s">
        <v>83</v>
      </c>
      <c r="G224" s="26" t="s">
        <v>1218</v>
      </c>
      <c r="H224" s="26" t="s">
        <v>30</v>
      </c>
      <c r="I224" s="26" t="s">
        <v>797</v>
      </c>
      <c r="J224" s="26">
        <v>73029</v>
      </c>
      <c r="K224" s="80">
        <f>VLOOKUP(A:A,'staff sales'!C:Q,15,)</f>
        <v>0</v>
      </c>
      <c r="L224" s="81">
        <f>VLOOKUP(A:A,'staff sales'!C:T,18,)</f>
        <v>0</v>
      </c>
      <c r="M224" s="81">
        <f>VLOOKUP(A:A,'staff sales'!C:W,21,)</f>
        <v>0</v>
      </c>
      <c r="N224" s="81">
        <f>VLOOKUP(A:A,'staff sales'!C:Z,24,)</f>
        <v>0</v>
      </c>
      <c r="O224" s="81">
        <f>VLOOKUP(A:A,'staff sales'!C:AC,27,)</f>
        <v>0</v>
      </c>
      <c r="P224" s="81">
        <f>VLOOKUP(A:A,'staff sales'!C:AF,30,)</f>
        <v>0</v>
      </c>
      <c r="Q224" s="81">
        <f>VLOOKUP(A:A,'staff sales'!C:AI,33,)</f>
        <v>0</v>
      </c>
      <c r="R224" s="81">
        <f>VLOOKUP(A:A,'staff sales'!C:AL,36,)</f>
        <v>0</v>
      </c>
      <c r="S224" s="81">
        <f>VLOOKUP(A:A,'staff sales'!C:AO,39,)</f>
        <v>0</v>
      </c>
      <c r="T224" s="81">
        <f>VLOOKUP(A:A,'staff sales'!C:AR,42,)</f>
        <v>0</v>
      </c>
      <c r="U224" s="81">
        <f>VLOOKUP(A:A,'staff sales'!C:AU,45,)</f>
        <v>0</v>
      </c>
      <c r="V224" s="81">
        <f>VLOOKUP(A:A,'staff sales'!C:AX,48,)</f>
        <v>0</v>
      </c>
      <c r="W224" s="81">
        <f>VLOOKUP(A:A,'staff sales'!C:BA,51,)</f>
        <v>0</v>
      </c>
    </row>
    <row r="225" spans="1:23" x14ac:dyDescent="0.25">
      <c r="A225" s="5">
        <v>1065187971</v>
      </c>
      <c r="B225" s="5" t="s">
        <v>798</v>
      </c>
      <c r="C225" s="33" t="s">
        <v>544</v>
      </c>
      <c r="D225" s="33" t="s">
        <v>544</v>
      </c>
      <c r="E225" s="33" t="s">
        <v>84</v>
      </c>
      <c r="F225" s="33" t="s">
        <v>84</v>
      </c>
      <c r="G225" s="33" t="s">
        <v>1218</v>
      </c>
      <c r="H225" s="33" t="s">
        <v>30</v>
      </c>
      <c r="I225" s="33" t="s">
        <v>797</v>
      </c>
      <c r="J225" s="33">
        <v>73029</v>
      </c>
      <c r="K225" s="80">
        <f>VLOOKUP(A:A,'staff sales'!C:Q,15,)</f>
        <v>5400</v>
      </c>
      <c r="L225" s="81">
        <f>VLOOKUP(A:A,'staff sales'!C:T,18,)</f>
        <v>0</v>
      </c>
      <c r="M225" s="81">
        <f>VLOOKUP(A:A,'staff sales'!C:W,21,)</f>
        <v>0</v>
      </c>
      <c r="N225" s="81">
        <f>VLOOKUP(A:A,'staff sales'!C:Z,24,)</f>
        <v>0</v>
      </c>
      <c r="O225" s="81">
        <f>VLOOKUP(A:A,'staff sales'!C:AC,27,)</f>
        <v>0</v>
      </c>
      <c r="P225" s="81">
        <f>VLOOKUP(A:A,'staff sales'!C:AF,30,)</f>
        <v>0</v>
      </c>
      <c r="Q225" s="81">
        <f>VLOOKUP(A:A,'staff sales'!C:AI,33,)</f>
        <v>2</v>
      </c>
      <c r="R225" s="81">
        <f>VLOOKUP(A:A,'staff sales'!C:AL,36,)</f>
        <v>0</v>
      </c>
      <c r="S225" s="81">
        <f>VLOOKUP(A:A,'staff sales'!C:AO,39,)</f>
        <v>0</v>
      </c>
      <c r="T225" s="81">
        <f>VLOOKUP(A:A,'staff sales'!C:AR,42,)</f>
        <v>0</v>
      </c>
      <c r="U225" s="81">
        <f>VLOOKUP(A:A,'staff sales'!C:AU,45,)</f>
        <v>1</v>
      </c>
      <c r="V225" s="81">
        <f>VLOOKUP(A:A,'staff sales'!C:AX,48,)</f>
        <v>0</v>
      </c>
      <c r="W225" s="81">
        <f>VLOOKUP(A:A,'staff sales'!C:BA,51,)</f>
        <v>0</v>
      </c>
    </row>
    <row r="226" spans="1:23" x14ac:dyDescent="0.25">
      <c r="A226" s="32">
        <v>1092184785</v>
      </c>
      <c r="B226" s="32" t="s">
        <v>799</v>
      </c>
      <c r="C226" s="26" t="s">
        <v>546</v>
      </c>
      <c r="D226" s="26" t="s">
        <v>546</v>
      </c>
      <c r="E226" s="26" t="s">
        <v>85</v>
      </c>
      <c r="F226" s="26" t="s">
        <v>86</v>
      </c>
      <c r="G226" s="26" t="s">
        <v>1218</v>
      </c>
      <c r="H226" s="26" t="s">
        <v>30</v>
      </c>
      <c r="I226" s="26" t="s">
        <v>797</v>
      </c>
      <c r="J226" s="26">
        <v>73029</v>
      </c>
      <c r="K226" s="80">
        <f>VLOOKUP(A:A,'staff sales'!C:Q,15,)</f>
        <v>143784.38999999998</v>
      </c>
      <c r="L226" s="81">
        <f>VLOOKUP(A:A,'staff sales'!C:T,18,)</f>
        <v>10467.82</v>
      </c>
      <c r="M226" s="81">
        <f>VLOOKUP(A:A,'staff sales'!C:W,21,)</f>
        <v>25219.119999999999</v>
      </c>
      <c r="N226" s="81">
        <f>VLOOKUP(A:A,'staff sales'!C:Z,24,)</f>
        <v>299</v>
      </c>
      <c r="O226" s="81">
        <f>VLOOKUP(A:A,'staff sales'!C:AC,27,)</f>
        <v>18</v>
      </c>
      <c r="P226" s="81">
        <f>VLOOKUP(A:A,'staff sales'!C:AF,30,)</f>
        <v>3</v>
      </c>
      <c r="Q226" s="81">
        <f>VLOOKUP(A:A,'staff sales'!C:AI,33,)</f>
        <v>93</v>
      </c>
      <c r="R226" s="81">
        <f>VLOOKUP(A:A,'staff sales'!C:AL,36,)</f>
        <v>2</v>
      </c>
      <c r="S226" s="81">
        <f>VLOOKUP(A:A,'staff sales'!C:AO,39,)</f>
        <v>1</v>
      </c>
      <c r="T226" s="81">
        <f>VLOOKUP(A:A,'staff sales'!C:AR,42,)</f>
        <v>13</v>
      </c>
      <c r="U226" s="81">
        <f>VLOOKUP(A:A,'staff sales'!C:AU,45,)</f>
        <v>1</v>
      </c>
      <c r="V226" s="81">
        <f>VLOOKUP(A:A,'staff sales'!C:AX,48,)</f>
        <v>0</v>
      </c>
      <c r="W226" s="81">
        <f>VLOOKUP(A:A,'staff sales'!C:BA,51,)</f>
        <v>0</v>
      </c>
    </row>
    <row r="227" spans="1:23" x14ac:dyDescent="0.25">
      <c r="A227" s="5">
        <v>1113281149</v>
      </c>
      <c r="B227" s="5" t="s">
        <v>800</v>
      </c>
      <c r="C227" s="33" t="s">
        <v>546</v>
      </c>
      <c r="D227" s="33" t="s">
        <v>546</v>
      </c>
      <c r="E227" s="33" t="s">
        <v>476</v>
      </c>
      <c r="F227" s="33" t="s">
        <v>476</v>
      </c>
      <c r="G227" s="33" t="s">
        <v>1218</v>
      </c>
      <c r="H227" s="33" t="s">
        <v>30</v>
      </c>
      <c r="I227" s="33" t="s">
        <v>797</v>
      </c>
      <c r="J227" s="33">
        <v>73029</v>
      </c>
      <c r="K227" s="80">
        <f>VLOOKUP(A:A,'staff sales'!C:Q,15,)</f>
        <v>50788.700000000004</v>
      </c>
      <c r="L227" s="81">
        <f>VLOOKUP(A:A,'staff sales'!C:T,18,)</f>
        <v>0</v>
      </c>
      <c r="M227" s="81">
        <f>VLOOKUP(A:A,'staff sales'!C:W,21,)</f>
        <v>7384.7300000000005</v>
      </c>
      <c r="N227" s="81">
        <f>VLOOKUP(A:A,'staff sales'!C:Z,24,)</f>
        <v>0</v>
      </c>
      <c r="O227" s="81">
        <f>VLOOKUP(A:A,'staff sales'!C:AC,27,)</f>
        <v>4</v>
      </c>
      <c r="P227" s="81">
        <f>VLOOKUP(A:A,'staff sales'!C:AF,30,)</f>
        <v>0</v>
      </c>
      <c r="Q227" s="81">
        <f>VLOOKUP(A:A,'staff sales'!C:AI,33,)</f>
        <v>66</v>
      </c>
      <c r="R227" s="81">
        <f>VLOOKUP(A:A,'staff sales'!C:AL,36,)</f>
        <v>0</v>
      </c>
      <c r="S227" s="81">
        <f>VLOOKUP(A:A,'staff sales'!C:AO,39,)</f>
        <v>0</v>
      </c>
      <c r="T227" s="81">
        <f>VLOOKUP(A:A,'staff sales'!C:AR,42,)</f>
        <v>1</v>
      </c>
      <c r="U227" s="81">
        <f>VLOOKUP(A:A,'staff sales'!C:AU,45,)</f>
        <v>0</v>
      </c>
      <c r="V227" s="81">
        <f>VLOOKUP(A:A,'staff sales'!C:AX,48,)</f>
        <v>0</v>
      </c>
      <c r="W227" s="81">
        <f>VLOOKUP(A:A,'staff sales'!C:BA,51,)</f>
        <v>2</v>
      </c>
    </row>
    <row r="228" spans="1:23" x14ac:dyDescent="0.25">
      <c r="A228" s="32">
        <v>1078005558</v>
      </c>
      <c r="B228" s="32" t="s">
        <v>801</v>
      </c>
      <c r="C228" s="26" t="s">
        <v>546</v>
      </c>
      <c r="D228" s="26" t="s">
        <v>546</v>
      </c>
      <c r="E228" s="26" t="s">
        <v>477</v>
      </c>
      <c r="F228" s="26" t="s">
        <v>477</v>
      </c>
      <c r="G228" s="26" t="s">
        <v>1218</v>
      </c>
      <c r="H228" s="26" t="s">
        <v>30</v>
      </c>
      <c r="I228" s="26" t="s">
        <v>797</v>
      </c>
      <c r="J228" s="26">
        <v>73029</v>
      </c>
      <c r="K228" s="80">
        <f>VLOOKUP(A:A,'staff sales'!C:Q,15,)</f>
        <v>111419.16</v>
      </c>
      <c r="L228" s="81">
        <f>VLOOKUP(A:A,'staff sales'!C:T,18,)</f>
        <v>6433.04</v>
      </c>
      <c r="M228" s="81">
        <f>VLOOKUP(A:A,'staff sales'!C:W,21,)</f>
        <v>3130.87</v>
      </c>
      <c r="N228" s="81">
        <f>VLOOKUP(A:A,'staff sales'!C:Z,24,)</f>
        <v>0</v>
      </c>
      <c r="O228" s="81">
        <f>VLOOKUP(A:A,'staff sales'!C:AC,27,)</f>
        <v>6</v>
      </c>
      <c r="P228" s="81">
        <f>VLOOKUP(A:A,'staff sales'!C:AF,30,)</f>
        <v>0</v>
      </c>
      <c r="Q228" s="81">
        <f>VLOOKUP(A:A,'staff sales'!C:AI,33,)</f>
        <v>134</v>
      </c>
      <c r="R228" s="81">
        <f>VLOOKUP(A:A,'staff sales'!C:AL,36,)</f>
        <v>4</v>
      </c>
      <c r="S228" s="81">
        <f>VLOOKUP(A:A,'staff sales'!C:AO,39,)</f>
        <v>0</v>
      </c>
      <c r="T228" s="81">
        <f>VLOOKUP(A:A,'staff sales'!C:AR,42,)</f>
        <v>3</v>
      </c>
      <c r="U228" s="81">
        <f>VLOOKUP(A:A,'staff sales'!C:AU,45,)</f>
        <v>0</v>
      </c>
      <c r="V228" s="81">
        <f>VLOOKUP(A:A,'staff sales'!C:AX,48,)</f>
        <v>0</v>
      </c>
      <c r="W228" s="81">
        <f>VLOOKUP(A:A,'staff sales'!C:BA,51,)</f>
        <v>0</v>
      </c>
    </row>
    <row r="229" spans="1:23" x14ac:dyDescent="0.25">
      <c r="A229" s="5">
        <v>1065546887</v>
      </c>
      <c r="B229" s="5" t="s">
        <v>802</v>
      </c>
      <c r="C229" s="33" t="s">
        <v>546</v>
      </c>
      <c r="D229" s="33" t="s">
        <v>546</v>
      </c>
      <c r="E229" s="33" t="s">
        <v>87</v>
      </c>
      <c r="F229" s="33" t="s">
        <v>88</v>
      </c>
      <c r="G229" s="33" t="s">
        <v>1218</v>
      </c>
      <c r="H229" s="33" t="s">
        <v>30</v>
      </c>
      <c r="I229" s="33" t="s">
        <v>797</v>
      </c>
      <c r="J229" s="33">
        <v>73029</v>
      </c>
      <c r="K229" s="80">
        <f>VLOOKUP(A:A,'staff sales'!C:Q,15,)</f>
        <v>93144.360000000015</v>
      </c>
      <c r="L229" s="81">
        <f>VLOOKUP(A:A,'staff sales'!C:T,18,)</f>
        <v>3225.22</v>
      </c>
      <c r="M229" s="81">
        <f>VLOOKUP(A:A,'staff sales'!C:W,21,)</f>
        <v>10430.000000000002</v>
      </c>
      <c r="N229" s="81">
        <f>VLOOKUP(A:A,'staff sales'!C:Z,24,)</f>
        <v>80</v>
      </c>
      <c r="O229" s="81">
        <f>VLOOKUP(A:A,'staff sales'!C:AC,27,)</f>
        <v>4</v>
      </c>
      <c r="P229" s="81">
        <f>VLOOKUP(A:A,'staff sales'!C:AF,30,)</f>
        <v>2</v>
      </c>
      <c r="Q229" s="81">
        <f>VLOOKUP(A:A,'staff sales'!C:AI,33,)</f>
        <v>91</v>
      </c>
      <c r="R229" s="81">
        <f>VLOOKUP(A:A,'staff sales'!C:AL,36,)</f>
        <v>1</v>
      </c>
      <c r="S229" s="81">
        <f>VLOOKUP(A:A,'staff sales'!C:AO,39,)</f>
        <v>2</v>
      </c>
      <c r="T229" s="81">
        <f>VLOOKUP(A:A,'staff sales'!C:AR,42,)</f>
        <v>3</v>
      </c>
      <c r="U229" s="81">
        <f>VLOOKUP(A:A,'staff sales'!C:AU,45,)</f>
        <v>0</v>
      </c>
      <c r="V229" s="81">
        <f>VLOOKUP(A:A,'staff sales'!C:AX,48,)</f>
        <v>0</v>
      </c>
      <c r="W229" s="81">
        <f>VLOOKUP(A:A,'staff sales'!C:BA,51,)</f>
        <v>2</v>
      </c>
    </row>
    <row r="230" spans="1:23" x14ac:dyDescent="0.25">
      <c r="A230" s="32">
        <v>1051260097</v>
      </c>
      <c r="B230" s="32" t="s">
        <v>815</v>
      </c>
      <c r="C230" s="26" t="s">
        <v>541</v>
      </c>
      <c r="D230" s="26" t="s">
        <v>541</v>
      </c>
      <c r="E230" s="26" t="s">
        <v>90</v>
      </c>
      <c r="F230" s="26" t="s">
        <v>90</v>
      </c>
      <c r="G230" s="26" t="s">
        <v>1218</v>
      </c>
      <c r="H230" s="26" t="s">
        <v>30</v>
      </c>
      <c r="I230" s="26" t="s">
        <v>805</v>
      </c>
      <c r="J230" s="26">
        <v>73036</v>
      </c>
      <c r="K230" s="80">
        <f>VLOOKUP(A:A,'staff sales'!C:Q,15,)</f>
        <v>0</v>
      </c>
      <c r="L230" s="81">
        <f>VLOOKUP(A:A,'staff sales'!C:T,18,)</f>
        <v>0</v>
      </c>
      <c r="M230" s="81">
        <f>VLOOKUP(A:A,'staff sales'!C:W,21,)</f>
        <v>0</v>
      </c>
      <c r="N230" s="81">
        <f>VLOOKUP(A:A,'staff sales'!C:Z,24,)</f>
        <v>0</v>
      </c>
      <c r="O230" s="81">
        <f>VLOOKUP(A:A,'staff sales'!C:AC,27,)</f>
        <v>0</v>
      </c>
      <c r="P230" s="81">
        <f>VLOOKUP(A:A,'staff sales'!C:AF,30,)</f>
        <v>0</v>
      </c>
      <c r="Q230" s="81">
        <f>VLOOKUP(A:A,'staff sales'!C:AI,33,)</f>
        <v>0</v>
      </c>
      <c r="R230" s="81">
        <f>VLOOKUP(A:A,'staff sales'!C:AL,36,)</f>
        <v>0</v>
      </c>
      <c r="S230" s="81">
        <f>VLOOKUP(A:A,'staff sales'!C:AO,39,)</f>
        <v>0</v>
      </c>
      <c r="T230" s="81">
        <f>VLOOKUP(A:A,'staff sales'!C:AR,42,)</f>
        <v>0</v>
      </c>
      <c r="U230" s="81">
        <f>VLOOKUP(A:A,'staff sales'!C:AU,45,)</f>
        <v>0</v>
      </c>
      <c r="V230" s="81">
        <f>VLOOKUP(A:A,'staff sales'!C:AX,48,)</f>
        <v>0</v>
      </c>
      <c r="W230" s="81">
        <f>VLOOKUP(A:A,'staff sales'!C:BA,51,)</f>
        <v>0</v>
      </c>
    </row>
    <row r="231" spans="1:23" x14ac:dyDescent="0.25">
      <c r="A231" s="7">
        <v>1026621068</v>
      </c>
      <c r="B231" s="5" t="s">
        <v>806</v>
      </c>
      <c r="C231" s="33" t="s">
        <v>544</v>
      </c>
      <c r="D231" s="33" t="s">
        <v>544</v>
      </c>
      <c r="E231" s="33" t="s">
        <v>99</v>
      </c>
      <c r="F231" s="33" t="s">
        <v>99</v>
      </c>
      <c r="G231" s="33" t="s">
        <v>1218</v>
      </c>
      <c r="H231" s="33" t="s">
        <v>30</v>
      </c>
      <c r="I231" s="33" t="s">
        <v>805</v>
      </c>
      <c r="J231" s="33">
        <v>73036</v>
      </c>
      <c r="K231" s="80">
        <f>VLOOKUP(A:A,'staff sales'!C:Q,15,)</f>
        <v>0</v>
      </c>
      <c r="L231" s="81">
        <f>VLOOKUP(A:A,'staff sales'!C:T,18,)</f>
        <v>0</v>
      </c>
      <c r="M231" s="81">
        <f>VLOOKUP(A:A,'staff sales'!C:W,21,)</f>
        <v>0</v>
      </c>
      <c r="N231" s="81">
        <f>VLOOKUP(A:A,'staff sales'!C:Z,24,)</f>
        <v>0</v>
      </c>
      <c r="O231" s="81">
        <f>VLOOKUP(A:A,'staff sales'!C:AC,27,)</f>
        <v>0</v>
      </c>
      <c r="P231" s="81">
        <f>VLOOKUP(A:A,'staff sales'!C:AF,30,)</f>
        <v>0</v>
      </c>
      <c r="Q231" s="81">
        <f>VLOOKUP(A:A,'staff sales'!C:AI,33,)</f>
        <v>3</v>
      </c>
      <c r="R231" s="81">
        <f>VLOOKUP(A:A,'staff sales'!C:AL,36,)</f>
        <v>1</v>
      </c>
      <c r="S231" s="81">
        <f>VLOOKUP(A:A,'staff sales'!C:AO,39,)</f>
        <v>1</v>
      </c>
      <c r="T231" s="81">
        <f>VLOOKUP(A:A,'staff sales'!C:AR,42,)</f>
        <v>0</v>
      </c>
      <c r="U231" s="81">
        <f>VLOOKUP(A:A,'staff sales'!C:AU,45,)</f>
        <v>0</v>
      </c>
      <c r="V231" s="81">
        <f>VLOOKUP(A:A,'staff sales'!C:AX,48,)</f>
        <v>0</v>
      </c>
      <c r="W231" s="81">
        <f>VLOOKUP(A:A,'staff sales'!C:BA,51,)</f>
        <v>0</v>
      </c>
    </row>
    <row r="232" spans="1:23" x14ac:dyDescent="0.25">
      <c r="A232" s="32">
        <v>1055264798</v>
      </c>
      <c r="B232" s="32" t="s">
        <v>809</v>
      </c>
      <c r="C232" s="26" t="s">
        <v>546</v>
      </c>
      <c r="D232" s="26" t="s">
        <v>546</v>
      </c>
      <c r="E232" s="26" t="s">
        <v>438</v>
      </c>
      <c r="F232" s="26" t="s">
        <v>438</v>
      </c>
      <c r="G232" s="26" t="s">
        <v>1218</v>
      </c>
      <c r="H232" s="26" t="s">
        <v>30</v>
      </c>
      <c r="I232" s="26" t="s">
        <v>805</v>
      </c>
      <c r="J232" s="26">
        <v>73036</v>
      </c>
      <c r="K232" s="80">
        <f>VLOOKUP(A:A,'staff sales'!C:Q,15,)</f>
        <v>58603.5</v>
      </c>
      <c r="L232" s="81">
        <f>VLOOKUP(A:A,'staff sales'!C:T,18,)</f>
        <v>3216.52</v>
      </c>
      <c r="M232" s="81">
        <f>VLOOKUP(A:A,'staff sales'!C:W,21,)</f>
        <v>11796.9</v>
      </c>
      <c r="N232" s="81">
        <f>VLOOKUP(A:A,'staff sales'!C:Z,24,)</f>
        <v>0</v>
      </c>
      <c r="O232" s="81">
        <f>VLOOKUP(A:A,'staff sales'!C:AC,27,)</f>
        <v>2</v>
      </c>
      <c r="P232" s="81">
        <f>VLOOKUP(A:A,'staff sales'!C:AF,30,)</f>
        <v>1</v>
      </c>
      <c r="Q232" s="81">
        <f>VLOOKUP(A:A,'staff sales'!C:AI,33,)</f>
        <v>24</v>
      </c>
      <c r="R232" s="81">
        <f>VLOOKUP(A:A,'staff sales'!C:AL,36,)</f>
        <v>0</v>
      </c>
      <c r="S232" s="81">
        <f>VLOOKUP(A:A,'staff sales'!C:AO,39,)</f>
        <v>2</v>
      </c>
      <c r="T232" s="81">
        <f>VLOOKUP(A:A,'staff sales'!C:AR,42,)</f>
        <v>3</v>
      </c>
      <c r="U232" s="81">
        <f>VLOOKUP(A:A,'staff sales'!C:AU,45,)</f>
        <v>0</v>
      </c>
      <c r="V232" s="81">
        <f>VLOOKUP(A:A,'staff sales'!C:AX,48,)</f>
        <v>0</v>
      </c>
      <c r="W232" s="81">
        <f>VLOOKUP(A:A,'staff sales'!C:BA,51,)</f>
        <v>2</v>
      </c>
    </row>
    <row r="233" spans="1:23" x14ac:dyDescent="0.25">
      <c r="A233" s="5">
        <v>1080842576</v>
      </c>
      <c r="B233" s="5" t="s">
        <v>790</v>
      </c>
      <c r="C233" s="33" t="s">
        <v>546</v>
      </c>
      <c r="D233" s="33" t="s">
        <v>546</v>
      </c>
      <c r="E233" s="33" t="s">
        <v>95</v>
      </c>
      <c r="F233" s="33" t="s">
        <v>478</v>
      </c>
      <c r="G233" s="33" t="s">
        <v>1218</v>
      </c>
      <c r="H233" s="33" t="s">
        <v>30</v>
      </c>
      <c r="I233" s="33" t="s">
        <v>805</v>
      </c>
      <c r="J233" s="33">
        <v>73036</v>
      </c>
      <c r="K233" s="80">
        <f>VLOOKUP(A:A,'staff sales'!C:Q,15,)</f>
        <v>43068.700000000004</v>
      </c>
      <c r="L233" s="81">
        <f>VLOOKUP(A:A,'staff sales'!C:T,18,)</f>
        <v>1963.48</v>
      </c>
      <c r="M233" s="81">
        <f>VLOOKUP(A:A,'staff sales'!C:W,21,)</f>
        <v>5802.17</v>
      </c>
      <c r="N233" s="81">
        <f>VLOOKUP(A:A,'staff sales'!C:Z,24,)</f>
        <v>0</v>
      </c>
      <c r="O233" s="81">
        <f>VLOOKUP(A:A,'staff sales'!C:AC,27,)</f>
        <v>4</v>
      </c>
      <c r="P233" s="81">
        <f>VLOOKUP(A:A,'staff sales'!C:AF,30,)</f>
        <v>1</v>
      </c>
      <c r="Q233" s="81">
        <f>VLOOKUP(A:A,'staff sales'!C:AI,33,)</f>
        <v>40</v>
      </c>
      <c r="R233" s="81">
        <f>VLOOKUP(A:A,'staff sales'!C:AL,36,)</f>
        <v>1</v>
      </c>
      <c r="S233" s="81">
        <f>VLOOKUP(A:A,'staff sales'!C:AO,39,)</f>
        <v>1</v>
      </c>
      <c r="T233" s="81">
        <f>VLOOKUP(A:A,'staff sales'!C:AR,42,)</f>
        <v>1</v>
      </c>
      <c r="U233" s="81">
        <f>VLOOKUP(A:A,'staff sales'!C:AU,45,)</f>
        <v>1</v>
      </c>
      <c r="V233" s="81">
        <f>VLOOKUP(A:A,'staff sales'!C:AX,48,)</f>
        <v>0</v>
      </c>
      <c r="W233" s="81">
        <f>VLOOKUP(A:A,'staff sales'!C:BA,51,)</f>
        <v>1</v>
      </c>
    </row>
    <row r="234" spans="1:23" x14ac:dyDescent="0.25">
      <c r="A234" s="32">
        <v>1053158133</v>
      </c>
      <c r="B234" s="32" t="s">
        <v>807</v>
      </c>
      <c r="C234" s="26" t="s">
        <v>546</v>
      </c>
      <c r="D234" s="26" t="s">
        <v>546</v>
      </c>
      <c r="E234" s="26" t="s">
        <v>79</v>
      </c>
      <c r="F234" s="26" t="s">
        <v>79</v>
      </c>
      <c r="G234" s="26" t="s">
        <v>1218</v>
      </c>
      <c r="H234" s="26" t="s">
        <v>30</v>
      </c>
      <c r="I234" s="26" t="s">
        <v>805</v>
      </c>
      <c r="J234" s="26">
        <v>73036</v>
      </c>
      <c r="K234" s="80">
        <f>VLOOKUP(A:A,'staff sales'!C:Q,15,)</f>
        <v>28046.97</v>
      </c>
      <c r="L234" s="81">
        <f>VLOOKUP(A:A,'staff sales'!C:T,18,)</f>
        <v>0</v>
      </c>
      <c r="M234" s="81">
        <f>VLOOKUP(A:A,'staff sales'!C:W,21,)</f>
        <v>960</v>
      </c>
      <c r="N234" s="81">
        <f>VLOOKUP(A:A,'staff sales'!C:Z,24,)</f>
        <v>120</v>
      </c>
      <c r="O234" s="81">
        <f>VLOOKUP(A:A,'staff sales'!C:AC,27,)</f>
        <v>1</v>
      </c>
      <c r="P234" s="81">
        <f>VLOOKUP(A:A,'staff sales'!C:AF,30,)</f>
        <v>1</v>
      </c>
      <c r="Q234" s="81">
        <f>VLOOKUP(A:A,'staff sales'!C:AI,33,)</f>
        <v>25</v>
      </c>
      <c r="R234" s="81">
        <f>VLOOKUP(A:A,'staff sales'!C:AL,36,)</f>
        <v>0</v>
      </c>
      <c r="S234" s="81">
        <f>VLOOKUP(A:A,'staff sales'!C:AO,39,)</f>
        <v>1</v>
      </c>
      <c r="T234" s="81">
        <f>VLOOKUP(A:A,'staff sales'!C:AR,42,)</f>
        <v>0</v>
      </c>
      <c r="U234" s="81">
        <f>VLOOKUP(A:A,'staff sales'!C:AU,45,)</f>
        <v>0</v>
      </c>
      <c r="V234" s="81">
        <f>VLOOKUP(A:A,'staff sales'!C:AX,48,)</f>
        <v>0</v>
      </c>
      <c r="W234" s="81">
        <f>VLOOKUP(A:A,'staff sales'!C:BA,51,)</f>
        <v>2</v>
      </c>
    </row>
    <row r="235" spans="1:23" x14ac:dyDescent="0.25">
      <c r="A235" s="5">
        <v>1049826744</v>
      </c>
      <c r="B235" s="5" t="s">
        <v>788</v>
      </c>
      <c r="C235" s="33" t="s">
        <v>546</v>
      </c>
      <c r="D235" s="33" t="s">
        <v>546</v>
      </c>
      <c r="E235" s="33" t="s">
        <v>77</v>
      </c>
      <c r="F235" s="33" t="s">
        <v>77</v>
      </c>
      <c r="G235" s="33" t="s">
        <v>1218</v>
      </c>
      <c r="H235" s="33" t="s">
        <v>30</v>
      </c>
      <c r="I235" s="33" t="s">
        <v>805</v>
      </c>
      <c r="J235" s="33">
        <v>73036</v>
      </c>
      <c r="K235" s="80">
        <f>VLOOKUP(A:A,'staff sales'!C:Q,15,)</f>
        <v>149498.33999999997</v>
      </c>
      <c r="L235" s="81">
        <f>VLOOKUP(A:A,'staff sales'!C:T,18,)</f>
        <v>6816.52</v>
      </c>
      <c r="M235" s="81">
        <f>VLOOKUP(A:A,'staff sales'!C:W,21,)</f>
        <v>27871.300000000003</v>
      </c>
      <c r="N235" s="81">
        <f>VLOOKUP(A:A,'staff sales'!C:Z,24,)</f>
        <v>0</v>
      </c>
      <c r="O235" s="81">
        <f>VLOOKUP(A:A,'staff sales'!C:AC,27,)</f>
        <v>20</v>
      </c>
      <c r="P235" s="81">
        <f>VLOOKUP(A:A,'staff sales'!C:AF,30,)</f>
        <v>3</v>
      </c>
      <c r="Q235" s="81">
        <f>VLOOKUP(A:A,'staff sales'!C:AI,33,)</f>
        <v>45</v>
      </c>
      <c r="R235" s="81">
        <f>VLOOKUP(A:A,'staff sales'!C:AL,36,)</f>
        <v>0</v>
      </c>
      <c r="S235" s="81">
        <f>VLOOKUP(A:A,'staff sales'!C:AO,39,)</f>
        <v>0</v>
      </c>
      <c r="T235" s="81">
        <f>VLOOKUP(A:A,'staff sales'!C:AR,42,)</f>
        <v>10</v>
      </c>
      <c r="U235" s="81">
        <f>VLOOKUP(A:A,'staff sales'!C:AU,45,)</f>
        <v>2</v>
      </c>
      <c r="V235" s="81">
        <f>VLOOKUP(A:A,'staff sales'!C:AX,48,)</f>
        <v>0</v>
      </c>
      <c r="W235" s="81">
        <f>VLOOKUP(A:A,'staff sales'!C:BA,51,)</f>
        <v>13</v>
      </c>
    </row>
    <row r="236" spans="1:23" x14ac:dyDescent="0.25">
      <c r="A236" s="5">
        <v>1127449880</v>
      </c>
      <c r="B236" s="5" t="s">
        <v>821</v>
      </c>
      <c r="C236" s="33" t="s">
        <v>546</v>
      </c>
      <c r="D236" s="33" t="s">
        <v>546</v>
      </c>
      <c r="E236" s="33" t="s">
        <v>104</v>
      </c>
      <c r="F236" s="33" t="s">
        <v>105</v>
      </c>
      <c r="G236" s="33" t="s">
        <v>1218</v>
      </c>
      <c r="H236" s="33" t="s">
        <v>30</v>
      </c>
      <c r="I236" s="33" t="s">
        <v>805</v>
      </c>
      <c r="J236" s="33">
        <v>73036</v>
      </c>
      <c r="K236" s="80">
        <f>VLOOKUP(A:A,'staff sales'!C:Q,15,)</f>
        <v>104975.7</v>
      </c>
      <c r="L236" s="81">
        <f>VLOOKUP(A:A,'staff sales'!C:T,18,)</f>
        <v>2346.09</v>
      </c>
      <c r="M236" s="81">
        <f>VLOOKUP(A:A,'staff sales'!C:W,21,)</f>
        <v>15824.769999999997</v>
      </c>
      <c r="N236" s="81">
        <f>VLOOKUP(A:A,'staff sales'!C:Z,24,)</f>
        <v>0</v>
      </c>
      <c r="O236" s="81">
        <f>VLOOKUP(A:A,'staff sales'!C:AC,27,)</f>
        <v>7</v>
      </c>
      <c r="P236" s="81">
        <f>VLOOKUP(A:A,'staff sales'!C:AF,30,)</f>
        <v>2</v>
      </c>
      <c r="Q236" s="81">
        <f>VLOOKUP(A:A,'staff sales'!C:AI,33,)</f>
        <v>69</v>
      </c>
      <c r="R236" s="81">
        <f>VLOOKUP(A:A,'staff sales'!C:AL,36,)</f>
        <v>0</v>
      </c>
      <c r="S236" s="81">
        <f>VLOOKUP(A:A,'staff sales'!C:AO,39,)</f>
        <v>0</v>
      </c>
      <c r="T236" s="81">
        <f>VLOOKUP(A:A,'staff sales'!C:AR,42,)</f>
        <v>1</v>
      </c>
      <c r="U236" s="81">
        <f>VLOOKUP(A:A,'staff sales'!C:AU,45,)</f>
        <v>0</v>
      </c>
      <c r="V236" s="81">
        <f>VLOOKUP(A:A,'staff sales'!C:AX,48,)</f>
        <v>0</v>
      </c>
      <c r="W236" s="81">
        <f>VLOOKUP(A:A,'staff sales'!C:BA,51,)</f>
        <v>12</v>
      </c>
    </row>
    <row r="237" spans="1:23" x14ac:dyDescent="0.25">
      <c r="A237" s="5">
        <v>1074911817</v>
      </c>
      <c r="B237" s="5" t="s">
        <v>813</v>
      </c>
      <c r="C237" s="33" t="s">
        <v>546</v>
      </c>
      <c r="D237" s="33" t="s">
        <v>546</v>
      </c>
      <c r="E237" s="33" t="s">
        <v>435</v>
      </c>
      <c r="F237" s="33" t="s">
        <v>435</v>
      </c>
      <c r="G237" s="33" t="s">
        <v>1218</v>
      </c>
      <c r="H237" s="33" t="s">
        <v>30</v>
      </c>
      <c r="I237" s="33" t="s">
        <v>805</v>
      </c>
      <c r="J237" s="33">
        <v>73036</v>
      </c>
      <c r="K237" s="80">
        <f>VLOOKUP(A:A,'staff sales'!C:Q,15,)</f>
        <v>60889.58</v>
      </c>
      <c r="L237" s="81">
        <f>VLOOKUP(A:A,'staff sales'!C:T,18,)</f>
        <v>381.74</v>
      </c>
      <c r="M237" s="81">
        <f>VLOOKUP(A:A,'staff sales'!C:W,21,)</f>
        <v>12456.520000000002</v>
      </c>
      <c r="N237" s="81">
        <f>VLOOKUP(A:A,'staff sales'!C:Z,24,)</f>
        <v>0</v>
      </c>
      <c r="O237" s="81">
        <f>VLOOKUP(A:A,'staff sales'!C:AC,27,)</f>
        <v>3</v>
      </c>
      <c r="P237" s="81">
        <f>VLOOKUP(A:A,'staff sales'!C:AF,30,)</f>
        <v>0</v>
      </c>
      <c r="Q237" s="81">
        <f>VLOOKUP(A:A,'staff sales'!C:AI,33,)</f>
        <v>50</v>
      </c>
      <c r="R237" s="81">
        <f>VLOOKUP(A:A,'staff sales'!C:AL,36,)</f>
        <v>0</v>
      </c>
      <c r="S237" s="81">
        <f>VLOOKUP(A:A,'staff sales'!C:AO,39,)</f>
        <v>1</v>
      </c>
      <c r="T237" s="81">
        <f>VLOOKUP(A:A,'staff sales'!C:AR,42,)</f>
        <v>4</v>
      </c>
      <c r="U237" s="81">
        <f>VLOOKUP(A:A,'staff sales'!C:AU,45,)</f>
        <v>1</v>
      </c>
      <c r="V237" s="81">
        <f>VLOOKUP(A:A,'staff sales'!C:AX,48,)</f>
        <v>0</v>
      </c>
      <c r="W237" s="81">
        <f>VLOOKUP(A:A,'staff sales'!C:BA,51,)</f>
        <v>0</v>
      </c>
    </row>
    <row r="238" spans="1:23" x14ac:dyDescent="0.25">
      <c r="A238" s="32">
        <v>1034775245</v>
      </c>
      <c r="B238" s="32" t="s">
        <v>812</v>
      </c>
      <c r="C238" s="26" t="s">
        <v>546</v>
      </c>
      <c r="D238" s="26" t="s">
        <v>546</v>
      </c>
      <c r="E238" s="26" t="s">
        <v>102</v>
      </c>
      <c r="F238" s="26" t="s">
        <v>103</v>
      </c>
      <c r="G238" s="26" t="s">
        <v>1218</v>
      </c>
      <c r="H238" s="26" t="s">
        <v>30</v>
      </c>
      <c r="I238" s="26" t="s">
        <v>805</v>
      </c>
      <c r="J238" s="26">
        <v>73036</v>
      </c>
      <c r="K238" s="80">
        <f>VLOOKUP(A:A,'staff sales'!C:Q,15,)</f>
        <v>32225.22</v>
      </c>
      <c r="L238" s="81">
        <f>VLOOKUP(A:A,'staff sales'!C:T,18,)</f>
        <v>4050.43</v>
      </c>
      <c r="M238" s="81">
        <f>VLOOKUP(A:A,'staff sales'!C:W,21,)</f>
        <v>5876.96</v>
      </c>
      <c r="N238" s="81">
        <f>VLOOKUP(A:A,'staff sales'!C:Z,24,)</f>
        <v>0</v>
      </c>
      <c r="O238" s="81">
        <f>VLOOKUP(A:A,'staff sales'!C:AC,27,)</f>
        <v>2</v>
      </c>
      <c r="P238" s="81">
        <f>VLOOKUP(A:A,'staff sales'!C:AF,30,)</f>
        <v>1</v>
      </c>
      <c r="Q238" s="81">
        <f>VLOOKUP(A:A,'staff sales'!C:AI,33,)</f>
        <v>22</v>
      </c>
      <c r="R238" s="81">
        <f>VLOOKUP(A:A,'staff sales'!C:AL,36,)</f>
        <v>0</v>
      </c>
      <c r="S238" s="81">
        <f>VLOOKUP(A:A,'staff sales'!C:AO,39,)</f>
        <v>0</v>
      </c>
      <c r="T238" s="81">
        <f>VLOOKUP(A:A,'staff sales'!C:AR,42,)</f>
        <v>2</v>
      </c>
      <c r="U238" s="81">
        <f>VLOOKUP(A:A,'staff sales'!C:AU,45,)</f>
        <v>0</v>
      </c>
      <c r="V238" s="81">
        <f>VLOOKUP(A:A,'staff sales'!C:AX,48,)</f>
        <v>0</v>
      </c>
      <c r="W238" s="81">
        <f>VLOOKUP(A:A,'staff sales'!C:BA,51,)</f>
        <v>4</v>
      </c>
    </row>
    <row r="239" spans="1:23" x14ac:dyDescent="0.25">
      <c r="A239" s="32">
        <v>1050573029</v>
      </c>
      <c r="B239" s="32" t="s">
        <v>818</v>
      </c>
      <c r="C239" s="26" t="s">
        <v>546</v>
      </c>
      <c r="D239" s="26" t="s">
        <v>546</v>
      </c>
      <c r="E239" s="26" t="s">
        <v>100</v>
      </c>
      <c r="F239" s="26" t="s">
        <v>100</v>
      </c>
      <c r="G239" s="26" t="s">
        <v>1218</v>
      </c>
      <c r="H239" s="26" t="s">
        <v>30</v>
      </c>
      <c r="I239" s="26" t="s">
        <v>805</v>
      </c>
      <c r="J239" s="26">
        <v>73036</v>
      </c>
      <c r="K239" s="80">
        <f>VLOOKUP(A:A,'staff sales'!C:Q,15,)</f>
        <v>9225.2199999999993</v>
      </c>
      <c r="L239" s="81">
        <f>VLOOKUP(A:A,'staff sales'!C:T,18,)</f>
        <v>0</v>
      </c>
      <c r="M239" s="81">
        <f>VLOOKUP(A:A,'staff sales'!C:W,21,)</f>
        <v>0</v>
      </c>
      <c r="N239" s="81">
        <f>VLOOKUP(A:A,'staff sales'!C:Z,24,)</f>
        <v>0</v>
      </c>
      <c r="O239" s="81">
        <f>VLOOKUP(A:A,'staff sales'!C:AC,27,)</f>
        <v>1</v>
      </c>
      <c r="P239" s="81">
        <f>VLOOKUP(A:A,'staff sales'!C:AF,30,)</f>
        <v>0</v>
      </c>
      <c r="Q239" s="81">
        <f>VLOOKUP(A:A,'staff sales'!C:AI,33,)</f>
        <v>9</v>
      </c>
      <c r="R239" s="81">
        <f>VLOOKUP(A:A,'staff sales'!C:AL,36,)</f>
        <v>0</v>
      </c>
      <c r="S239" s="81">
        <f>VLOOKUP(A:A,'staff sales'!C:AO,39,)</f>
        <v>0</v>
      </c>
      <c r="T239" s="81">
        <f>VLOOKUP(A:A,'staff sales'!C:AR,42,)</f>
        <v>0</v>
      </c>
      <c r="U239" s="81">
        <f>VLOOKUP(A:A,'staff sales'!C:AU,45,)</f>
        <v>0</v>
      </c>
      <c r="V239" s="81">
        <f>VLOOKUP(A:A,'staff sales'!C:AX,48,)</f>
        <v>0</v>
      </c>
      <c r="W239" s="81">
        <f>VLOOKUP(A:A,'staff sales'!C:BA,51,)</f>
        <v>0</v>
      </c>
    </row>
    <row r="240" spans="1:23" x14ac:dyDescent="0.25">
      <c r="A240" s="5">
        <v>1123654079</v>
      </c>
      <c r="B240" s="5" t="s">
        <v>819</v>
      </c>
      <c r="C240" s="33" t="s">
        <v>546</v>
      </c>
      <c r="D240" s="33" t="s">
        <v>546</v>
      </c>
      <c r="E240" s="33" t="s">
        <v>101</v>
      </c>
      <c r="F240" s="33" t="s">
        <v>101</v>
      </c>
      <c r="G240" s="33" t="s">
        <v>1218</v>
      </c>
      <c r="H240" s="33" t="s">
        <v>30</v>
      </c>
      <c r="I240" s="33" t="s">
        <v>805</v>
      </c>
      <c r="J240" s="33">
        <v>73036</v>
      </c>
      <c r="K240" s="80">
        <f>VLOOKUP(A:A,'staff sales'!C:Q,15,)</f>
        <v>114565.24</v>
      </c>
      <c r="L240" s="81">
        <f>VLOOKUP(A:A,'staff sales'!C:T,18,)</f>
        <v>0</v>
      </c>
      <c r="M240" s="81">
        <f>VLOOKUP(A:A,'staff sales'!C:W,21,)</f>
        <v>10401.299999999999</v>
      </c>
      <c r="N240" s="81">
        <f>VLOOKUP(A:A,'staff sales'!C:Z,24,)</f>
        <v>0</v>
      </c>
      <c r="O240" s="81">
        <f>VLOOKUP(A:A,'staff sales'!C:AC,27,)</f>
        <v>10</v>
      </c>
      <c r="P240" s="81">
        <f>VLOOKUP(A:A,'staff sales'!C:AF,30,)</f>
        <v>1</v>
      </c>
      <c r="Q240" s="81">
        <f>VLOOKUP(A:A,'staff sales'!C:AI,33,)</f>
        <v>41</v>
      </c>
      <c r="R240" s="81">
        <f>VLOOKUP(A:A,'staff sales'!C:AL,36,)</f>
        <v>0</v>
      </c>
      <c r="S240" s="81">
        <f>VLOOKUP(A:A,'staff sales'!C:AO,39,)</f>
        <v>0</v>
      </c>
      <c r="T240" s="81">
        <f>VLOOKUP(A:A,'staff sales'!C:AR,42,)</f>
        <v>9</v>
      </c>
      <c r="U240" s="81">
        <f>VLOOKUP(A:A,'staff sales'!C:AU,45,)</f>
        <v>0</v>
      </c>
      <c r="V240" s="81">
        <f>VLOOKUP(A:A,'staff sales'!C:AX,48,)</f>
        <v>0</v>
      </c>
      <c r="W240" s="81">
        <f>VLOOKUP(A:A,'staff sales'!C:BA,51,)</f>
        <v>2</v>
      </c>
    </row>
    <row r="241" spans="1:23" x14ac:dyDescent="0.25">
      <c r="A241" s="32">
        <v>1027642576</v>
      </c>
      <c r="B241" s="32" t="s">
        <v>816</v>
      </c>
      <c r="C241" s="26" t="s">
        <v>544</v>
      </c>
      <c r="D241" s="26" t="s">
        <v>544</v>
      </c>
      <c r="E241" s="26" t="s">
        <v>439</v>
      </c>
      <c r="F241" s="26" t="s">
        <v>439</v>
      </c>
      <c r="G241" s="26" t="s">
        <v>1218</v>
      </c>
      <c r="H241" s="26" t="s">
        <v>30</v>
      </c>
      <c r="I241" s="26" t="s">
        <v>805</v>
      </c>
      <c r="J241" s="26">
        <v>73036</v>
      </c>
      <c r="K241" s="80">
        <f>VLOOKUP(A:A,'staff sales'!C:Q,15,)</f>
        <v>0</v>
      </c>
      <c r="L241" s="81">
        <f>VLOOKUP(A:A,'staff sales'!C:T,18,)</f>
        <v>0</v>
      </c>
      <c r="M241" s="81">
        <f>VLOOKUP(A:A,'staff sales'!C:W,21,)</f>
        <v>0</v>
      </c>
      <c r="N241" s="81">
        <f>VLOOKUP(A:A,'staff sales'!C:Z,24,)</f>
        <v>0</v>
      </c>
      <c r="O241" s="81">
        <f>VLOOKUP(A:A,'staff sales'!C:AC,27,)</f>
        <v>0</v>
      </c>
      <c r="P241" s="81">
        <f>VLOOKUP(A:A,'staff sales'!C:AF,30,)</f>
        <v>0</v>
      </c>
      <c r="Q241" s="81">
        <f>VLOOKUP(A:A,'staff sales'!C:AI,33,)</f>
        <v>4</v>
      </c>
      <c r="R241" s="81">
        <f>VLOOKUP(A:A,'staff sales'!C:AL,36,)</f>
        <v>0</v>
      </c>
      <c r="S241" s="81">
        <f>VLOOKUP(A:A,'staff sales'!C:AO,39,)</f>
        <v>0</v>
      </c>
      <c r="T241" s="81">
        <f>VLOOKUP(A:A,'staff sales'!C:AR,42,)</f>
        <v>0</v>
      </c>
      <c r="U241" s="81">
        <f>VLOOKUP(A:A,'staff sales'!C:AU,45,)</f>
        <v>0</v>
      </c>
      <c r="V241" s="81">
        <f>VLOOKUP(A:A,'staff sales'!C:AX,48,)</f>
        <v>0</v>
      </c>
      <c r="W241" s="81">
        <f>VLOOKUP(A:A,'staff sales'!C:BA,51,)</f>
        <v>0</v>
      </c>
    </row>
    <row r="242" spans="1:23" x14ac:dyDescent="0.25">
      <c r="A242" s="5">
        <v>1038509343</v>
      </c>
      <c r="B242" s="5" t="s">
        <v>808</v>
      </c>
      <c r="C242" s="33" t="s">
        <v>546</v>
      </c>
      <c r="D242" s="33" t="s">
        <v>546</v>
      </c>
      <c r="E242" s="33" t="s">
        <v>436</v>
      </c>
      <c r="F242" s="33" t="s">
        <v>437</v>
      </c>
      <c r="G242" s="33" t="s">
        <v>1218</v>
      </c>
      <c r="H242" s="33" t="s">
        <v>30</v>
      </c>
      <c r="I242" s="33" t="s">
        <v>805</v>
      </c>
      <c r="J242" s="33">
        <v>73036</v>
      </c>
      <c r="K242" s="80">
        <f>VLOOKUP(A:A,'staff sales'!C:Q,15,)</f>
        <v>97726.080000000002</v>
      </c>
      <c r="L242" s="81">
        <f>VLOOKUP(A:A,'staff sales'!C:T,18,)</f>
        <v>3477.39</v>
      </c>
      <c r="M242" s="81">
        <f>VLOOKUP(A:A,'staff sales'!C:W,21,)</f>
        <v>18120.78</v>
      </c>
      <c r="N242" s="81">
        <f>VLOOKUP(A:A,'staff sales'!C:Z,24,)</f>
        <v>0</v>
      </c>
      <c r="O242" s="81">
        <f>VLOOKUP(A:A,'staff sales'!C:AC,27,)</f>
        <v>0</v>
      </c>
      <c r="P242" s="81">
        <f>VLOOKUP(A:A,'staff sales'!C:AF,30,)</f>
        <v>1</v>
      </c>
      <c r="Q242" s="81">
        <f>VLOOKUP(A:A,'staff sales'!C:AI,33,)</f>
        <v>20</v>
      </c>
      <c r="R242" s="81">
        <f>VLOOKUP(A:A,'staff sales'!C:AL,36,)</f>
        <v>0</v>
      </c>
      <c r="S242" s="81">
        <f>VLOOKUP(A:A,'staff sales'!C:AO,39,)</f>
        <v>0</v>
      </c>
      <c r="T242" s="81">
        <f>VLOOKUP(A:A,'staff sales'!C:AR,42,)</f>
        <v>4</v>
      </c>
      <c r="U242" s="81">
        <f>VLOOKUP(A:A,'staff sales'!C:AU,45,)</f>
        <v>1</v>
      </c>
      <c r="V242" s="81">
        <f>VLOOKUP(A:A,'staff sales'!C:AX,48,)</f>
        <v>0</v>
      </c>
      <c r="W242" s="81">
        <f>VLOOKUP(A:A,'staff sales'!C:BA,51,)</f>
        <v>6</v>
      </c>
    </row>
    <row r="243" spans="1:23" x14ac:dyDescent="0.25">
      <c r="A243" s="32">
        <v>1045582036</v>
      </c>
      <c r="B243" s="32" t="s">
        <v>823</v>
      </c>
      <c r="C243" s="26" t="s">
        <v>546</v>
      </c>
      <c r="D243" s="26" t="s">
        <v>546</v>
      </c>
      <c r="E243" s="26" t="s">
        <v>109</v>
      </c>
      <c r="F243" s="26" t="s">
        <v>110</v>
      </c>
      <c r="G243" s="26" t="s">
        <v>1218</v>
      </c>
      <c r="H243" s="26" t="s">
        <v>30</v>
      </c>
      <c r="I243" s="26" t="s">
        <v>805</v>
      </c>
      <c r="J243" s="26">
        <v>73036</v>
      </c>
      <c r="K243" s="80">
        <f>VLOOKUP(A:A,'staff sales'!C:Q,15,)</f>
        <v>106468.72000000002</v>
      </c>
      <c r="L243" s="81">
        <f>VLOOKUP(A:A,'staff sales'!C:T,18,)</f>
        <v>2572.1800000000003</v>
      </c>
      <c r="M243" s="81">
        <f>VLOOKUP(A:A,'staff sales'!C:W,21,)</f>
        <v>18679.55</v>
      </c>
      <c r="N243" s="81">
        <f>VLOOKUP(A:A,'staff sales'!C:Z,24,)</f>
        <v>0</v>
      </c>
      <c r="O243" s="81">
        <f>VLOOKUP(A:A,'staff sales'!C:AC,27,)</f>
        <v>6</v>
      </c>
      <c r="P243" s="81">
        <f>VLOOKUP(A:A,'staff sales'!C:AF,30,)</f>
        <v>1</v>
      </c>
      <c r="Q243" s="81">
        <f>VLOOKUP(A:A,'staff sales'!C:AI,33,)</f>
        <v>41</v>
      </c>
      <c r="R243" s="81">
        <f>VLOOKUP(A:A,'staff sales'!C:AL,36,)</f>
        <v>0</v>
      </c>
      <c r="S243" s="81">
        <f>VLOOKUP(A:A,'staff sales'!C:AO,39,)</f>
        <v>0</v>
      </c>
      <c r="T243" s="81">
        <f>VLOOKUP(A:A,'staff sales'!C:AR,42,)</f>
        <v>3</v>
      </c>
      <c r="U243" s="81">
        <f>VLOOKUP(A:A,'staff sales'!C:AU,45,)</f>
        <v>34</v>
      </c>
      <c r="V243" s="81">
        <f>VLOOKUP(A:A,'staff sales'!C:AX,48,)</f>
        <v>0</v>
      </c>
      <c r="W243" s="81">
        <f>VLOOKUP(A:A,'staff sales'!C:BA,51,)</f>
        <v>5</v>
      </c>
    </row>
    <row r="244" spans="1:23" x14ac:dyDescent="0.25">
      <c r="A244" s="5">
        <v>1121763286</v>
      </c>
      <c r="B244" s="5" t="s">
        <v>770</v>
      </c>
      <c r="C244" s="33" t="s">
        <v>546</v>
      </c>
      <c r="D244" s="33" t="s">
        <v>546</v>
      </c>
      <c r="E244" s="33" t="s">
        <v>68</v>
      </c>
      <c r="F244" s="33" t="s">
        <v>68</v>
      </c>
      <c r="G244" s="33" t="s">
        <v>1218</v>
      </c>
      <c r="H244" s="33" t="s">
        <v>30</v>
      </c>
      <c r="I244" s="33" t="s">
        <v>805</v>
      </c>
      <c r="J244" s="33">
        <v>73036</v>
      </c>
      <c r="K244" s="80">
        <f>VLOOKUP(A:A,'staff sales'!C:Q,15,)</f>
        <v>99787.830000000016</v>
      </c>
      <c r="L244" s="81">
        <f>VLOOKUP(A:A,'staff sales'!C:T,18,)</f>
        <v>3738.26</v>
      </c>
      <c r="M244" s="81">
        <f>VLOOKUP(A:A,'staff sales'!C:W,21,)</f>
        <v>5549.14</v>
      </c>
      <c r="N244" s="81">
        <f>VLOOKUP(A:A,'staff sales'!C:Z,24,)</f>
        <v>0</v>
      </c>
      <c r="O244" s="81">
        <f>VLOOKUP(A:A,'staff sales'!C:AC,27,)</f>
        <v>5</v>
      </c>
      <c r="P244" s="81">
        <f>VLOOKUP(A:A,'staff sales'!C:AF,30,)</f>
        <v>0</v>
      </c>
      <c r="Q244" s="81">
        <f>VLOOKUP(A:A,'staff sales'!C:AI,33,)</f>
        <v>48</v>
      </c>
      <c r="R244" s="81">
        <f>VLOOKUP(A:A,'staff sales'!C:AL,36,)</f>
        <v>1</v>
      </c>
      <c r="S244" s="81">
        <f>VLOOKUP(A:A,'staff sales'!C:AO,39,)</f>
        <v>4</v>
      </c>
      <c r="T244" s="81">
        <f>VLOOKUP(A:A,'staff sales'!C:AR,42,)</f>
        <v>1</v>
      </c>
      <c r="U244" s="81">
        <f>VLOOKUP(A:A,'staff sales'!C:AU,45,)</f>
        <v>0</v>
      </c>
      <c r="V244" s="81">
        <f>VLOOKUP(A:A,'staff sales'!C:AX,48,)</f>
        <v>0</v>
      </c>
      <c r="W244" s="81">
        <f>VLOOKUP(A:A,'staff sales'!C:BA,51,)</f>
        <v>2</v>
      </c>
    </row>
    <row r="245" spans="1:23" x14ac:dyDescent="0.25">
      <c r="A245" s="6">
        <v>1072755885</v>
      </c>
      <c r="B245" s="32" t="s">
        <v>817</v>
      </c>
      <c r="C245" s="26" t="s">
        <v>546</v>
      </c>
      <c r="D245" s="26" t="s">
        <v>546</v>
      </c>
      <c r="E245" s="26" t="s">
        <v>94</v>
      </c>
      <c r="F245" s="26" t="s">
        <v>94</v>
      </c>
      <c r="G245" s="26" t="s">
        <v>1218</v>
      </c>
      <c r="H245" s="26" t="s">
        <v>30</v>
      </c>
      <c r="I245" s="26" t="s">
        <v>805</v>
      </c>
      <c r="J245" s="26">
        <v>73036</v>
      </c>
      <c r="K245" s="80">
        <f>VLOOKUP(A:A,'staff sales'!C:Q,15,)</f>
        <v>139401.74999999997</v>
      </c>
      <c r="L245" s="81">
        <f>VLOOKUP(A:A,'staff sales'!C:T,18,)</f>
        <v>4021.74</v>
      </c>
      <c r="M245" s="81">
        <f>VLOOKUP(A:A,'staff sales'!C:W,21,)</f>
        <v>21482.559999999998</v>
      </c>
      <c r="N245" s="81">
        <f>VLOOKUP(A:A,'staff sales'!C:Z,24,)</f>
        <v>0</v>
      </c>
      <c r="O245" s="81">
        <f>VLOOKUP(A:A,'staff sales'!C:AC,27,)</f>
        <v>5</v>
      </c>
      <c r="P245" s="81">
        <f>VLOOKUP(A:A,'staff sales'!C:AF,30,)</f>
        <v>1</v>
      </c>
      <c r="Q245" s="81">
        <f>VLOOKUP(A:A,'staff sales'!C:AI,33,)</f>
        <v>54</v>
      </c>
      <c r="R245" s="81">
        <f>VLOOKUP(A:A,'staff sales'!C:AL,36,)</f>
        <v>0</v>
      </c>
      <c r="S245" s="81">
        <f>VLOOKUP(A:A,'staff sales'!C:AO,39,)</f>
        <v>6</v>
      </c>
      <c r="T245" s="81">
        <f>VLOOKUP(A:A,'staff sales'!C:AR,42,)</f>
        <v>2</v>
      </c>
      <c r="U245" s="81">
        <f>VLOOKUP(A:A,'staff sales'!C:AU,45,)</f>
        <v>0</v>
      </c>
      <c r="V245" s="81">
        <f>VLOOKUP(A:A,'staff sales'!C:AX,48,)</f>
        <v>0</v>
      </c>
      <c r="W245" s="81">
        <f>VLOOKUP(A:A,'staff sales'!C:BA,51,)</f>
        <v>14</v>
      </c>
    </row>
    <row r="246" spans="1:23" x14ac:dyDescent="0.25">
      <c r="A246" s="5">
        <v>1129153399</v>
      </c>
      <c r="B246" s="5" t="s">
        <v>810</v>
      </c>
      <c r="C246" s="33" t="s">
        <v>546</v>
      </c>
      <c r="D246" s="33" t="s">
        <v>546</v>
      </c>
      <c r="E246" s="33" t="s">
        <v>35</v>
      </c>
      <c r="F246" s="33" t="s">
        <v>36</v>
      </c>
      <c r="G246" s="33" t="s">
        <v>1218</v>
      </c>
      <c r="H246" s="33" t="s">
        <v>30</v>
      </c>
      <c r="I246" s="33" t="s">
        <v>805</v>
      </c>
      <c r="J246" s="33">
        <v>73036</v>
      </c>
      <c r="K246" s="80">
        <f>VLOOKUP(A:A,'staff sales'!C:Q,15,)</f>
        <v>149694.76999999999</v>
      </c>
      <c r="L246" s="81">
        <f>VLOOKUP(A:A,'staff sales'!C:T,18,)</f>
        <v>13369.560000000001</v>
      </c>
      <c r="M246" s="81">
        <f>VLOOKUP(A:A,'staff sales'!C:W,21,)</f>
        <v>19063.02</v>
      </c>
      <c r="N246" s="81">
        <f>VLOOKUP(A:A,'staff sales'!C:Z,24,)</f>
        <v>0</v>
      </c>
      <c r="O246" s="81">
        <f>VLOOKUP(A:A,'staff sales'!C:AC,27,)</f>
        <v>5</v>
      </c>
      <c r="P246" s="81">
        <f>VLOOKUP(A:A,'staff sales'!C:AF,30,)</f>
        <v>1</v>
      </c>
      <c r="Q246" s="81">
        <f>VLOOKUP(A:A,'staff sales'!C:AI,33,)</f>
        <v>49</v>
      </c>
      <c r="R246" s="81">
        <f>VLOOKUP(A:A,'staff sales'!C:AL,36,)</f>
        <v>1</v>
      </c>
      <c r="S246" s="81">
        <f>VLOOKUP(A:A,'staff sales'!C:AO,39,)</f>
        <v>2</v>
      </c>
      <c r="T246" s="81">
        <f>VLOOKUP(A:A,'staff sales'!C:AR,42,)</f>
        <v>5</v>
      </c>
      <c r="U246" s="81">
        <f>VLOOKUP(A:A,'staff sales'!C:AU,45,)</f>
        <v>0</v>
      </c>
      <c r="V246" s="81">
        <f>VLOOKUP(A:A,'staff sales'!C:AX,48,)</f>
        <v>0</v>
      </c>
      <c r="W246" s="81">
        <f>VLOOKUP(A:A,'staff sales'!C:BA,51,)</f>
        <v>5</v>
      </c>
    </row>
    <row r="247" spans="1:23" x14ac:dyDescent="0.25">
      <c r="A247" s="5">
        <v>1126201233</v>
      </c>
      <c r="B247" s="5" t="s">
        <v>811</v>
      </c>
      <c r="C247" s="33" t="s">
        <v>546</v>
      </c>
      <c r="D247" s="33" t="s">
        <v>546</v>
      </c>
      <c r="E247" s="33" t="s">
        <v>91</v>
      </c>
      <c r="F247" s="33" t="s">
        <v>91</v>
      </c>
      <c r="G247" s="33" t="s">
        <v>1218</v>
      </c>
      <c r="H247" s="33" t="s">
        <v>30</v>
      </c>
      <c r="I247" s="33" t="s">
        <v>805</v>
      </c>
      <c r="J247" s="33">
        <v>73036</v>
      </c>
      <c r="K247" s="80">
        <f>VLOOKUP(A:A,'staff sales'!C:Q,15,)</f>
        <v>76742.829999999987</v>
      </c>
      <c r="L247" s="81">
        <f>VLOOKUP(A:A,'staff sales'!C:T,18,)</f>
        <v>0</v>
      </c>
      <c r="M247" s="81">
        <f>VLOOKUP(A:A,'staff sales'!C:W,21,)</f>
        <v>6243.28</v>
      </c>
      <c r="N247" s="81">
        <f>VLOOKUP(A:A,'staff sales'!C:Z,24,)</f>
        <v>0</v>
      </c>
      <c r="O247" s="81">
        <f>VLOOKUP(A:A,'staff sales'!C:AC,27,)</f>
        <v>1</v>
      </c>
      <c r="P247" s="81">
        <f>VLOOKUP(A:A,'staff sales'!C:AF,30,)</f>
        <v>0</v>
      </c>
      <c r="Q247" s="81">
        <f>VLOOKUP(A:A,'staff sales'!C:AI,33,)</f>
        <v>47</v>
      </c>
      <c r="R247" s="81">
        <f>VLOOKUP(A:A,'staff sales'!C:AL,36,)</f>
        <v>0</v>
      </c>
      <c r="S247" s="81">
        <f>VLOOKUP(A:A,'staff sales'!C:AO,39,)</f>
        <v>0</v>
      </c>
      <c r="T247" s="81">
        <f>VLOOKUP(A:A,'staff sales'!C:AR,42,)</f>
        <v>0</v>
      </c>
      <c r="U247" s="81">
        <f>VLOOKUP(A:A,'staff sales'!C:AU,45,)</f>
        <v>0</v>
      </c>
      <c r="V247" s="81">
        <f>VLOOKUP(A:A,'staff sales'!C:AX,48,)</f>
        <v>0</v>
      </c>
      <c r="W247" s="81">
        <f>VLOOKUP(A:A,'staff sales'!C:BA,51,)</f>
        <v>0</v>
      </c>
    </row>
    <row r="248" spans="1:23" x14ac:dyDescent="0.25">
      <c r="A248" s="32">
        <v>1093075628</v>
      </c>
      <c r="B248" s="32" t="s">
        <v>822</v>
      </c>
      <c r="C248" s="26" t="s">
        <v>546</v>
      </c>
      <c r="D248" s="26" t="s">
        <v>546</v>
      </c>
      <c r="E248" s="26" t="s">
        <v>108</v>
      </c>
      <c r="F248" s="26" t="s">
        <v>108</v>
      </c>
      <c r="G248" s="26" t="s">
        <v>1218</v>
      </c>
      <c r="H248" s="26" t="s">
        <v>30</v>
      </c>
      <c r="I248" s="26" t="s">
        <v>805</v>
      </c>
      <c r="J248" s="26">
        <v>73036</v>
      </c>
      <c r="K248" s="80">
        <f>VLOOKUP(A:A,'staff sales'!C:Q,15,)</f>
        <v>156295.88</v>
      </c>
      <c r="L248" s="81">
        <f>VLOOKUP(A:A,'staff sales'!C:T,18,)</f>
        <v>16129.96</v>
      </c>
      <c r="M248" s="81">
        <f>VLOOKUP(A:A,'staff sales'!C:W,21,)</f>
        <v>26285.929999999997</v>
      </c>
      <c r="N248" s="81">
        <f>VLOOKUP(A:A,'staff sales'!C:Z,24,)</f>
        <v>0</v>
      </c>
      <c r="O248" s="81">
        <f>VLOOKUP(A:A,'staff sales'!C:AC,27,)</f>
        <v>9</v>
      </c>
      <c r="P248" s="81">
        <f>VLOOKUP(A:A,'staff sales'!C:AF,30,)</f>
        <v>0</v>
      </c>
      <c r="Q248" s="81">
        <f>VLOOKUP(A:A,'staff sales'!C:AI,33,)</f>
        <v>31</v>
      </c>
      <c r="R248" s="81">
        <f>VLOOKUP(A:A,'staff sales'!C:AL,36,)</f>
        <v>0</v>
      </c>
      <c r="S248" s="81">
        <f>VLOOKUP(A:A,'staff sales'!C:AO,39,)</f>
        <v>5</v>
      </c>
      <c r="T248" s="81">
        <f>VLOOKUP(A:A,'staff sales'!C:AR,42,)</f>
        <v>9</v>
      </c>
      <c r="U248" s="81">
        <f>VLOOKUP(A:A,'staff sales'!C:AU,45,)</f>
        <v>0</v>
      </c>
      <c r="V248" s="81">
        <f>VLOOKUP(A:A,'staff sales'!C:AX,48,)</f>
        <v>0</v>
      </c>
      <c r="W248" s="81">
        <f>VLOOKUP(A:A,'staff sales'!C:BA,51,)</f>
        <v>12</v>
      </c>
    </row>
    <row r="249" spans="1:23" x14ac:dyDescent="0.25">
      <c r="A249" s="12">
        <v>1058897529</v>
      </c>
      <c r="B249" s="13" t="s">
        <v>814</v>
      </c>
      <c r="C249" s="14" t="s">
        <v>546</v>
      </c>
      <c r="D249" s="14" t="s">
        <v>546</v>
      </c>
      <c r="E249" s="14" t="s">
        <v>97</v>
      </c>
      <c r="F249" s="14" t="s">
        <v>97</v>
      </c>
      <c r="G249" s="14" t="s">
        <v>1218</v>
      </c>
      <c r="H249" s="14" t="s">
        <v>30</v>
      </c>
      <c r="I249" s="14" t="s">
        <v>805</v>
      </c>
      <c r="J249" s="14">
        <v>73036</v>
      </c>
      <c r="K249" s="80">
        <f>VLOOKUP(A:A,'staff sales'!C:Q,15,)</f>
        <v>86439.13</v>
      </c>
      <c r="L249" s="81">
        <f>VLOOKUP(A:A,'staff sales'!C:T,18,)</f>
        <v>564.35</v>
      </c>
      <c r="M249" s="81">
        <f>VLOOKUP(A:A,'staff sales'!C:W,21,)</f>
        <v>14842.619999999999</v>
      </c>
      <c r="N249" s="81">
        <f>VLOOKUP(A:A,'staff sales'!C:Z,24,)</f>
        <v>0</v>
      </c>
      <c r="O249" s="81">
        <f>VLOOKUP(A:A,'staff sales'!C:AC,27,)</f>
        <v>9</v>
      </c>
      <c r="P249" s="81">
        <f>VLOOKUP(A:A,'staff sales'!C:AF,30,)</f>
        <v>1</v>
      </c>
      <c r="Q249" s="81">
        <f>VLOOKUP(A:A,'staff sales'!C:AI,33,)</f>
        <v>38</v>
      </c>
      <c r="R249" s="81">
        <f>VLOOKUP(A:A,'staff sales'!C:AL,36,)</f>
        <v>1</v>
      </c>
      <c r="S249" s="81">
        <f>VLOOKUP(A:A,'staff sales'!C:AO,39,)</f>
        <v>0</v>
      </c>
      <c r="T249" s="81">
        <f>VLOOKUP(A:A,'staff sales'!C:AR,42,)</f>
        <v>4</v>
      </c>
      <c r="U249" s="81">
        <f>VLOOKUP(A:A,'staff sales'!C:AU,45,)</f>
        <v>2</v>
      </c>
      <c r="V249" s="81">
        <f>VLOOKUP(A:A,'staff sales'!C:AX,48,)</f>
        <v>0</v>
      </c>
      <c r="W249" s="81">
        <f>VLOOKUP(A:A,'staff sales'!C:BA,51,)</f>
        <v>6</v>
      </c>
    </row>
    <row r="250" spans="1:23" x14ac:dyDescent="0.25">
      <c r="A250" s="8">
        <v>1010732418</v>
      </c>
      <c r="B250" s="9" t="s">
        <v>885</v>
      </c>
      <c r="C250" s="10" t="s">
        <v>537</v>
      </c>
      <c r="D250" s="10" t="s">
        <v>537</v>
      </c>
      <c r="E250" s="10" t="s">
        <v>886</v>
      </c>
      <c r="F250" s="10">
        <v>0</v>
      </c>
      <c r="G250" s="10" t="s">
        <v>1218</v>
      </c>
      <c r="H250" s="10" t="s">
        <v>1138</v>
      </c>
      <c r="I250" s="11" t="s">
        <v>538</v>
      </c>
      <c r="J250" s="10" t="s">
        <v>539</v>
      </c>
      <c r="K250" s="80">
        <f>VLOOKUP(A:A,'staff sales'!C:Q,15,)</f>
        <v>0</v>
      </c>
      <c r="L250" s="81">
        <f>VLOOKUP(A:A,'staff sales'!C:T,18,)</f>
        <v>0</v>
      </c>
      <c r="M250" s="81">
        <f>VLOOKUP(A:A,'staff sales'!C:W,21,)</f>
        <v>0</v>
      </c>
      <c r="N250" s="81">
        <f>VLOOKUP(A:A,'staff sales'!C:Z,24,)</f>
        <v>0</v>
      </c>
      <c r="O250" s="81">
        <f>VLOOKUP(A:A,'staff sales'!C:AC,27,)</f>
        <v>0</v>
      </c>
      <c r="P250" s="81">
        <f>VLOOKUP(A:A,'staff sales'!C:AF,30,)</f>
        <v>0</v>
      </c>
      <c r="Q250" s="81">
        <f>VLOOKUP(A:A,'staff sales'!C:AI,33,)</f>
        <v>0</v>
      </c>
      <c r="R250" s="81">
        <f>VLOOKUP(A:A,'staff sales'!C:AL,36,)</f>
        <v>0</v>
      </c>
      <c r="S250" s="81">
        <f>VLOOKUP(A:A,'staff sales'!C:AO,39,)</f>
        <v>0</v>
      </c>
      <c r="T250" s="81">
        <f>VLOOKUP(A:A,'staff sales'!C:AR,42,)</f>
        <v>0</v>
      </c>
      <c r="U250" s="81">
        <f>VLOOKUP(A:A,'staff sales'!C:AU,45,)</f>
        <v>0</v>
      </c>
      <c r="V250" s="81">
        <f>VLOOKUP(A:A,'staff sales'!C:AX,48,)</f>
        <v>0</v>
      </c>
      <c r="W250" s="81">
        <f>VLOOKUP(A:A,'staff sales'!C:BA,51,)</f>
        <v>0</v>
      </c>
    </row>
    <row r="251" spans="1:23" x14ac:dyDescent="0.25">
      <c r="A251" s="12">
        <v>1046997373</v>
      </c>
      <c r="B251" s="13" t="s">
        <v>888</v>
      </c>
      <c r="C251" s="14" t="s">
        <v>541</v>
      </c>
      <c r="D251" s="14" t="s">
        <v>541</v>
      </c>
      <c r="E251" s="14" t="s">
        <v>889</v>
      </c>
      <c r="F251" s="14" t="s">
        <v>889</v>
      </c>
      <c r="G251" s="14" t="s">
        <v>1218</v>
      </c>
      <c r="H251" s="14" t="s">
        <v>887</v>
      </c>
      <c r="I251" s="15" t="s">
        <v>890</v>
      </c>
      <c r="J251" s="14">
        <v>75001</v>
      </c>
      <c r="K251" s="80">
        <f>VLOOKUP(A:A,'staff sales'!C:Q,15,)</f>
        <v>0</v>
      </c>
      <c r="L251" s="81">
        <f>VLOOKUP(A:A,'staff sales'!C:T,18,)</f>
        <v>0</v>
      </c>
      <c r="M251" s="81">
        <f>VLOOKUP(A:A,'staff sales'!C:W,21,)</f>
        <v>0</v>
      </c>
      <c r="N251" s="81">
        <f>VLOOKUP(A:A,'staff sales'!C:Z,24,)</f>
        <v>0</v>
      </c>
      <c r="O251" s="81">
        <f>VLOOKUP(A:A,'staff sales'!C:AC,27,)</f>
        <v>2</v>
      </c>
      <c r="P251" s="81">
        <f>VLOOKUP(A:A,'staff sales'!C:AF,30,)</f>
        <v>0</v>
      </c>
      <c r="Q251" s="81">
        <f>VLOOKUP(A:A,'staff sales'!C:AI,33,)</f>
        <v>0</v>
      </c>
      <c r="R251" s="81">
        <f>VLOOKUP(A:A,'staff sales'!C:AL,36,)</f>
        <v>0</v>
      </c>
      <c r="S251" s="81">
        <f>VLOOKUP(A:A,'staff sales'!C:AO,39,)</f>
        <v>0</v>
      </c>
      <c r="T251" s="81">
        <f>VLOOKUP(A:A,'staff sales'!C:AR,42,)</f>
        <v>0</v>
      </c>
      <c r="U251" s="81">
        <f>VLOOKUP(A:A,'staff sales'!C:AU,45,)</f>
        <v>0</v>
      </c>
      <c r="V251" s="81">
        <f>VLOOKUP(A:A,'staff sales'!C:AX,48,)</f>
        <v>0</v>
      </c>
      <c r="W251" s="81">
        <f>VLOOKUP(A:A,'staff sales'!C:BA,51,)</f>
        <v>0</v>
      </c>
    </row>
    <row r="252" spans="1:23" x14ac:dyDescent="0.25">
      <c r="A252" s="16">
        <v>1092800372</v>
      </c>
      <c r="B252" s="17" t="s">
        <v>891</v>
      </c>
      <c r="C252" s="18" t="s">
        <v>544</v>
      </c>
      <c r="D252" s="18" t="s">
        <v>544</v>
      </c>
      <c r="E252" s="18" t="s">
        <v>892</v>
      </c>
      <c r="F252" s="18" t="s">
        <v>892</v>
      </c>
      <c r="G252" s="18" t="s">
        <v>1218</v>
      </c>
      <c r="H252" s="18" t="s">
        <v>887</v>
      </c>
      <c r="I252" s="19" t="s">
        <v>890</v>
      </c>
      <c r="J252" s="18">
        <v>75001</v>
      </c>
      <c r="K252" s="80">
        <f>VLOOKUP(A:A,'staff sales'!C:Q,15,)</f>
        <v>0</v>
      </c>
      <c r="L252" s="81">
        <f>VLOOKUP(A:A,'staff sales'!C:T,18,)</f>
        <v>0</v>
      </c>
      <c r="M252" s="81">
        <f>VLOOKUP(A:A,'staff sales'!C:W,21,)</f>
        <v>0</v>
      </c>
      <c r="N252" s="81">
        <f>VLOOKUP(A:A,'staff sales'!C:Z,24,)</f>
        <v>0</v>
      </c>
      <c r="O252" s="81">
        <f>VLOOKUP(A:A,'staff sales'!C:AC,27,)</f>
        <v>0</v>
      </c>
      <c r="P252" s="81">
        <f>VLOOKUP(A:A,'staff sales'!C:AF,30,)</f>
        <v>0</v>
      </c>
      <c r="Q252" s="81">
        <f>VLOOKUP(A:A,'staff sales'!C:AI,33,)</f>
        <v>0</v>
      </c>
      <c r="R252" s="81">
        <f>VLOOKUP(A:A,'staff sales'!C:AL,36,)</f>
        <v>0</v>
      </c>
      <c r="S252" s="81">
        <f>VLOOKUP(A:A,'staff sales'!C:AO,39,)</f>
        <v>0</v>
      </c>
      <c r="T252" s="81">
        <f>VLOOKUP(A:A,'staff sales'!C:AR,42,)</f>
        <v>0</v>
      </c>
      <c r="U252" s="81">
        <f>VLOOKUP(A:A,'staff sales'!C:AU,45,)</f>
        <v>0</v>
      </c>
      <c r="V252" s="81">
        <f>VLOOKUP(A:A,'staff sales'!C:AX,48,)</f>
        <v>0</v>
      </c>
      <c r="W252" s="81">
        <f>VLOOKUP(A:A,'staff sales'!C:BA,51,)</f>
        <v>0</v>
      </c>
    </row>
    <row r="253" spans="1:23" x14ac:dyDescent="0.25">
      <c r="A253" s="16">
        <v>1053538888</v>
      </c>
      <c r="B253" s="17" t="s">
        <v>919</v>
      </c>
      <c r="C253" s="18" t="s">
        <v>546</v>
      </c>
      <c r="D253" s="18" t="s">
        <v>546</v>
      </c>
      <c r="E253" s="18" t="s">
        <v>920</v>
      </c>
      <c r="F253" s="18" t="s">
        <v>921</v>
      </c>
      <c r="G253" s="18" t="s">
        <v>1218</v>
      </c>
      <c r="H253" s="18" t="s">
        <v>887</v>
      </c>
      <c r="I253" s="19" t="s">
        <v>890</v>
      </c>
      <c r="J253" s="18">
        <v>75001</v>
      </c>
      <c r="K253" s="80">
        <f>VLOOKUP(A:A,'staff sales'!C:Q,15,)</f>
        <v>85300.01999999999</v>
      </c>
      <c r="L253" s="81">
        <f>VLOOKUP(A:A,'staff sales'!C:T,18,)</f>
        <v>0</v>
      </c>
      <c r="M253" s="81">
        <f>VLOOKUP(A:A,'staff sales'!C:W,21,)</f>
        <v>6192.17</v>
      </c>
      <c r="N253" s="81">
        <f>VLOOKUP(A:A,'staff sales'!C:Z,24,)</f>
        <v>0</v>
      </c>
      <c r="O253" s="81">
        <f>VLOOKUP(A:A,'staff sales'!C:AC,27,)</f>
        <v>5</v>
      </c>
      <c r="P253" s="81">
        <f>VLOOKUP(A:A,'staff sales'!C:AF,30,)</f>
        <v>1</v>
      </c>
      <c r="Q253" s="81">
        <f>VLOOKUP(A:A,'staff sales'!C:AI,33,)</f>
        <v>49</v>
      </c>
      <c r="R253" s="81">
        <f>VLOOKUP(A:A,'staff sales'!C:AL,36,)</f>
        <v>1</v>
      </c>
      <c r="S253" s="81">
        <f>VLOOKUP(A:A,'staff sales'!C:AO,39,)</f>
        <v>0</v>
      </c>
      <c r="T253" s="81">
        <f>VLOOKUP(A:A,'staff sales'!C:AR,42,)</f>
        <v>2</v>
      </c>
      <c r="U253" s="81">
        <f>VLOOKUP(A:A,'staff sales'!C:AU,45,)</f>
        <v>0</v>
      </c>
      <c r="V253" s="81">
        <f>VLOOKUP(A:A,'staff sales'!C:AX,48,)</f>
        <v>0</v>
      </c>
      <c r="W253" s="81">
        <f>VLOOKUP(A:A,'staff sales'!C:BA,51,)</f>
        <v>1</v>
      </c>
    </row>
    <row r="254" spans="1:23" x14ac:dyDescent="0.25">
      <c r="A254" s="16">
        <v>1044383923</v>
      </c>
      <c r="B254" s="17" t="s">
        <v>1197</v>
      </c>
      <c r="C254" s="18" t="s">
        <v>546</v>
      </c>
      <c r="D254" s="18" t="s">
        <v>546</v>
      </c>
      <c r="E254" s="18" t="s">
        <v>1198</v>
      </c>
      <c r="F254" s="18" t="s">
        <v>1198</v>
      </c>
      <c r="G254" s="18" t="s">
        <v>1218</v>
      </c>
      <c r="H254" s="18" t="s">
        <v>887</v>
      </c>
      <c r="I254" s="19" t="s">
        <v>890</v>
      </c>
      <c r="J254" s="18">
        <v>75001</v>
      </c>
      <c r="K254" s="80">
        <f>VLOOKUP(A:A,'staff sales'!C:Q,15,)</f>
        <v>120967.88999999997</v>
      </c>
      <c r="L254" s="81">
        <f>VLOOKUP(A:A,'staff sales'!C:T,18,)</f>
        <v>9658.26</v>
      </c>
      <c r="M254" s="81">
        <f>VLOOKUP(A:A,'staff sales'!C:W,21,)</f>
        <v>13378.26</v>
      </c>
      <c r="N254" s="81">
        <f>VLOOKUP(A:A,'staff sales'!C:Z,24,)</f>
        <v>0</v>
      </c>
      <c r="O254" s="81">
        <f>VLOOKUP(A:A,'staff sales'!C:AC,27,)</f>
        <v>7</v>
      </c>
      <c r="P254" s="81">
        <f>VLOOKUP(A:A,'staff sales'!C:AF,30,)</f>
        <v>2</v>
      </c>
      <c r="Q254" s="81">
        <f>VLOOKUP(A:A,'staff sales'!C:AI,33,)</f>
        <v>73</v>
      </c>
      <c r="R254" s="81">
        <f>VLOOKUP(A:A,'staff sales'!C:AL,36,)</f>
        <v>1</v>
      </c>
      <c r="S254" s="81">
        <f>VLOOKUP(A:A,'staff sales'!C:AO,39,)</f>
        <v>0</v>
      </c>
      <c r="T254" s="81">
        <f>VLOOKUP(A:A,'staff sales'!C:AR,42,)</f>
        <v>2</v>
      </c>
      <c r="U254" s="81">
        <f>VLOOKUP(A:A,'staff sales'!C:AU,45,)</f>
        <v>2</v>
      </c>
      <c r="V254" s="81">
        <f>VLOOKUP(A:A,'staff sales'!C:AX,48,)</f>
        <v>0</v>
      </c>
      <c r="W254" s="81">
        <f>VLOOKUP(A:A,'staff sales'!C:BA,51,)</f>
        <v>2</v>
      </c>
    </row>
    <row r="255" spans="1:23" x14ac:dyDescent="0.25">
      <c r="A255" s="16">
        <v>1044926994</v>
      </c>
      <c r="B255" s="17" t="s">
        <v>903</v>
      </c>
      <c r="C255" s="18" t="s">
        <v>546</v>
      </c>
      <c r="D255" s="18" t="s">
        <v>546</v>
      </c>
      <c r="E255" s="18" t="s">
        <v>904</v>
      </c>
      <c r="F255" s="18" t="s">
        <v>905</v>
      </c>
      <c r="G255" s="18" t="s">
        <v>1218</v>
      </c>
      <c r="H255" s="18" t="s">
        <v>887</v>
      </c>
      <c r="I255" s="19" t="s">
        <v>890</v>
      </c>
      <c r="J255" s="18">
        <v>75001</v>
      </c>
      <c r="K255" s="80">
        <f>VLOOKUP(A:A,'staff sales'!C:Q,15,)</f>
        <v>53204.36</v>
      </c>
      <c r="L255" s="81">
        <f>VLOOKUP(A:A,'staff sales'!C:T,18,)</f>
        <v>0</v>
      </c>
      <c r="M255" s="81">
        <f>VLOOKUP(A:A,'staff sales'!C:W,21,)</f>
        <v>10151.76</v>
      </c>
      <c r="N255" s="81">
        <f>VLOOKUP(A:A,'staff sales'!C:Z,24,)</f>
        <v>0</v>
      </c>
      <c r="O255" s="81">
        <f>VLOOKUP(A:A,'staff sales'!C:AC,27,)</f>
        <v>0</v>
      </c>
      <c r="P255" s="81">
        <f>VLOOKUP(A:A,'staff sales'!C:AF,30,)</f>
        <v>0</v>
      </c>
      <c r="Q255" s="81">
        <f>VLOOKUP(A:A,'staff sales'!C:AI,33,)</f>
        <v>25</v>
      </c>
      <c r="R255" s="81">
        <f>VLOOKUP(A:A,'staff sales'!C:AL,36,)</f>
        <v>0</v>
      </c>
      <c r="S255" s="81">
        <f>VLOOKUP(A:A,'staff sales'!C:AO,39,)</f>
        <v>0</v>
      </c>
      <c r="T255" s="81">
        <f>VLOOKUP(A:A,'staff sales'!C:AR,42,)</f>
        <v>1</v>
      </c>
      <c r="U255" s="81">
        <f>VLOOKUP(A:A,'staff sales'!C:AU,45,)</f>
        <v>0</v>
      </c>
      <c r="V255" s="81">
        <f>VLOOKUP(A:A,'staff sales'!C:AX,48,)</f>
        <v>0</v>
      </c>
      <c r="W255" s="81">
        <f>VLOOKUP(A:A,'staff sales'!C:BA,51,)</f>
        <v>2</v>
      </c>
    </row>
    <row r="256" spans="1:23" x14ac:dyDescent="0.25">
      <c r="A256" s="16">
        <v>1014945479</v>
      </c>
      <c r="B256" s="17" t="s">
        <v>1229</v>
      </c>
      <c r="C256" s="18" t="s">
        <v>546</v>
      </c>
      <c r="D256" s="18" t="s">
        <v>546</v>
      </c>
      <c r="E256" s="18" t="s">
        <v>1230</v>
      </c>
      <c r="F256" s="18" t="s">
        <v>1230</v>
      </c>
      <c r="G256" s="18" t="s">
        <v>1218</v>
      </c>
      <c r="H256" s="18" t="s">
        <v>887</v>
      </c>
      <c r="I256" s="19" t="s">
        <v>890</v>
      </c>
      <c r="J256" s="18">
        <v>75001</v>
      </c>
      <c r="K256" s="80">
        <f>VLOOKUP(A:A,'staff sales'!C:Q,15,)</f>
        <v>30195.660000000003</v>
      </c>
      <c r="L256" s="81">
        <f>VLOOKUP(A:A,'staff sales'!C:T,18,)</f>
        <v>0</v>
      </c>
      <c r="M256" s="81">
        <f>VLOOKUP(A:A,'staff sales'!C:W,21,)</f>
        <v>0</v>
      </c>
      <c r="N256" s="81">
        <f>VLOOKUP(A:A,'staff sales'!C:Z,24,)</f>
        <v>0</v>
      </c>
      <c r="O256" s="81">
        <f>VLOOKUP(A:A,'staff sales'!C:AC,27,)</f>
        <v>0</v>
      </c>
      <c r="P256" s="81">
        <f>VLOOKUP(A:A,'staff sales'!C:AF,30,)</f>
        <v>0</v>
      </c>
      <c r="Q256" s="81">
        <f>VLOOKUP(A:A,'staff sales'!C:AI,33,)</f>
        <v>23</v>
      </c>
      <c r="R256" s="81">
        <f>VLOOKUP(A:A,'staff sales'!C:AL,36,)</f>
        <v>0</v>
      </c>
      <c r="S256" s="81">
        <f>VLOOKUP(A:A,'staff sales'!C:AO,39,)</f>
        <v>0</v>
      </c>
      <c r="T256" s="81">
        <f>VLOOKUP(A:A,'staff sales'!C:AR,42,)</f>
        <v>0</v>
      </c>
      <c r="U256" s="81">
        <f>VLOOKUP(A:A,'staff sales'!C:AU,45,)</f>
        <v>0</v>
      </c>
      <c r="V256" s="81">
        <f>VLOOKUP(A:A,'staff sales'!C:AX,48,)</f>
        <v>0</v>
      </c>
      <c r="W256" s="81">
        <f>VLOOKUP(A:A,'staff sales'!C:BA,51,)</f>
        <v>0</v>
      </c>
    </row>
    <row r="257" spans="1:23" x14ac:dyDescent="0.25">
      <c r="A257" s="16">
        <v>1036234472</v>
      </c>
      <c r="B257" s="17" t="s">
        <v>909</v>
      </c>
      <c r="C257" s="18" t="s">
        <v>546</v>
      </c>
      <c r="D257" s="18" t="s">
        <v>546</v>
      </c>
      <c r="E257" s="18" t="s">
        <v>910</v>
      </c>
      <c r="F257" s="18" t="s">
        <v>910</v>
      </c>
      <c r="G257" s="18" t="s">
        <v>1218</v>
      </c>
      <c r="H257" s="18" t="s">
        <v>887</v>
      </c>
      <c r="I257" s="19" t="s">
        <v>890</v>
      </c>
      <c r="J257" s="18">
        <v>75001</v>
      </c>
      <c r="K257" s="80">
        <f>VLOOKUP(A:A,'staff sales'!C:Q,15,)</f>
        <v>48018.28</v>
      </c>
      <c r="L257" s="81">
        <f>VLOOKUP(A:A,'staff sales'!C:T,18,)</f>
        <v>2013.04</v>
      </c>
      <c r="M257" s="81">
        <f>VLOOKUP(A:A,'staff sales'!C:W,21,)</f>
        <v>3480</v>
      </c>
      <c r="N257" s="81">
        <f>VLOOKUP(A:A,'staff sales'!C:Z,24,)</f>
        <v>279</v>
      </c>
      <c r="O257" s="81">
        <f>VLOOKUP(A:A,'staff sales'!C:AC,27,)</f>
        <v>3</v>
      </c>
      <c r="P257" s="81">
        <f>VLOOKUP(A:A,'staff sales'!C:AF,30,)</f>
        <v>0</v>
      </c>
      <c r="Q257" s="81">
        <f>VLOOKUP(A:A,'staff sales'!C:AI,33,)</f>
        <v>5</v>
      </c>
      <c r="R257" s="81">
        <f>VLOOKUP(A:A,'staff sales'!C:AL,36,)</f>
        <v>1</v>
      </c>
      <c r="S257" s="81">
        <f>VLOOKUP(A:A,'staff sales'!C:AO,39,)</f>
        <v>0</v>
      </c>
      <c r="T257" s="81">
        <f>VLOOKUP(A:A,'staff sales'!C:AR,42,)</f>
        <v>3</v>
      </c>
      <c r="U257" s="81">
        <f>VLOOKUP(A:A,'staff sales'!C:AU,45,)</f>
        <v>1</v>
      </c>
      <c r="V257" s="81">
        <f>VLOOKUP(A:A,'staff sales'!C:AX,48,)</f>
        <v>0</v>
      </c>
      <c r="W257" s="81">
        <f>VLOOKUP(A:A,'staff sales'!C:BA,51,)</f>
        <v>0</v>
      </c>
    </row>
    <row r="258" spans="1:23" x14ac:dyDescent="0.25">
      <c r="A258" s="16">
        <v>1076206117</v>
      </c>
      <c r="B258" s="17" t="s">
        <v>901</v>
      </c>
      <c r="C258" s="18" t="s">
        <v>544</v>
      </c>
      <c r="D258" s="18" t="s">
        <v>544</v>
      </c>
      <c r="E258" s="18" t="s">
        <v>902</v>
      </c>
      <c r="F258" s="18" t="s">
        <v>902</v>
      </c>
      <c r="G258" s="18" t="s">
        <v>1218</v>
      </c>
      <c r="H258" s="18" t="s">
        <v>887</v>
      </c>
      <c r="I258" s="19" t="s">
        <v>890</v>
      </c>
      <c r="J258" s="18">
        <v>75001</v>
      </c>
      <c r="K258" s="80">
        <f>VLOOKUP(A:A,'staff sales'!C:Q,15,)</f>
        <v>0</v>
      </c>
      <c r="L258" s="81">
        <f>VLOOKUP(A:A,'staff sales'!C:T,18,)</f>
        <v>0</v>
      </c>
      <c r="M258" s="81">
        <f>VLOOKUP(A:A,'staff sales'!C:W,21,)</f>
        <v>0</v>
      </c>
      <c r="N258" s="81">
        <f>VLOOKUP(A:A,'staff sales'!C:Z,24,)</f>
        <v>0</v>
      </c>
      <c r="O258" s="81">
        <f>VLOOKUP(A:A,'staff sales'!C:AC,27,)</f>
        <v>1</v>
      </c>
      <c r="P258" s="81">
        <f>VLOOKUP(A:A,'staff sales'!C:AF,30,)</f>
        <v>0</v>
      </c>
      <c r="Q258" s="81">
        <f>VLOOKUP(A:A,'staff sales'!C:AI,33,)</f>
        <v>0</v>
      </c>
      <c r="R258" s="81">
        <f>VLOOKUP(A:A,'staff sales'!C:AL,36,)</f>
        <v>0</v>
      </c>
      <c r="S258" s="81">
        <f>VLOOKUP(A:A,'staff sales'!C:AO,39,)</f>
        <v>0</v>
      </c>
      <c r="T258" s="81">
        <f>VLOOKUP(A:A,'staff sales'!C:AR,42,)</f>
        <v>0</v>
      </c>
      <c r="U258" s="81">
        <f>VLOOKUP(A:A,'staff sales'!C:AU,45,)</f>
        <v>0</v>
      </c>
      <c r="V258" s="81">
        <f>VLOOKUP(A:A,'staff sales'!C:AX,48,)</f>
        <v>0</v>
      </c>
      <c r="W258" s="81">
        <f>VLOOKUP(A:A,'staff sales'!C:BA,51,)</f>
        <v>0</v>
      </c>
    </row>
    <row r="259" spans="1:23" x14ac:dyDescent="0.25">
      <c r="A259" s="16">
        <v>1069108395</v>
      </c>
      <c r="B259" s="17" t="s">
        <v>893</v>
      </c>
      <c r="C259" s="18" t="s">
        <v>546</v>
      </c>
      <c r="D259" s="18" t="s">
        <v>546</v>
      </c>
      <c r="E259" s="18" t="s">
        <v>894</v>
      </c>
      <c r="F259" s="18" t="s">
        <v>895</v>
      </c>
      <c r="G259" s="18" t="s">
        <v>1218</v>
      </c>
      <c r="H259" s="18" t="s">
        <v>887</v>
      </c>
      <c r="I259" s="19" t="s">
        <v>890</v>
      </c>
      <c r="J259" s="18">
        <v>75001</v>
      </c>
      <c r="K259" s="80">
        <f>VLOOKUP(A:A,'staff sales'!C:Q,15,)</f>
        <v>89693.96</v>
      </c>
      <c r="L259" s="81">
        <f>VLOOKUP(A:A,'staff sales'!C:T,18,)</f>
        <v>1924.9299999999998</v>
      </c>
      <c r="M259" s="81">
        <f>VLOOKUP(A:A,'staff sales'!C:W,21,)</f>
        <v>26852.510000000002</v>
      </c>
      <c r="N259" s="81">
        <f>VLOOKUP(A:A,'staff sales'!C:Z,24,)</f>
        <v>110</v>
      </c>
      <c r="O259" s="81">
        <f>VLOOKUP(A:A,'staff sales'!C:AC,27,)</f>
        <v>6</v>
      </c>
      <c r="P259" s="81">
        <f>VLOOKUP(A:A,'staff sales'!C:AF,30,)</f>
        <v>1</v>
      </c>
      <c r="Q259" s="81">
        <f>VLOOKUP(A:A,'staff sales'!C:AI,33,)</f>
        <v>78</v>
      </c>
      <c r="R259" s="81">
        <f>VLOOKUP(A:A,'staff sales'!C:AL,36,)</f>
        <v>3</v>
      </c>
      <c r="S259" s="81">
        <f>VLOOKUP(A:A,'staff sales'!C:AO,39,)</f>
        <v>1</v>
      </c>
      <c r="T259" s="81">
        <f>VLOOKUP(A:A,'staff sales'!C:AR,42,)</f>
        <v>4</v>
      </c>
      <c r="U259" s="81">
        <f>VLOOKUP(A:A,'staff sales'!C:AU,45,)</f>
        <v>0</v>
      </c>
      <c r="V259" s="81">
        <f>VLOOKUP(A:A,'staff sales'!C:AX,48,)</f>
        <v>0</v>
      </c>
      <c r="W259" s="81">
        <f>VLOOKUP(A:A,'staff sales'!C:BA,51,)</f>
        <v>2</v>
      </c>
    </row>
    <row r="260" spans="1:23" x14ac:dyDescent="0.25">
      <c r="A260" s="16">
        <v>1067960813</v>
      </c>
      <c r="B260" s="17" t="s">
        <v>916</v>
      </c>
      <c r="C260" s="18" t="s">
        <v>546</v>
      </c>
      <c r="D260" s="18" t="s">
        <v>546</v>
      </c>
      <c r="E260" s="18" t="s">
        <v>917</v>
      </c>
      <c r="F260" s="18" t="s">
        <v>918</v>
      </c>
      <c r="G260" s="18" t="s">
        <v>1218</v>
      </c>
      <c r="H260" s="18" t="s">
        <v>887</v>
      </c>
      <c r="I260" s="19" t="s">
        <v>890</v>
      </c>
      <c r="J260" s="18">
        <v>75001</v>
      </c>
      <c r="K260" s="80">
        <f>VLOOKUP(A:A,'staff sales'!C:Q,15,)</f>
        <v>22309.57</v>
      </c>
      <c r="L260" s="81">
        <f>VLOOKUP(A:A,'staff sales'!C:T,18,)</f>
        <v>0</v>
      </c>
      <c r="M260" s="81">
        <f>VLOOKUP(A:A,'staff sales'!C:W,21,)</f>
        <v>24640.05</v>
      </c>
      <c r="N260" s="81">
        <f>VLOOKUP(A:A,'staff sales'!C:Z,24,)</f>
        <v>0</v>
      </c>
      <c r="O260" s="81">
        <f>VLOOKUP(A:A,'staff sales'!C:AC,27,)</f>
        <v>1</v>
      </c>
      <c r="P260" s="81">
        <f>VLOOKUP(A:A,'staff sales'!C:AF,30,)</f>
        <v>0</v>
      </c>
      <c r="Q260" s="81">
        <f>VLOOKUP(A:A,'staff sales'!C:AI,33,)</f>
        <v>26</v>
      </c>
      <c r="R260" s="81">
        <f>VLOOKUP(A:A,'staff sales'!C:AL,36,)</f>
        <v>0</v>
      </c>
      <c r="S260" s="81">
        <f>VLOOKUP(A:A,'staff sales'!C:AO,39,)</f>
        <v>1</v>
      </c>
      <c r="T260" s="81">
        <f>VLOOKUP(A:A,'staff sales'!C:AR,42,)</f>
        <v>4</v>
      </c>
      <c r="U260" s="81">
        <f>VLOOKUP(A:A,'staff sales'!C:AU,45,)</f>
        <v>0</v>
      </c>
      <c r="V260" s="81">
        <f>VLOOKUP(A:A,'staff sales'!C:AX,48,)</f>
        <v>0</v>
      </c>
      <c r="W260" s="81">
        <f>VLOOKUP(A:A,'staff sales'!C:BA,51,)</f>
        <v>0</v>
      </c>
    </row>
    <row r="261" spans="1:23" x14ac:dyDescent="0.25">
      <c r="A261" s="16">
        <v>1058561174</v>
      </c>
      <c r="B261" s="17" t="s">
        <v>906</v>
      </c>
      <c r="C261" s="18" t="s">
        <v>546</v>
      </c>
      <c r="D261" s="18" t="s">
        <v>546</v>
      </c>
      <c r="E261" s="18" t="s">
        <v>907</v>
      </c>
      <c r="F261" s="18" t="s">
        <v>908</v>
      </c>
      <c r="G261" s="18" t="s">
        <v>1218</v>
      </c>
      <c r="H261" s="18" t="s">
        <v>887</v>
      </c>
      <c r="I261" s="19" t="s">
        <v>890</v>
      </c>
      <c r="J261" s="18">
        <v>75001</v>
      </c>
      <c r="K261" s="80">
        <f>VLOOKUP(A:A,'staff sales'!C:Q,15,)</f>
        <v>35818.28</v>
      </c>
      <c r="L261" s="81">
        <f>VLOOKUP(A:A,'staff sales'!C:T,18,)</f>
        <v>0</v>
      </c>
      <c r="M261" s="81">
        <f>VLOOKUP(A:A,'staff sales'!C:W,21,)</f>
        <v>2895.2200000000003</v>
      </c>
      <c r="N261" s="81">
        <f>VLOOKUP(A:A,'staff sales'!C:Z,24,)</f>
        <v>0</v>
      </c>
      <c r="O261" s="81">
        <f>VLOOKUP(A:A,'staff sales'!C:AC,27,)</f>
        <v>1</v>
      </c>
      <c r="P261" s="81">
        <f>VLOOKUP(A:A,'staff sales'!C:AF,30,)</f>
        <v>0</v>
      </c>
      <c r="Q261" s="81">
        <f>VLOOKUP(A:A,'staff sales'!C:AI,33,)</f>
        <v>13</v>
      </c>
      <c r="R261" s="81">
        <f>VLOOKUP(A:A,'staff sales'!C:AL,36,)</f>
        <v>0</v>
      </c>
      <c r="S261" s="81">
        <f>VLOOKUP(A:A,'staff sales'!C:AO,39,)</f>
        <v>0</v>
      </c>
      <c r="T261" s="81">
        <f>VLOOKUP(A:A,'staff sales'!C:AR,42,)</f>
        <v>1</v>
      </c>
      <c r="U261" s="81">
        <f>VLOOKUP(A:A,'staff sales'!C:AU,45,)</f>
        <v>0</v>
      </c>
      <c r="V261" s="81">
        <f>VLOOKUP(A:A,'staff sales'!C:AX,48,)</f>
        <v>0</v>
      </c>
      <c r="W261" s="81">
        <f>VLOOKUP(A:A,'staff sales'!C:BA,51,)</f>
        <v>0</v>
      </c>
    </row>
    <row r="262" spans="1:23" x14ac:dyDescent="0.25">
      <c r="A262" s="20">
        <v>1014598534</v>
      </c>
      <c r="B262" s="17" t="s">
        <v>1139</v>
      </c>
      <c r="C262" s="18" t="s">
        <v>546</v>
      </c>
      <c r="D262" s="18" t="s">
        <v>546</v>
      </c>
      <c r="E262" s="18" t="s">
        <v>1140</v>
      </c>
      <c r="F262" s="18" t="s">
        <v>1140</v>
      </c>
      <c r="G262" s="18" t="s">
        <v>1218</v>
      </c>
      <c r="H262" s="18" t="s">
        <v>1141</v>
      </c>
      <c r="I262" s="19" t="s">
        <v>890</v>
      </c>
      <c r="J262" s="18">
        <v>75001</v>
      </c>
      <c r="K262" s="80">
        <f>VLOOKUP(A:A,'staff sales'!C:Q,15,)</f>
        <v>89727.01</v>
      </c>
      <c r="L262" s="81">
        <f>VLOOKUP(A:A,'staff sales'!C:T,18,)</f>
        <v>3216.52</v>
      </c>
      <c r="M262" s="81">
        <f>VLOOKUP(A:A,'staff sales'!C:W,21,)</f>
        <v>7821.7300000000005</v>
      </c>
      <c r="N262" s="81">
        <f>VLOOKUP(A:A,'staff sales'!C:Z,24,)</f>
        <v>0</v>
      </c>
      <c r="O262" s="81">
        <f>VLOOKUP(A:A,'staff sales'!C:AC,27,)</f>
        <v>1</v>
      </c>
      <c r="P262" s="81">
        <f>VLOOKUP(A:A,'staff sales'!C:AF,30,)</f>
        <v>0</v>
      </c>
      <c r="Q262" s="81">
        <f>VLOOKUP(A:A,'staff sales'!C:AI,33,)</f>
        <v>35</v>
      </c>
      <c r="R262" s="81">
        <f>VLOOKUP(A:A,'staff sales'!C:AL,36,)</f>
        <v>0</v>
      </c>
      <c r="S262" s="81">
        <f>VLOOKUP(A:A,'staff sales'!C:AO,39,)</f>
        <v>0</v>
      </c>
      <c r="T262" s="81">
        <f>VLOOKUP(A:A,'staff sales'!C:AR,42,)</f>
        <v>2</v>
      </c>
      <c r="U262" s="81">
        <f>VLOOKUP(A:A,'staff sales'!C:AU,45,)</f>
        <v>0</v>
      </c>
      <c r="V262" s="81">
        <f>VLOOKUP(A:A,'staff sales'!C:AX,48,)</f>
        <v>0</v>
      </c>
      <c r="W262" s="81">
        <f>VLOOKUP(A:A,'staff sales'!C:BA,51,)</f>
        <v>3</v>
      </c>
    </row>
    <row r="263" spans="1:23" x14ac:dyDescent="0.25">
      <c r="A263" s="10">
        <v>1077871042</v>
      </c>
      <c r="B263" s="11" t="s">
        <v>911</v>
      </c>
      <c r="C263" s="18" t="s">
        <v>544</v>
      </c>
      <c r="D263" s="18" t="s">
        <v>544</v>
      </c>
      <c r="E263" s="18" t="s">
        <v>912</v>
      </c>
      <c r="F263" s="18" t="s">
        <v>912</v>
      </c>
      <c r="G263" s="18" t="s">
        <v>1218</v>
      </c>
      <c r="H263" s="18" t="s">
        <v>887</v>
      </c>
      <c r="I263" s="19" t="s">
        <v>890</v>
      </c>
      <c r="J263" s="18">
        <v>75001</v>
      </c>
      <c r="K263" s="80">
        <f>VLOOKUP(A:A,'staff sales'!C:Q,15,)</f>
        <v>19998.27</v>
      </c>
      <c r="L263" s="81">
        <f>VLOOKUP(A:A,'staff sales'!C:T,18,)</f>
        <v>833.91</v>
      </c>
      <c r="M263" s="81">
        <f>VLOOKUP(A:A,'staff sales'!C:W,21,)</f>
        <v>3189.13</v>
      </c>
      <c r="N263" s="81">
        <f>VLOOKUP(A:A,'staff sales'!C:Z,24,)</f>
        <v>0</v>
      </c>
      <c r="O263" s="81">
        <f>VLOOKUP(A:A,'staff sales'!C:AC,27,)</f>
        <v>2</v>
      </c>
      <c r="P263" s="81">
        <f>VLOOKUP(A:A,'staff sales'!C:AF,30,)</f>
        <v>0</v>
      </c>
      <c r="Q263" s="81">
        <f>VLOOKUP(A:A,'staff sales'!C:AI,33,)</f>
        <v>7</v>
      </c>
      <c r="R263" s="81">
        <f>VLOOKUP(A:A,'staff sales'!C:AL,36,)</f>
        <v>0</v>
      </c>
      <c r="S263" s="81">
        <f>VLOOKUP(A:A,'staff sales'!C:AO,39,)</f>
        <v>0</v>
      </c>
      <c r="T263" s="81">
        <f>VLOOKUP(A:A,'staff sales'!C:AR,42,)</f>
        <v>1</v>
      </c>
      <c r="U263" s="81">
        <f>VLOOKUP(A:A,'staff sales'!C:AU,45,)</f>
        <v>0</v>
      </c>
      <c r="V263" s="81">
        <f>VLOOKUP(A:A,'staff sales'!C:AX,48,)</f>
        <v>0</v>
      </c>
      <c r="W263" s="81">
        <f>VLOOKUP(A:A,'staff sales'!C:BA,51,)</f>
        <v>1</v>
      </c>
    </row>
    <row r="264" spans="1:23" x14ac:dyDescent="0.25">
      <c r="A264" s="8">
        <v>1043068491</v>
      </c>
      <c r="B264" s="9" t="s">
        <v>913</v>
      </c>
      <c r="C264" s="10" t="s">
        <v>546</v>
      </c>
      <c r="D264" s="10" t="s">
        <v>546</v>
      </c>
      <c r="E264" s="10" t="s">
        <v>914</v>
      </c>
      <c r="F264" s="10" t="s">
        <v>915</v>
      </c>
      <c r="G264" s="10" t="s">
        <v>1218</v>
      </c>
      <c r="H264" s="10" t="s">
        <v>887</v>
      </c>
      <c r="I264" s="11" t="s">
        <v>890</v>
      </c>
      <c r="J264" s="10">
        <v>75001</v>
      </c>
      <c r="K264" s="80">
        <f>VLOOKUP(A:A,'staff sales'!C:Q,15,)</f>
        <v>68565.240000000005</v>
      </c>
      <c r="L264" s="81">
        <f>VLOOKUP(A:A,'staff sales'!C:T,18,)</f>
        <v>8301.74</v>
      </c>
      <c r="M264" s="81">
        <f>VLOOKUP(A:A,'staff sales'!C:W,21,)</f>
        <v>11949.130000000001</v>
      </c>
      <c r="N264" s="81">
        <f>VLOOKUP(A:A,'staff sales'!C:Z,24,)</f>
        <v>0</v>
      </c>
      <c r="O264" s="81">
        <f>VLOOKUP(A:A,'staff sales'!C:AC,27,)</f>
        <v>0</v>
      </c>
      <c r="P264" s="81">
        <f>VLOOKUP(A:A,'staff sales'!C:AF,30,)</f>
        <v>0</v>
      </c>
      <c r="Q264" s="81">
        <f>VLOOKUP(A:A,'staff sales'!C:AI,33,)</f>
        <v>31</v>
      </c>
      <c r="R264" s="81">
        <f>VLOOKUP(A:A,'staff sales'!C:AL,36,)</f>
        <v>0</v>
      </c>
      <c r="S264" s="81">
        <f>VLOOKUP(A:A,'staff sales'!C:AO,39,)</f>
        <v>1</v>
      </c>
      <c r="T264" s="81">
        <f>VLOOKUP(A:A,'staff sales'!C:AR,42,)</f>
        <v>0</v>
      </c>
      <c r="U264" s="81">
        <f>VLOOKUP(A:A,'staff sales'!C:AU,45,)</f>
        <v>0</v>
      </c>
      <c r="V264" s="81">
        <f>VLOOKUP(A:A,'staff sales'!C:AX,48,)</f>
        <v>0</v>
      </c>
      <c r="W264" s="81">
        <f>VLOOKUP(A:A,'staff sales'!C:BA,51,)</f>
        <v>5</v>
      </c>
    </row>
    <row r="265" spans="1:23" x14ac:dyDescent="0.25">
      <c r="A265" s="12">
        <v>1096291222</v>
      </c>
      <c r="B265" s="13" t="s">
        <v>1209</v>
      </c>
      <c r="C265" s="14" t="s">
        <v>546</v>
      </c>
      <c r="D265" s="14" t="s">
        <v>546</v>
      </c>
      <c r="E265" s="14" t="s">
        <v>1210</v>
      </c>
      <c r="F265" s="14" t="s">
        <v>1210</v>
      </c>
      <c r="G265" s="14" t="s">
        <v>1218</v>
      </c>
      <c r="H265" s="14" t="s">
        <v>887</v>
      </c>
      <c r="I265" s="15" t="s">
        <v>890</v>
      </c>
      <c r="J265" s="14">
        <v>75001</v>
      </c>
      <c r="K265" s="80">
        <f>VLOOKUP(A:A,'staff sales'!C:Q,15,)</f>
        <v>135924.4</v>
      </c>
      <c r="L265" s="81">
        <f>VLOOKUP(A:A,'staff sales'!C:T,18,)</f>
        <v>564.35</v>
      </c>
      <c r="M265" s="81">
        <f>VLOOKUP(A:A,'staff sales'!C:W,21,)</f>
        <v>3675.7099999999996</v>
      </c>
      <c r="N265" s="81">
        <f>VLOOKUP(A:A,'staff sales'!C:Z,24,)</f>
        <v>0</v>
      </c>
      <c r="O265" s="81">
        <f>VLOOKUP(A:A,'staff sales'!C:AC,27,)</f>
        <v>0</v>
      </c>
      <c r="P265" s="81">
        <f>VLOOKUP(A:A,'staff sales'!C:AF,30,)</f>
        <v>0</v>
      </c>
      <c r="Q265" s="81">
        <f>VLOOKUP(A:A,'staff sales'!C:AI,33,)</f>
        <v>5</v>
      </c>
      <c r="R265" s="81">
        <f>VLOOKUP(A:A,'staff sales'!C:AL,36,)</f>
        <v>0</v>
      </c>
      <c r="S265" s="81">
        <f>VLOOKUP(A:A,'staff sales'!C:AO,39,)</f>
        <v>0</v>
      </c>
      <c r="T265" s="81">
        <f>VLOOKUP(A:A,'staff sales'!C:AR,42,)</f>
        <v>0</v>
      </c>
      <c r="U265" s="81">
        <f>VLOOKUP(A:A,'staff sales'!C:AU,45,)</f>
        <v>0</v>
      </c>
      <c r="V265" s="81">
        <f>VLOOKUP(A:A,'staff sales'!C:AX,48,)</f>
        <v>0</v>
      </c>
      <c r="W265" s="81">
        <f>VLOOKUP(A:A,'staff sales'!C:BA,51,)</f>
        <v>2</v>
      </c>
    </row>
    <row r="266" spans="1:23" x14ac:dyDescent="0.25">
      <c r="A266" s="20">
        <v>1071620445</v>
      </c>
      <c r="B266" s="17" t="s">
        <v>896</v>
      </c>
      <c r="C266" s="18" t="s">
        <v>546</v>
      </c>
      <c r="D266" s="18" t="s">
        <v>546</v>
      </c>
      <c r="E266" s="18" t="s">
        <v>897</v>
      </c>
      <c r="F266" s="18" t="s">
        <v>898</v>
      </c>
      <c r="G266" s="18" t="s">
        <v>1218</v>
      </c>
      <c r="H266" s="18" t="s">
        <v>887</v>
      </c>
      <c r="I266" s="19" t="s">
        <v>890</v>
      </c>
      <c r="J266" s="18">
        <v>75001</v>
      </c>
      <c r="K266" s="80">
        <f>VLOOKUP(A:A,'staff sales'!C:Q,15,)</f>
        <v>36619.14</v>
      </c>
      <c r="L266" s="81">
        <f>VLOOKUP(A:A,'staff sales'!C:T,18,)</f>
        <v>0</v>
      </c>
      <c r="M266" s="81">
        <f>VLOOKUP(A:A,'staff sales'!C:W,21,)</f>
        <v>1999.1100000000001</v>
      </c>
      <c r="N266" s="81">
        <f>VLOOKUP(A:A,'staff sales'!C:Z,24,)</f>
        <v>0</v>
      </c>
      <c r="O266" s="81">
        <f>VLOOKUP(A:A,'staff sales'!C:AC,27,)</f>
        <v>4</v>
      </c>
      <c r="P266" s="81">
        <f>VLOOKUP(A:A,'staff sales'!C:AF,30,)</f>
        <v>1</v>
      </c>
      <c r="Q266" s="81">
        <f>VLOOKUP(A:A,'staff sales'!C:AI,33,)</f>
        <v>69</v>
      </c>
      <c r="R266" s="81">
        <f>VLOOKUP(A:A,'staff sales'!C:AL,36,)</f>
        <v>2</v>
      </c>
      <c r="S266" s="81">
        <f>VLOOKUP(A:A,'staff sales'!C:AO,39,)</f>
        <v>1</v>
      </c>
      <c r="T266" s="81">
        <f>VLOOKUP(A:A,'staff sales'!C:AR,42,)</f>
        <v>0</v>
      </c>
      <c r="U266" s="81">
        <f>VLOOKUP(A:A,'staff sales'!C:AU,45,)</f>
        <v>0</v>
      </c>
      <c r="V266" s="81">
        <f>VLOOKUP(A:A,'staff sales'!C:AX,48,)</f>
        <v>0</v>
      </c>
      <c r="W266" s="81">
        <f>VLOOKUP(A:A,'staff sales'!C:BA,51,)</f>
        <v>0</v>
      </c>
    </row>
    <row r="267" spans="1:23" x14ac:dyDescent="0.25">
      <c r="A267" s="16">
        <v>1066561158</v>
      </c>
      <c r="B267" s="17" t="s">
        <v>899</v>
      </c>
      <c r="C267" s="18" t="s">
        <v>546</v>
      </c>
      <c r="D267" s="18" t="s">
        <v>546</v>
      </c>
      <c r="E267" s="18" t="s">
        <v>900</v>
      </c>
      <c r="F267" s="18" t="s">
        <v>900</v>
      </c>
      <c r="G267" s="18" t="s">
        <v>1218</v>
      </c>
      <c r="H267" s="18" t="s">
        <v>887</v>
      </c>
      <c r="I267" s="19" t="s">
        <v>890</v>
      </c>
      <c r="J267" s="18">
        <v>75001</v>
      </c>
      <c r="K267" s="80">
        <f>VLOOKUP(A:A,'staff sales'!C:Q,15,)</f>
        <v>90493.07</v>
      </c>
      <c r="L267" s="81">
        <f>VLOOKUP(A:A,'staff sales'!C:T,18,)</f>
        <v>282.61</v>
      </c>
      <c r="M267" s="81">
        <f>VLOOKUP(A:A,'staff sales'!C:W,21,)</f>
        <v>14300.429999999997</v>
      </c>
      <c r="N267" s="81">
        <f>VLOOKUP(A:A,'staff sales'!C:Z,24,)</f>
        <v>0</v>
      </c>
      <c r="O267" s="81">
        <f>VLOOKUP(A:A,'staff sales'!C:AC,27,)</f>
        <v>5</v>
      </c>
      <c r="P267" s="81">
        <f>VLOOKUP(A:A,'staff sales'!C:AF,30,)</f>
        <v>2</v>
      </c>
      <c r="Q267" s="81">
        <f>VLOOKUP(A:A,'staff sales'!C:AI,33,)</f>
        <v>65</v>
      </c>
      <c r="R267" s="81">
        <f>VLOOKUP(A:A,'staff sales'!C:AL,36,)</f>
        <v>1</v>
      </c>
      <c r="S267" s="81">
        <f>VLOOKUP(A:A,'staff sales'!C:AO,39,)</f>
        <v>3</v>
      </c>
      <c r="T267" s="81">
        <f>VLOOKUP(A:A,'staff sales'!C:AR,42,)</f>
        <v>7</v>
      </c>
      <c r="U267" s="81">
        <f>VLOOKUP(A:A,'staff sales'!C:AU,45,)</f>
        <v>0</v>
      </c>
      <c r="V267" s="81">
        <f>VLOOKUP(A:A,'staff sales'!C:AX,48,)</f>
        <v>0</v>
      </c>
      <c r="W267" s="81">
        <f>VLOOKUP(A:A,'staff sales'!C:BA,51,)</f>
        <v>0</v>
      </c>
    </row>
    <row r="268" spans="1:23" x14ac:dyDescent="0.25">
      <c r="A268" s="16">
        <v>1044206983</v>
      </c>
      <c r="B268" s="17" t="s">
        <v>926</v>
      </c>
      <c r="C268" s="18" t="s">
        <v>541</v>
      </c>
      <c r="D268" s="18" t="s">
        <v>541</v>
      </c>
      <c r="E268" s="18" t="s">
        <v>927</v>
      </c>
      <c r="F268" s="18" t="s">
        <v>927</v>
      </c>
      <c r="G268" s="18" t="s">
        <v>1218</v>
      </c>
      <c r="H268" s="18" t="s">
        <v>887</v>
      </c>
      <c r="I268" s="19" t="s">
        <v>928</v>
      </c>
      <c r="J268" s="18">
        <v>75002</v>
      </c>
      <c r="K268" s="80">
        <f>VLOOKUP(A:A,'staff sales'!C:Q,15,)</f>
        <v>0</v>
      </c>
      <c r="L268" s="81">
        <f>VLOOKUP(A:A,'staff sales'!C:T,18,)</f>
        <v>0</v>
      </c>
      <c r="M268" s="81">
        <f>VLOOKUP(A:A,'staff sales'!C:W,21,)</f>
        <v>2025.22</v>
      </c>
      <c r="N268" s="81">
        <f>VLOOKUP(A:A,'staff sales'!C:Z,24,)</f>
        <v>0</v>
      </c>
      <c r="O268" s="81">
        <f>VLOOKUP(A:A,'staff sales'!C:AC,27,)</f>
        <v>0</v>
      </c>
      <c r="P268" s="81">
        <f>VLOOKUP(A:A,'staff sales'!C:AF,30,)</f>
        <v>0</v>
      </c>
      <c r="Q268" s="81">
        <f>VLOOKUP(A:A,'staff sales'!C:AI,33,)</f>
        <v>0</v>
      </c>
      <c r="R268" s="81">
        <f>VLOOKUP(A:A,'staff sales'!C:AL,36,)</f>
        <v>0</v>
      </c>
      <c r="S268" s="81">
        <f>VLOOKUP(A:A,'staff sales'!C:AO,39,)</f>
        <v>0</v>
      </c>
      <c r="T268" s="81">
        <f>VLOOKUP(A:A,'staff sales'!C:AR,42,)</f>
        <v>0</v>
      </c>
      <c r="U268" s="81">
        <f>VLOOKUP(A:A,'staff sales'!C:AU,45,)</f>
        <v>0</v>
      </c>
      <c r="V268" s="81">
        <f>VLOOKUP(A:A,'staff sales'!C:AX,48,)</f>
        <v>0</v>
      </c>
      <c r="W268" s="81">
        <f>VLOOKUP(A:A,'staff sales'!C:BA,51,)</f>
        <v>0</v>
      </c>
    </row>
    <row r="269" spans="1:23" x14ac:dyDescent="0.25">
      <c r="A269" s="16">
        <v>1082650423</v>
      </c>
      <c r="B269" s="17" t="s">
        <v>929</v>
      </c>
      <c r="C269" s="18" t="s">
        <v>546</v>
      </c>
      <c r="D269" s="18" t="s">
        <v>546</v>
      </c>
      <c r="E269" s="18" t="s">
        <v>930</v>
      </c>
      <c r="F269" s="18" t="s">
        <v>930</v>
      </c>
      <c r="G269" s="18" t="s">
        <v>1218</v>
      </c>
      <c r="H269" s="18" t="s">
        <v>887</v>
      </c>
      <c r="I269" s="19" t="s">
        <v>928</v>
      </c>
      <c r="J269" s="18">
        <v>75002</v>
      </c>
      <c r="K269" s="80">
        <f>VLOOKUP(A:A,'staff sales'!C:Q,15,)</f>
        <v>71786.12000000001</v>
      </c>
      <c r="L269" s="81">
        <f>VLOOKUP(A:A,'staff sales'!C:T,18,)</f>
        <v>6433.04</v>
      </c>
      <c r="M269" s="81">
        <f>VLOOKUP(A:A,'staff sales'!C:W,21,)</f>
        <v>8412.17</v>
      </c>
      <c r="N269" s="81">
        <f>VLOOKUP(A:A,'staff sales'!C:Z,24,)</f>
        <v>0</v>
      </c>
      <c r="O269" s="81">
        <f>VLOOKUP(A:A,'staff sales'!C:AC,27,)</f>
        <v>8</v>
      </c>
      <c r="P269" s="81">
        <f>VLOOKUP(A:A,'staff sales'!C:AF,30,)</f>
        <v>0</v>
      </c>
      <c r="Q269" s="81">
        <f>VLOOKUP(A:A,'staff sales'!C:AI,33,)</f>
        <v>26</v>
      </c>
      <c r="R269" s="81">
        <f>VLOOKUP(A:A,'staff sales'!C:AL,36,)</f>
        <v>1</v>
      </c>
      <c r="S269" s="81">
        <f>VLOOKUP(A:A,'staff sales'!C:AO,39,)</f>
        <v>2</v>
      </c>
      <c r="T269" s="81">
        <f>VLOOKUP(A:A,'staff sales'!C:AR,42,)</f>
        <v>5</v>
      </c>
      <c r="U269" s="81">
        <f>VLOOKUP(A:A,'staff sales'!C:AU,45,)</f>
        <v>1</v>
      </c>
      <c r="V269" s="81">
        <f>VLOOKUP(A:A,'staff sales'!C:AX,48,)</f>
        <v>0</v>
      </c>
      <c r="W269" s="81">
        <f>VLOOKUP(A:A,'staff sales'!C:BA,51,)</f>
        <v>2</v>
      </c>
    </row>
    <row r="270" spans="1:23" x14ac:dyDescent="0.25">
      <c r="A270" s="20">
        <v>1055963530</v>
      </c>
      <c r="B270" s="17" t="s">
        <v>931</v>
      </c>
      <c r="C270" s="18" t="s">
        <v>546</v>
      </c>
      <c r="D270" s="18" t="s">
        <v>546</v>
      </c>
      <c r="E270" s="18" t="s">
        <v>932</v>
      </c>
      <c r="F270" s="18" t="s">
        <v>932</v>
      </c>
      <c r="G270" s="18" t="s">
        <v>1218</v>
      </c>
      <c r="H270" s="18" t="s">
        <v>887</v>
      </c>
      <c r="I270" s="19" t="s">
        <v>928</v>
      </c>
      <c r="J270" s="18">
        <v>75002</v>
      </c>
      <c r="K270" s="80">
        <f>VLOOKUP(A:A,'staff sales'!C:Q,15,)</f>
        <v>64833.93</v>
      </c>
      <c r="L270" s="81">
        <f>VLOOKUP(A:A,'staff sales'!C:T,18,)</f>
        <v>0</v>
      </c>
      <c r="M270" s="81">
        <f>VLOOKUP(A:A,'staff sales'!C:W,21,)</f>
        <v>3066.5200000000004</v>
      </c>
      <c r="N270" s="81">
        <f>VLOOKUP(A:A,'staff sales'!C:Z,24,)</f>
        <v>0</v>
      </c>
      <c r="O270" s="81">
        <f>VLOOKUP(A:A,'staff sales'!C:AC,27,)</f>
        <v>4</v>
      </c>
      <c r="P270" s="81">
        <f>VLOOKUP(A:A,'staff sales'!C:AF,30,)</f>
        <v>0</v>
      </c>
      <c r="Q270" s="81">
        <f>VLOOKUP(A:A,'staff sales'!C:AI,33,)</f>
        <v>17</v>
      </c>
      <c r="R270" s="81">
        <f>VLOOKUP(A:A,'staff sales'!C:AL,36,)</f>
        <v>0</v>
      </c>
      <c r="S270" s="81">
        <f>VLOOKUP(A:A,'staff sales'!C:AO,39,)</f>
        <v>2</v>
      </c>
      <c r="T270" s="81">
        <f>VLOOKUP(A:A,'staff sales'!C:AR,42,)</f>
        <v>1</v>
      </c>
      <c r="U270" s="81">
        <f>VLOOKUP(A:A,'staff sales'!C:AU,45,)</f>
        <v>0</v>
      </c>
      <c r="V270" s="81">
        <f>VLOOKUP(A:A,'staff sales'!C:AX,48,)</f>
        <v>0</v>
      </c>
      <c r="W270" s="81">
        <f>VLOOKUP(A:A,'staff sales'!C:BA,51,)</f>
        <v>3</v>
      </c>
    </row>
    <row r="271" spans="1:23" x14ac:dyDescent="0.25">
      <c r="A271" s="16">
        <v>1057426338</v>
      </c>
      <c r="B271" s="17" t="s">
        <v>933</v>
      </c>
      <c r="C271" s="18" t="s">
        <v>546</v>
      </c>
      <c r="D271" s="18" t="s">
        <v>546</v>
      </c>
      <c r="E271" s="18" t="s">
        <v>934</v>
      </c>
      <c r="F271" s="18" t="s">
        <v>935</v>
      </c>
      <c r="G271" s="18" t="s">
        <v>1218</v>
      </c>
      <c r="H271" s="18" t="s">
        <v>887</v>
      </c>
      <c r="I271" s="19" t="s">
        <v>928</v>
      </c>
      <c r="J271" s="18">
        <v>75002</v>
      </c>
      <c r="K271" s="80">
        <f>VLOOKUP(A:A,'staff sales'!C:Q,15,)</f>
        <v>0</v>
      </c>
      <c r="L271" s="81">
        <f>VLOOKUP(A:A,'staff sales'!C:T,18,)</f>
        <v>0</v>
      </c>
      <c r="M271" s="81">
        <f>VLOOKUP(A:A,'staff sales'!C:W,21,)</f>
        <v>0</v>
      </c>
      <c r="N271" s="81">
        <f>VLOOKUP(A:A,'staff sales'!C:Z,24,)</f>
        <v>0</v>
      </c>
      <c r="O271" s="81">
        <f>VLOOKUP(A:A,'staff sales'!C:AC,27,)</f>
        <v>1</v>
      </c>
      <c r="P271" s="81">
        <f>VLOOKUP(A:A,'staff sales'!C:AF,30,)</f>
        <v>0</v>
      </c>
      <c r="Q271" s="81">
        <f>VLOOKUP(A:A,'staff sales'!C:AI,33,)</f>
        <v>0</v>
      </c>
      <c r="R271" s="81">
        <f>VLOOKUP(A:A,'staff sales'!C:AL,36,)</f>
        <v>0</v>
      </c>
      <c r="S271" s="81">
        <f>VLOOKUP(A:A,'staff sales'!C:AO,39,)</f>
        <v>0</v>
      </c>
      <c r="T271" s="81">
        <f>VLOOKUP(A:A,'staff sales'!C:AR,42,)</f>
        <v>0</v>
      </c>
      <c r="U271" s="81">
        <f>VLOOKUP(A:A,'staff sales'!C:AU,45,)</f>
        <v>0</v>
      </c>
      <c r="V271" s="81">
        <f>VLOOKUP(A:A,'staff sales'!C:AX,48,)</f>
        <v>0</v>
      </c>
      <c r="W271" s="81">
        <f>VLOOKUP(A:A,'staff sales'!C:BA,51,)</f>
        <v>0</v>
      </c>
    </row>
    <row r="272" spans="1:23" x14ac:dyDescent="0.25">
      <c r="A272" s="16">
        <v>1014183691</v>
      </c>
      <c r="B272" s="17" t="s">
        <v>936</v>
      </c>
      <c r="C272" s="18" t="s">
        <v>546</v>
      </c>
      <c r="D272" s="18" t="s">
        <v>546</v>
      </c>
      <c r="E272" s="18" t="s">
        <v>937</v>
      </c>
      <c r="F272" s="18" t="s">
        <v>937</v>
      </c>
      <c r="G272" s="18" t="s">
        <v>1218</v>
      </c>
      <c r="H272" s="18" t="s">
        <v>887</v>
      </c>
      <c r="I272" s="19" t="s">
        <v>928</v>
      </c>
      <c r="J272" s="18">
        <v>75002</v>
      </c>
      <c r="K272" s="80">
        <f>VLOOKUP(A:A,'staff sales'!C:Q,15,)</f>
        <v>95881.760000000009</v>
      </c>
      <c r="L272" s="81">
        <f>VLOOKUP(A:A,'staff sales'!C:T,18,)</f>
        <v>10033.040000000001</v>
      </c>
      <c r="M272" s="81">
        <f>VLOOKUP(A:A,'staff sales'!C:W,21,)</f>
        <v>5651.73</v>
      </c>
      <c r="N272" s="81">
        <f>VLOOKUP(A:A,'staff sales'!C:Z,24,)</f>
        <v>0</v>
      </c>
      <c r="O272" s="81">
        <f>VLOOKUP(A:A,'staff sales'!C:AC,27,)</f>
        <v>2</v>
      </c>
      <c r="P272" s="81">
        <f>VLOOKUP(A:A,'staff sales'!C:AF,30,)</f>
        <v>1</v>
      </c>
      <c r="Q272" s="81">
        <f>VLOOKUP(A:A,'staff sales'!C:AI,33,)</f>
        <v>81</v>
      </c>
      <c r="R272" s="81">
        <f>VLOOKUP(A:A,'staff sales'!C:AL,36,)</f>
        <v>0</v>
      </c>
      <c r="S272" s="81">
        <f>VLOOKUP(A:A,'staff sales'!C:AO,39,)</f>
        <v>1</v>
      </c>
      <c r="T272" s="81">
        <f>VLOOKUP(A:A,'staff sales'!C:AR,42,)</f>
        <v>1</v>
      </c>
      <c r="U272" s="81">
        <f>VLOOKUP(A:A,'staff sales'!C:AU,45,)</f>
        <v>4</v>
      </c>
      <c r="V272" s="81">
        <f>VLOOKUP(A:A,'staff sales'!C:AX,48,)</f>
        <v>0</v>
      </c>
      <c r="W272" s="81">
        <f>VLOOKUP(A:A,'staff sales'!C:BA,51,)</f>
        <v>4</v>
      </c>
    </row>
    <row r="273" spans="1:23" x14ac:dyDescent="0.25">
      <c r="A273" s="16">
        <v>1076645744</v>
      </c>
      <c r="B273" s="22" t="s">
        <v>1199</v>
      </c>
      <c r="C273" s="18" t="s">
        <v>546</v>
      </c>
      <c r="D273" s="18" t="s">
        <v>546</v>
      </c>
      <c r="E273" s="18" t="s">
        <v>1200</v>
      </c>
      <c r="F273" s="18" t="s">
        <v>1200</v>
      </c>
      <c r="G273" s="18" t="s">
        <v>1218</v>
      </c>
      <c r="H273" s="18" t="s">
        <v>887</v>
      </c>
      <c r="I273" s="19" t="s">
        <v>928</v>
      </c>
      <c r="J273" s="21">
        <v>75002</v>
      </c>
      <c r="K273" s="80">
        <f>VLOOKUP(A:A,'staff sales'!C:Q,15,)</f>
        <v>93476.55</v>
      </c>
      <c r="L273" s="81">
        <f>VLOOKUP(A:A,'staff sales'!C:T,18,)</f>
        <v>217.4</v>
      </c>
      <c r="M273" s="81">
        <f>VLOOKUP(A:A,'staff sales'!C:W,21,)</f>
        <v>18510.429999999997</v>
      </c>
      <c r="N273" s="81">
        <f>VLOOKUP(A:A,'staff sales'!C:Z,24,)</f>
        <v>0</v>
      </c>
      <c r="O273" s="81">
        <f>VLOOKUP(A:A,'staff sales'!C:AC,27,)</f>
        <v>6</v>
      </c>
      <c r="P273" s="81">
        <f>VLOOKUP(A:A,'staff sales'!C:AF,30,)</f>
        <v>0</v>
      </c>
      <c r="Q273" s="81">
        <f>VLOOKUP(A:A,'staff sales'!C:AI,33,)</f>
        <v>41</v>
      </c>
      <c r="R273" s="81">
        <f>VLOOKUP(A:A,'staff sales'!C:AL,36,)</f>
        <v>1</v>
      </c>
      <c r="S273" s="81">
        <f>VLOOKUP(A:A,'staff sales'!C:AO,39,)</f>
        <v>3</v>
      </c>
      <c r="T273" s="81">
        <f>VLOOKUP(A:A,'staff sales'!C:AR,42,)</f>
        <v>8</v>
      </c>
      <c r="U273" s="81">
        <f>VLOOKUP(A:A,'staff sales'!C:AU,45,)</f>
        <v>1</v>
      </c>
      <c r="V273" s="81">
        <f>VLOOKUP(A:A,'staff sales'!C:AX,48,)</f>
        <v>0</v>
      </c>
      <c r="W273" s="81">
        <f>VLOOKUP(A:A,'staff sales'!C:BA,51,)</f>
        <v>5</v>
      </c>
    </row>
    <row r="274" spans="1:23" x14ac:dyDescent="0.25">
      <c r="A274" s="16">
        <v>1065594846</v>
      </c>
      <c r="B274" s="17" t="s">
        <v>1232</v>
      </c>
      <c r="C274" s="18" t="s">
        <v>546</v>
      </c>
      <c r="D274" s="18" t="s">
        <v>546</v>
      </c>
      <c r="E274" s="18" t="s">
        <v>1233</v>
      </c>
      <c r="F274" s="18" t="s">
        <v>1233</v>
      </c>
      <c r="G274" s="18" t="s">
        <v>1218</v>
      </c>
      <c r="H274" s="18" t="s">
        <v>887</v>
      </c>
      <c r="I274" s="19" t="s">
        <v>928</v>
      </c>
      <c r="J274" s="18">
        <v>75002</v>
      </c>
      <c r="K274" s="80">
        <f>VLOOKUP(A:A,'staff sales'!C:Q,15,)</f>
        <v>62597.420000000013</v>
      </c>
      <c r="L274" s="81">
        <f>VLOOKUP(A:A,'staff sales'!C:T,18,)</f>
        <v>565.22</v>
      </c>
      <c r="M274" s="81">
        <f>VLOOKUP(A:A,'staff sales'!C:W,21,)</f>
        <v>5780.87</v>
      </c>
      <c r="N274" s="81">
        <f>VLOOKUP(A:A,'staff sales'!C:Z,24,)</f>
        <v>0</v>
      </c>
      <c r="O274" s="81">
        <f>VLOOKUP(A:A,'staff sales'!C:AC,27,)</f>
        <v>1</v>
      </c>
      <c r="P274" s="81">
        <f>VLOOKUP(A:A,'staff sales'!C:AF,30,)</f>
        <v>0</v>
      </c>
      <c r="Q274" s="81">
        <f>VLOOKUP(A:A,'staff sales'!C:AI,33,)</f>
        <v>45</v>
      </c>
      <c r="R274" s="81">
        <f>VLOOKUP(A:A,'staff sales'!C:AL,36,)</f>
        <v>0</v>
      </c>
      <c r="S274" s="81">
        <f>VLOOKUP(A:A,'staff sales'!C:AO,39,)</f>
        <v>0</v>
      </c>
      <c r="T274" s="81">
        <f>VLOOKUP(A:A,'staff sales'!C:AR,42,)</f>
        <v>2</v>
      </c>
      <c r="U274" s="81">
        <f>VLOOKUP(A:A,'staff sales'!C:AU,45,)</f>
        <v>0</v>
      </c>
      <c r="V274" s="81">
        <f>VLOOKUP(A:A,'staff sales'!C:AX,48,)</f>
        <v>0</v>
      </c>
      <c r="W274" s="81">
        <f>VLOOKUP(A:A,'staff sales'!C:BA,51,)</f>
        <v>2</v>
      </c>
    </row>
    <row r="275" spans="1:23" x14ac:dyDescent="0.25">
      <c r="A275" s="8">
        <v>1013024524</v>
      </c>
      <c r="B275" s="9" t="s">
        <v>940</v>
      </c>
      <c r="C275" s="10" t="s">
        <v>541</v>
      </c>
      <c r="D275" s="10" t="s">
        <v>541</v>
      </c>
      <c r="E275" s="10" t="s">
        <v>941</v>
      </c>
      <c r="F275" s="10" t="s">
        <v>941</v>
      </c>
      <c r="G275" s="10" t="s">
        <v>1218</v>
      </c>
      <c r="H275" s="10" t="s">
        <v>887</v>
      </c>
      <c r="I275" s="11" t="s">
        <v>942</v>
      </c>
      <c r="J275" s="10">
        <v>75013</v>
      </c>
      <c r="K275" s="80">
        <f>VLOOKUP(A:A,'staff sales'!C:Q,15,)</f>
        <v>0</v>
      </c>
      <c r="L275" s="81">
        <f>VLOOKUP(A:A,'staff sales'!C:T,18,)</f>
        <v>0</v>
      </c>
      <c r="M275" s="81">
        <f>VLOOKUP(A:A,'staff sales'!C:W,21,)</f>
        <v>0</v>
      </c>
      <c r="N275" s="81">
        <f>VLOOKUP(A:A,'staff sales'!C:Z,24,)</f>
        <v>0</v>
      </c>
      <c r="O275" s="81">
        <f>VLOOKUP(A:A,'staff sales'!C:AC,27,)</f>
        <v>0</v>
      </c>
      <c r="P275" s="81">
        <f>VLOOKUP(A:A,'staff sales'!C:AF,30,)</f>
        <v>0</v>
      </c>
      <c r="Q275" s="81">
        <f>VLOOKUP(A:A,'staff sales'!C:AI,33,)</f>
        <v>0</v>
      </c>
      <c r="R275" s="81">
        <f>VLOOKUP(A:A,'staff sales'!C:AL,36,)</f>
        <v>0</v>
      </c>
      <c r="S275" s="81">
        <f>VLOOKUP(A:A,'staff sales'!C:AO,39,)</f>
        <v>0</v>
      </c>
      <c r="T275" s="81">
        <f>VLOOKUP(A:A,'staff sales'!C:AR,42,)</f>
        <v>0</v>
      </c>
      <c r="U275" s="81">
        <f>VLOOKUP(A:A,'staff sales'!C:AU,45,)</f>
        <v>0</v>
      </c>
      <c r="V275" s="81">
        <f>VLOOKUP(A:A,'staff sales'!C:AX,48,)</f>
        <v>0</v>
      </c>
      <c r="W275" s="81">
        <f>VLOOKUP(A:A,'staff sales'!C:BA,51,)</f>
        <v>0</v>
      </c>
    </row>
    <row r="276" spans="1:23" x14ac:dyDescent="0.25">
      <c r="A276" s="16">
        <v>1067104255</v>
      </c>
      <c r="B276" s="17" t="s">
        <v>943</v>
      </c>
      <c r="C276" s="18" t="s">
        <v>544</v>
      </c>
      <c r="D276" s="18" t="s">
        <v>544</v>
      </c>
      <c r="E276" s="18" t="s">
        <v>944</v>
      </c>
      <c r="F276" s="18" t="s">
        <v>945</v>
      </c>
      <c r="G276" s="18" t="s">
        <v>1218</v>
      </c>
      <c r="H276" s="18" t="s">
        <v>887</v>
      </c>
      <c r="I276" s="19" t="s">
        <v>942</v>
      </c>
      <c r="J276" s="18">
        <v>75013</v>
      </c>
      <c r="K276" s="80">
        <f>VLOOKUP(A:A,'staff sales'!C:Q,15,)</f>
        <v>0</v>
      </c>
      <c r="L276" s="81">
        <f>VLOOKUP(A:A,'staff sales'!C:T,18,)</f>
        <v>0</v>
      </c>
      <c r="M276" s="81">
        <f>VLOOKUP(A:A,'staff sales'!C:W,21,)</f>
        <v>0</v>
      </c>
      <c r="N276" s="81">
        <f>VLOOKUP(A:A,'staff sales'!C:Z,24,)</f>
        <v>0</v>
      </c>
      <c r="O276" s="81">
        <f>VLOOKUP(A:A,'staff sales'!C:AC,27,)</f>
        <v>0</v>
      </c>
      <c r="P276" s="81">
        <f>VLOOKUP(A:A,'staff sales'!C:AF,30,)</f>
        <v>0</v>
      </c>
      <c r="Q276" s="81">
        <f>VLOOKUP(A:A,'staff sales'!C:AI,33,)</f>
        <v>11</v>
      </c>
      <c r="R276" s="81">
        <f>VLOOKUP(A:A,'staff sales'!C:AL,36,)</f>
        <v>0</v>
      </c>
      <c r="S276" s="81">
        <f>VLOOKUP(A:A,'staff sales'!C:AO,39,)</f>
        <v>0</v>
      </c>
      <c r="T276" s="81">
        <f>VLOOKUP(A:A,'staff sales'!C:AR,42,)</f>
        <v>0</v>
      </c>
      <c r="U276" s="81">
        <f>VLOOKUP(A:A,'staff sales'!C:AU,45,)</f>
        <v>0</v>
      </c>
      <c r="V276" s="81">
        <f>VLOOKUP(A:A,'staff sales'!C:AX,48,)</f>
        <v>0</v>
      </c>
      <c r="W276" s="81">
        <f>VLOOKUP(A:A,'staff sales'!C:BA,51,)</f>
        <v>0</v>
      </c>
    </row>
    <row r="277" spans="1:23" x14ac:dyDescent="0.25">
      <c r="A277" s="20">
        <v>1038280812</v>
      </c>
      <c r="B277" s="17" t="s">
        <v>946</v>
      </c>
      <c r="C277" s="18" t="s">
        <v>546</v>
      </c>
      <c r="D277" s="18" t="s">
        <v>546</v>
      </c>
      <c r="E277" s="18" t="s">
        <v>947</v>
      </c>
      <c r="F277" s="18" t="s">
        <v>947</v>
      </c>
      <c r="G277" s="18" t="s">
        <v>1218</v>
      </c>
      <c r="H277" s="18" t="s">
        <v>887</v>
      </c>
      <c r="I277" s="19" t="s">
        <v>942</v>
      </c>
      <c r="J277" s="18">
        <v>75013</v>
      </c>
      <c r="K277" s="80">
        <f>VLOOKUP(A:A,'staff sales'!C:Q,15,)</f>
        <v>129585.30000000002</v>
      </c>
      <c r="L277" s="81">
        <f>VLOOKUP(A:A,'staff sales'!C:T,18,)</f>
        <v>503.48</v>
      </c>
      <c r="M277" s="81">
        <f>VLOOKUP(A:A,'staff sales'!C:W,21,)</f>
        <v>18773.429999999993</v>
      </c>
      <c r="N277" s="81">
        <f>VLOOKUP(A:A,'staff sales'!C:Z,24,)</f>
        <v>0</v>
      </c>
      <c r="O277" s="81">
        <f>VLOOKUP(A:A,'staff sales'!C:AC,27,)</f>
        <v>3</v>
      </c>
      <c r="P277" s="81">
        <f>VLOOKUP(A:A,'staff sales'!C:AF,30,)</f>
        <v>1</v>
      </c>
      <c r="Q277" s="81">
        <f>VLOOKUP(A:A,'staff sales'!C:AI,33,)</f>
        <v>48</v>
      </c>
      <c r="R277" s="81">
        <f>VLOOKUP(A:A,'staff sales'!C:AL,36,)</f>
        <v>0</v>
      </c>
      <c r="S277" s="81">
        <f>VLOOKUP(A:A,'staff sales'!C:AO,39,)</f>
        <v>0</v>
      </c>
      <c r="T277" s="81">
        <f>VLOOKUP(A:A,'staff sales'!C:AR,42,)</f>
        <v>4</v>
      </c>
      <c r="U277" s="81">
        <f>VLOOKUP(A:A,'staff sales'!C:AU,45,)</f>
        <v>13</v>
      </c>
      <c r="V277" s="81">
        <f>VLOOKUP(A:A,'staff sales'!C:AX,48,)</f>
        <v>0</v>
      </c>
      <c r="W277" s="81">
        <f>VLOOKUP(A:A,'staff sales'!C:BA,51,)</f>
        <v>4</v>
      </c>
    </row>
    <row r="278" spans="1:23" x14ac:dyDescent="0.25">
      <c r="A278" s="16">
        <v>1014647729</v>
      </c>
      <c r="B278" s="17" t="s">
        <v>948</v>
      </c>
      <c r="C278" s="18" t="s">
        <v>546</v>
      </c>
      <c r="D278" s="18" t="s">
        <v>546</v>
      </c>
      <c r="E278" s="18" t="s">
        <v>949</v>
      </c>
      <c r="F278" s="18" t="s">
        <v>949</v>
      </c>
      <c r="G278" s="18" t="s">
        <v>1218</v>
      </c>
      <c r="H278" s="18" t="s">
        <v>887</v>
      </c>
      <c r="I278" s="19" t="s">
        <v>942</v>
      </c>
      <c r="J278" s="18">
        <v>75013</v>
      </c>
      <c r="K278" s="80">
        <f>VLOOKUP(A:A,'staff sales'!C:Q,15,)</f>
        <v>107000.92</v>
      </c>
      <c r="L278" s="81">
        <f>VLOOKUP(A:A,'staff sales'!C:T,18,)</f>
        <v>6715.65</v>
      </c>
      <c r="M278" s="81">
        <f>VLOOKUP(A:A,'staff sales'!C:W,21,)</f>
        <v>12925.23</v>
      </c>
      <c r="N278" s="81">
        <f>VLOOKUP(A:A,'staff sales'!C:Z,24,)</f>
        <v>598</v>
      </c>
      <c r="O278" s="81">
        <f>VLOOKUP(A:A,'staff sales'!C:AC,27,)</f>
        <v>1</v>
      </c>
      <c r="P278" s="81">
        <f>VLOOKUP(A:A,'staff sales'!C:AF,30,)</f>
        <v>0</v>
      </c>
      <c r="Q278" s="81">
        <f>VLOOKUP(A:A,'staff sales'!C:AI,33,)</f>
        <v>85</v>
      </c>
      <c r="R278" s="81">
        <f>VLOOKUP(A:A,'staff sales'!C:AL,36,)</f>
        <v>2</v>
      </c>
      <c r="S278" s="81">
        <f>VLOOKUP(A:A,'staff sales'!C:AO,39,)</f>
        <v>2</v>
      </c>
      <c r="T278" s="81">
        <f>VLOOKUP(A:A,'staff sales'!C:AR,42,)</f>
        <v>2</v>
      </c>
      <c r="U278" s="81">
        <f>VLOOKUP(A:A,'staff sales'!C:AU,45,)</f>
        <v>0</v>
      </c>
      <c r="V278" s="81">
        <f>VLOOKUP(A:A,'staff sales'!C:AX,48,)</f>
        <v>0</v>
      </c>
      <c r="W278" s="81">
        <f>VLOOKUP(A:A,'staff sales'!C:BA,51,)</f>
        <v>1</v>
      </c>
    </row>
    <row r="279" spans="1:23" x14ac:dyDescent="0.25">
      <c r="A279" s="16">
        <v>1081085134</v>
      </c>
      <c r="B279" s="17" t="s">
        <v>1204</v>
      </c>
      <c r="C279" s="18" t="s">
        <v>546</v>
      </c>
      <c r="D279" s="18" t="s">
        <v>546</v>
      </c>
      <c r="E279" s="18" t="s">
        <v>1205</v>
      </c>
      <c r="F279" s="18" t="s">
        <v>1205</v>
      </c>
      <c r="G279" s="18" t="s">
        <v>1218</v>
      </c>
      <c r="H279" s="18" t="s">
        <v>887</v>
      </c>
      <c r="I279" s="19" t="s">
        <v>942</v>
      </c>
      <c r="J279" s="18">
        <v>75013</v>
      </c>
      <c r="K279" s="80">
        <f>VLOOKUP(A:A,'staff sales'!C:Q,15,)</f>
        <v>1800</v>
      </c>
      <c r="L279" s="81">
        <f>VLOOKUP(A:A,'staff sales'!C:T,18,)</f>
        <v>0</v>
      </c>
      <c r="M279" s="81">
        <f>VLOOKUP(A:A,'staff sales'!C:W,21,)</f>
        <v>0</v>
      </c>
      <c r="N279" s="81">
        <f>VLOOKUP(A:A,'staff sales'!C:Z,24,)</f>
        <v>0</v>
      </c>
      <c r="O279" s="81">
        <f>VLOOKUP(A:A,'staff sales'!C:AC,27,)</f>
        <v>0</v>
      </c>
      <c r="P279" s="81">
        <f>VLOOKUP(A:A,'staff sales'!C:AF,30,)</f>
        <v>0</v>
      </c>
      <c r="Q279" s="81">
        <f>VLOOKUP(A:A,'staff sales'!C:AI,33,)</f>
        <v>1</v>
      </c>
      <c r="R279" s="81">
        <f>VLOOKUP(A:A,'staff sales'!C:AL,36,)</f>
        <v>0</v>
      </c>
      <c r="S279" s="81">
        <f>VLOOKUP(A:A,'staff sales'!C:AO,39,)</f>
        <v>0</v>
      </c>
      <c r="T279" s="81">
        <f>VLOOKUP(A:A,'staff sales'!C:AR,42,)</f>
        <v>0</v>
      </c>
      <c r="U279" s="81">
        <f>VLOOKUP(A:A,'staff sales'!C:AU,45,)</f>
        <v>0</v>
      </c>
      <c r="V279" s="81">
        <f>VLOOKUP(A:A,'staff sales'!C:AX,48,)</f>
        <v>0</v>
      </c>
      <c r="W279" s="81">
        <f>VLOOKUP(A:A,'staff sales'!C:BA,51,)</f>
        <v>0</v>
      </c>
    </row>
    <row r="280" spans="1:23" x14ac:dyDescent="0.25">
      <c r="A280" s="16">
        <v>1023949876</v>
      </c>
      <c r="B280" s="17" t="s">
        <v>922</v>
      </c>
      <c r="C280" s="18" t="s">
        <v>544</v>
      </c>
      <c r="D280" s="18" t="s">
        <v>544</v>
      </c>
      <c r="E280" s="18" t="s">
        <v>923</v>
      </c>
      <c r="F280" s="18" t="s">
        <v>923</v>
      </c>
      <c r="G280" s="18" t="s">
        <v>1218</v>
      </c>
      <c r="H280" s="18" t="s">
        <v>887</v>
      </c>
      <c r="I280" s="19" t="s">
        <v>942</v>
      </c>
      <c r="J280" s="18">
        <v>75013</v>
      </c>
      <c r="K280" s="80">
        <f>VLOOKUP(A:A,'staff sales'!C:Q,15,)</f>
        <v>2694.78</v>
      </c>
      <c r="L280" s="81">
        <f>VLOOKUP(A:A,'staff sales'!C:T,18,)</f>
        <v>0</v>
      </c>
      <c r="M280" s="81">
        <f>VLOOKUP(A:A,'staff sales'!C:W,21,)</f>
        <v>199.13</v>
      </c>
      <c r="N280" s="81">
        <f>VLOOKUP(A:A,'staff sales'!C:Z,24,)</f>
        <v>0</v>
      </c>
      <c r="O280" s="81">
        <f>VLOOKUP(A:A,'staff sales'!C:AC,27,)</f>
        <v>1</v>
      </c>
      <c r="P280" s="81">
        <f>VLOOKUP(A:A,'staff sales'!C:AF,30,)</f>
        <v>0</v>
      </c>
      <c r="Q280" s="81">
        <f>VLOOKUP(A:A,'staff sales'!C:AI,33,)</f>
        <v>27</v>
      </c>
      <c r="R280" s="81">
        <f>VLOOKUP(A:A,'staff sales'!C:AL,36,)</f>
        <v>0</v>
      </c>
      <c r="S280" s="81">
        <f>VLOOKUP(A:A,'staff sales'!C:AO,39,)</f>
        <v>0</v>
      </c>
      <c r="T280" s="81">
        <f>VLOOKUP(A:A,'staff sales'!C:AR,42,)</f>
        <v>0</v>
      </c>
      <c r="U280" s="81">
        <f>VLOOKUP(A:A,'staff sales'!C:AU,45,)</f>
        <v>0</v>
      </c>
      <c r="V280" s="81">
        <f>VLOOKUP(A:A,'staff sales'!C:AX,48,)</f>
        <v>0</v>
      </c>
      <c r="W280" s="81">
        <f>VLOOKUP(A:A,'staff sales'!C:BA,51,)</f>
        <v>0</v>
      </c>
    </row>
    <row r="281" spans="1:23" x14ac:dyDescent="0.25">
      <c r="A281" s="16">
        <v>1031350323</v>
      </c>
      <c r="B281" s="17" t="s">
        <v>950</v>
      </c>
      <c r="C281" s="18" t="s">
        <v>546</v>
      </c>
      <c r="D281" s="18" t="s">
        <v>546</v>
      </c>
      <c r="E281" s="18" t="s">
        <v>951</v>
      </c>
      <c r="F281" s="18" t="s">
        <v>951</v>
      </c>
      <c r="G281" s="18" t="s">
        <v>1218</v>
      </c>
      <c r="H281" s="18" t="s">
        <v>887</v>
      </c>
      <c r="I281" s="19" t="s">
        <v>942</v>
      </c>
      <c r="J281" s="18">
        <v>75013</v>
      </c>
      <c r="K281" s="80">
        <f>VLOOKUP(A:A,'staff sales'!C:Q,15,)</f>
        <v>94459.180000000022</v>
      </c>
      <c r="L281" s="81">
        <f>VLOOKUP(A:A,'staff sales'!C:T,18,)</f>
        <v>3216.52</v>
      </c>
      <c r="M281" s="81">
        <f>VLOOKUP(A:A,'staff sales'!C:W,21,)</f>
        <v>30102.2</v>
      </c>
      <c r="N281" s="81">
        <f>VLOOKUP(A:A,'staff sales'!C:Z,24,)</f>
        <v>399</v>
      </c>
      <c r="O281" s="81">
        <f>VLOOKUP(A:A,'staff sales'!C:AC,27,)</f>
        <v>2</v>
      </c>
      <c r="P281" s="81">
        <f>VLOOKUP(A:A,'staff sales'!C:AF,30,)</f>
        <v>2</v>
      </c>
      <c r="Q281" s="81">
        <f>VLOOKUP(A:A,'staff sales'!C:AI,33,)</f>
        <v>26</v>
      </c>
      <c r="R281" s="81">
        <f>VLOOKUP(A:A,'staff sales'!C:AL,36,)</f>
        <v>0</v>
      </c>
      <c r="S281" s="81">
        <f>VLOOKUP(A:A,'staff sales'!C:AO,39,)</f>
        <v>0</v>
      </c>
      <c r="T281" s="81">
        <f>VLOOKUP(A:A,'staff sales'!C:AR,42,)</f>
        <v>3</v>
      </c>
      <c r="U281" s="81">
        <f>VLOOKUP(A:A,'staff sales'!C:AU,45,)</f>
        <v>4</v>
      </c>
      <c r="V281" s="81">
        <f>VLOOKUP(A:A,'staff sales'!C:AX,48,)</f>
        <v>2</v>
      </c>
      <c r="W281" s="81">
        <f>VLOOKUP(A:A,'staff sales'!C:BA,51,)</f>
        <v>5</v>
      </c>
    </row>
    <row r="282" spans="1:23" x14ac:dyDescent="0.25">
      <c r="A282" s="16">
        <v>1055097867</v>
      </c>
      <c r="B282" s="17" t="s">
        <v>924</v>
      </c>
      <c r="C282" s="18" t="s">
        <v>546</v>
      </c>
      <c r="D282" s="18" t="s">
        <v>546</v>
      </c>
      <c r="E282" s="18" t="s">
        <v>925</v>
      </c>
      <c r="F282" s="18" t="s">
        <v>925</v>
      </c>
      <c r="G282" s="18" t="s">
        <v>1218</v>
      </c>
      <c r="H282" s="18" t="s">
        <v>887</v>
      </c>
      <c r="I282" s="19" t="s">
        <v>942</v>
      </c>
      <c r="J282" s="21">
        <v>75013</v>
      </c>
      <c r="K282" s="80">
        <f>VLOOKUP(A:A,'staff sales'!C:Q,15,)</f>
        <v>106686.16</v>
      </c>
      <c r="L282" s="81">
        <f>VLOOKUP(A:A,'staff sales'!C:T,18,)</f>
        <v>90898.23</v>
      </c>
      <c r="M282" s="81">
        <f>VLOOKUP(A:A,'staff sales'!C:W,21,)</f>
        <v>31053.07</v>
      </c>
      <c r="N282" s="81">
        <f>VLOOKUP(A:A,'staff sales'!C:Z,24,)</f>
        <v>0</v>
      </c>
      <c r="O282" s="81">
        <f>VLOOKUP(A:A,'staff sales'!C:AC,27,)</f>
        <v>0</v>
      </c>
      <c r="P282" s="81">
        <f>VLOOKUP(A:A,'staff sales'!C:AF,30,)</f>
        <v>0</v>
      </c>
      <c r="Q282" s="81">
        <f>VLOOKUP(A:A,'staff sales'!C:AI,33,)</f>
        <v>21</v>
      </c>
      <c r="R282" s="81">
        <f>VLOOKUP(A:A,'staff sales'!C:AL,36,)</f>
        <v>0</v>
      </c>
      <c r="S282" s="81">
        <f>VLOOKUP(A:A,'staff sales'!C:AO,39,)</f>
        <v>1</v>
      </c>
      <c r="T282" s="81">
        <f>VLOOKUP(A:A,'staff sales'!C:AR,42,)</f>
        <v>4</v>
      </c>
      <c r="U282" s="81">
        <f>VLOOKUP(A:A,'staff sales'!C:AU,45,)</f>
        <v>0</v>
      </c>
      <c r="V282" s="81">
        <f>VLOOKUP(A:A,'staff sales'!C:AX,48,)</f>
        <v>0</v>
      </c>
      <c r="W282" s="81">
        <f>VLOOKUP(A:A,'staff sales'!C:BA,51,)</f>
        <v>14</v>
      </c>
    </row>
    <row r="283" spans="1:23" x14ac:dyDescent="0.25">
      <c r="A283" s="8">
        <v>1086972583</v>
      </c>
      <c r="B283" s="9" t="s">
        <v>952</v>
      </c>
      <c r="C283" s="10" t="s">
        <v>546</v>
      </c>
      <c r="D283" s="10" t="s">
        <v>546</v>
      </c>
      <c r="E283" s="10" t="s">
        <v>953</v>
      </c>
      <c r="F283" s="10" t="s">
        <v>953</v>
      </c>
      <c r="G283" s="10" t="s">
        <v>1218</v>
      </c>
      <c r="H283" s="10" t="s">
        <v>887</v>
      </c>
      <c r="I283" s="11" t="s">
        <v>942</v>
      </c>
      <c r="J283" s="10">
        <v>75013</v>
      </c>
      <c r="K283" s="80">
        <f>VLOOKUP(A:A,'staff sales'!C:Q,15,)</f>
        <v>4867.83</v>
      </c>
      <c r="L283" s="81">
        <f>VLOOKUP(A:A,'staff sales'!C:T,18,)</f>
        <v>0</v>
      </c>
      <c r="M283" s="81">
        <f>VLOOKUP(A:A,'staff sales'!C:W,21,)</f>
        <v>1069.1300000000001</v>
      </c>
      <c r="N283" s="81">
        <f>VLOOKUP(A:A,'staff sales'!C:Z,24,)</f>
        <v>0</v>
      </c>
      <c r="O283" s="81">
        <f>VLOOKUP(A:A,'staff sales'!C:AC,27,)</f>
        <v>1</v>
      </c>
      <c r="P283" s="81">
        <f>VLOOKUP(A:A,'staff sales'!C:AF,30,)</f>
        <v>1</v>
      </c>
      <c r="Q283" s="81">
        <f>VLOOKUP(A:A,'staff sales'!C:AI,33,)</f>
        <v>8</v>
      </c>
      <c r="R283" s="81">
        <f>VLOOKUP(A:A,'staff sales'!C:AL,36,)</f>
        <v>0</v>
      </c>
      <c r="S283" s="81">
        <f>VLOOKUP(A:A,'staff sales'!C:AO,39,)</f>
        <v>0</v>
      </c>
      <c r="T283" s="81">
        <f>VLOOKUP(A:A,'staff sales'!C:AR,42,)</f>
        <v>1</v>
      </c>
      <c r="U283" s="81">
        <f>VLOOKUP(A:A,'staff sales'!C:AU,45,)</f>
        <v>0</v>
      </c>
      <c r="V283" s="81">
        <f>VLOOKUP(A:A,'staff sales'!C:AX,48,)</f>
        <v>0</v>
      </c>
      <c r="W283" s="81">
        <f>VLOOKUP(A:A,'staff sales'!C:BA,51,)</f>
        <v>0</v>
      </c>
    </row>
    <row r="284" spans="1:23" x14ac:dyDescent="0.25">
      <c r="A284" s="16">
        <v>1073706283</v>
      </c>
      <c r="B284" s="17" t="s">
        <v>954</v>
      </c>
      <c r="C284" s="18" t="s">
        <v>541</v>
      </c>
      <c r="D284" s="18" t="s">
        <v>541</v>
      </c>
      <c r="E284" s="18" t="s">
        <v>955</v>
      </c>
      <c r="F284" s="18" t="s">
        <v>955</v>
      </c>
      <c r="G284" s="18" t="s">
        <v>1218</v>
      </c>
      <c r="H284" s="18" t="s">
        <v>887</v>
      </c>
      <c r="I284" s="19" t="s">
        <v>956</v>
      </c>
      <c r="J284" s="18">
        <v>75014</v>
      </c>
      <c r="K284" s="80">
        <f>VLOOKUP(A:A,'staff sales'!C:Q,15,)</f>
        <v>4346.96</v>
      </c>
      <c r="L284" s="81">
        <f>VLOOKUP(A:A,'staff sales'!C:T,18,)</f>
        <v>0</v>
      </c>
      <c r="M284" s="81">
        <f>VLOOKUP(A:A,'staff sales'!C:W,21,)</f>
        <v>68.7</v>
      </c>
      <c r="N284" s="81">
        <f>VLOOKUP(A:A,'staff sales'!C:Z,24,)</f>
        <v>0</v>
      </c>
      <c r="O284" s="81">
        <f>VLOOKUP(A:A,'staff sales'!C:AC,27,)</f>
        <v>0</v>
      </c>
      <c r="P284" s="81">
        <f>VLOOKUP(A:A,'staff sales'!C:AF,30,)</f>
        <v>0</v>
      </c>
      <c r="Q284" s="81">
        <f>VLOOKUP(A:A,'staff sales'!C:AI,33,)</f>
        <v>0</v>
      </c>
      <c r="R284" s="81">
        <f>VLOOKUP(A:A,'staff sales'!C:AL,36,)</f>
        <v>0</v>
      </c>
      <c r="S284" s="81">
        <f>VLOOKUP(A:A,'staff sales'!C:AO,39,)</f>
        <v>0</v>
      </c>
      <c r="T284" s="81">
        <f>VLOOKUP(A:A,'staff sales'!C:AR,42,)</f>
        <v>0</v>
      </c>
      <c r="U284" s="81">
        <f>VLOOKUP(A:A,'staff sales'!C:AU,45,)</f>
        <v>0</v>
      </c>
      <c r="V284" s="81">
        <f>VLOOKUP(A:A,'staff sales'!C:AX,48,)</f>
        <v>0</v>
      </c>
      <c r="W284" s="81">
        <f>VLOOKUP(A:A,'staff sales'!C:BA,51,)</f>
        <v>0</v>
      </c>
    </row>
    <row r="285" spans="1:23" x14ac:dyDescent="0.25">
      <c r="A285" s="16">
        <v>1067351799</v>
      </c>
      <c r="B285" s="17" t="s">
        <v>957</v>
      </c>
      <c r="C285" s="18" t="s">
        <v>546</v>
      </c>
      <c r="D285" s="18" t="s">
        <v>546</v>
      </c>
      <c r="E285" s="18" t="s">
        <v>958</v>
      </c>
      <c r="F285" s="18" t="s">
        <v>959</v>
      </c>
      <c r="G285" s="18" t="s">
        <v>1218</v>
      </c>
      <c r="H285" s="18" t="s">
        <v>887</v>
      </c>
      <c r="I285" s="19" t="s">
        <v>960</v>
      </c>
      <c r="J285" s="18">
        <v>75014</v>
      </c>
      <c r="K285" s="80">
        <f>VLOOKUP(A:A,'staff sales'!C:Q,15,)</f>
        <v>12320.01</v>
      </c>
      <c r="L285" s="81">
        <f>VLOOKUP(A:A,'staff sales'!C:T,18,)</f>
        <v>720.87</v>
      </c>
      <c r="M285" s="81">
        <f>VLOOKUP(A:A,'staff sales'!C:W,21,)</f>
        <v>3006.08</v>
      </c>
      <c r="N285" s="81">
        <f>VLOOKUP(A:A,'staff sales'!C:Z,24,)</f>
        <v>0</v>
      </c>
      <c r="O285" s="81">
        <f>VLOOKUP(A:A,'staff sales'!C:AC,27,)</f>
        <v>3</v>
      </c>
      <c r="P285" s="81">
        <f>VLOOKUP(A:A,'staff sales'!C:AF,30,)</f>
        <v>0</v>
      </c>
      <c r="Q285" s="81">
        <f>VLOOKUP(A:A,'staff sales'!C:AI,33,)</f>
        <v>28</v>
      </c>
      <c r="R285" s="81">
        <f>VLOOKUP(A:A,'staff sales'!C:AL,36,)</f>
        <v>0</v>
      </c>
      <c r="S285" s="81">
        <f>VLOOKUP(A:A,'staff sales'!C:AO,39,)</f>
        <v>2</v>
      </c>
      <c r="T285" s="81">
        <f>VLOOKUP(A:A,'staff sales'!C:AR,42,)</f>
        <v>2</v>
      </c>
      <c r="U285" s="81">
        <f>VLOOKUP(A:A,'staff sales'!C:AU,45,)</f>
        <v>0</v>
      </c>
      <c r="V285" s="81">
        <f>VLOOKUP(A:A,'staff sales'!C:AX,48,)</f>
        <v>0</v>
      </c>
      <c r="W285" s="81">
        <f>VLOOKUP(A:A,'staff sales'!C:BA,51,)</f>
        <v>0</v>
      </c>
    </row>
    <row r="286" spans="1:23" x14ac:dyDescent="0.25">
      <c r="A286" s="16">
        <v>1061974265</v>
      </c>
      <c r="B286" s="17" t="s">
        <v>961</v>
      </c>
      <c r="C286" s="18" t="s">
        <v>546</v>
      </c>
      <c r="D286" s="18" t="s">
        <v>546</v>
      </c>
      <c r="E286" s="18" t="s">
        <v>962</v>
      </c>
      <c r="F286" s="18" t="s">
        <v>963</v>
      </c>
      <c r="G286" s="18" t="s">
        <v>1218</v>
      </c>
      <c r="H286" s="18" t="s">
        <v>887</v>
      </c>
      <c r="I286" s="19" t="s">
        <v>960</v>
      </c>
      <c r="J286" s="18">
        <v>75014</v>
      </c>
      <c r="K286" s="80">
        <f>VLOOKUP(A:A,'staff sales'!C:Q,15,)</f>
        <v>4867.83</v>
      </c>
      <c r="L286" s="81">
        <f>VLOOKUP(A:A,'staff sales'!C:T,18,)</f>
        <v>0</v>
      </c>
      <c r="M286" s="81">
        <f>VLOOKUP(A:A,'staff sales'!C:W,21,)</f>
        <v>0</v>
      </c>
      <c r="N286" s="81">
        <f>VLOOKUP(A:A,'staff sales'!C:Z,24,)</f>
        <v>0</v>
      </c>
      <c r="O286" s="81">
        <f>VLOOKUP(A:A,'staff sales'!C:AC,27,)</f>
        <v>2</v>
      </c>
      <c r="P286" s="81">
        <f>VLOOKUP(A:A,'staff sales'!C:AF,30,)</f>
        <v>0</v>
      </c>
      <c r="Q286" s="81">
        <f>VLOOKUP(A:A,'staff sales'!C:AI,33,)</f>
        <v>7</v>
      </c>
      <c r="R286" s="81">
        <f>VLOOKUP(A:A,'staff sales'!C:AL,36,)</f>
        <v>0</v>
      </c>
      <c r="S286" s="81">
        <f>VLOOKUP(A:A,'staff sales'!C:AO,39,)</f>
        <v>0</v>
      </c>
      <c r="T286" s="81">
        <f>VLOOKUP(A:A,'staff sales'!C:AR,42,)</f>
        <v>0</v>
      </c>
      <c r="U286" s="81">
        <f>VLOOKUP(A:A,'staff sales'!C:AU,45,)</f>
        <v>0</v>
      </c>
      <c r="V286" s="81">
        <f>VLOOKUP(A:A,'staff sales'!C:AX,48,)</f>
        <v>0</v>
      </c>
      <c r="W286" s="81">
        <f>VLOOKUP(A:A,'staff sales'!C:BA,51,)</f>
        <v>0</v>
      </c>
    </row>
    <row r="287" spans="1:23" x14ac:dyDescent="0.25">
      <c r="A287" s="16">
        <v>1077812822</v>
      </c>
      <c r="B287" s="17" t="s">
        <v>964</v>
      </c>
      <c r="C287" s="18" t="s">
        <v>546</v>
      </c>
      <c r="D287" s="18" t="s">
        <v>546</v>
      </c>
      <c r="E287" s="18" t="s">
        <v>965</v>
      </c>
      <c r="F287" s="18" t="s">
        <v>965</v>
      </c>
      <c r="G287" s="18" t="s">
        <v>1218</v>
      </c>
      <c r="H287" s="18" t="s">
        <v>887</v>
      </c>
      <c r="I287" s="19" t="s">
        <v>960</v>
      </c>
      <c r="J287" s="18">
        <v>75014</v>
      </c>
      <c r="K287" s="80">
        <f>VLOOKUP(A:A,'staff sales'!C:Q,15,)</f>
        <v>128848.74000000002</v>
      </c>
      <c r="L287" s="81">
        <f>VLOOKUP(A:A,'staff sales'!C:T,18,)</f>
        <v>2891.27</v>
      </c>
      <c r="M287" s="81">
        <f>VLOOKUP(A:A,'staff sales'!C:W,21,)</f>
        <v>6828.71</v>
      </c>
      <c r="N287" s="81">
        <f>VLOOKUP(A:A,'staff sales'!C:Z,24,)</f>
        <v>0</v>
      </c>
      <c r="O287" s="81">
        <f>VLOOKUP(A:A,'staff sales'!C:AC,27,)</f>
        <v>10</v>
      </c>
      <c r="P287" s="81">
        <f>VLOOKUP(A:A,'staff sales'!C:AF,30,)</f>
        <v>0</v>
      </c>
      <c r="Q287" s="81">
        <f>VLOOKUP(A:A,'staff sales'!C:AI,33,)</f>
        <v>145</v>
      </c>
      <c r="R287" s="81">
        <f>VLOOKUP(A:A,'staff sales'!C:AL,36,)</f>
        <v>1</v>
      </c>
      <c r="S287" s="81">
        <f>VLOOKUP(A:A,'staff sales'!C:AO,39,)</f>
        <v>1</v>
      </c>
      <c r="T287" s="81">
        <f>VLOOKUP(A:A,'staff sales'!C:AR,42,)</f>
        <v>2</v>
      </c>
      <c r="U287" s="81">
        <f>VLOOKUP(A:A,'staff sales'!C:AU,45,)</f>
        <v>0</v>
      </c>
      <c r="V287" s="81">
        <f>VLOOKUP(A:A,'staff sales'!C:AX,48,)</f>
        <v>0</v>
      </c>
      <c r="W287" s="81">
        <f>VLOOKUP(A:A,'staff sales'!C:BA,51,)</f>
        <v>0</v>
      </c>
    </row>
    <row r="288" spans="1:23" x14ac:dyDescent="0.25">
      <c r="A288" s="16">
        <v>1039370539</v>
      </c>
      <c r="B288" s="17" t="s">
        <v>966</v>
      </c>
      <c r="C288" s="18" t="s">
        <v>546</v>
      </c>
      <c r="D288" s="18" t="s">
        <v>546</v>
      </c>
      <c r="E288" s="18" t="s">
        <v>967</v>
      </c>
      <c r="F288" s="18" t="s">
        <v>967</v>
      </c>
      <c r="G288" s="18" t="s">
        <v>1218</v>
      </c>
      <c r="H288" s="18" t="s">
        <v>887</v>
      </c>
      <c r="I288" s="19" t="s">
        <v>960</v>
      </c>
      <c r="J288" s="18">
        <v>75014</v>
      </c>
      <c r="K288" s="80">
        <f>VLOOKUP(A:A,'staff sales'!C:Q,15,)</f>
        <v>32543.51</v>
      </c>
      <c r="L288" s="81">
        <f>VLOOKUP(A:A,'staff sales'!C:T,18,)</f>
        <v>5912.17</v>
      </c>
      <c r="M288" s="81">
        <f>VLOOKUP(A:A,'staff sales'!C:W,21,)</f>
        <v>5361.3</v>
      </c>
      <c r="N288" s="81">
        <f>VLOOKUP(A:A,'staff sales'!C:Z,24,)</f>
        <v>0</v>
      </c>
      <c r="O288" s="81">
        <f>VLOOKUP(A:A,'staff sales'!C:AC,27,)</f>
        <v>3</v>
      </c>
      <c r="P288" s="81">
        <f>VLOOKUP(A:A,'staff sales'!C:AF,30,)</f>
        <v>0</v>
      </c>
      <c r="Q288" s="81">
        <f>VLOOKUP(A:A,'staff sales'!C:AI,33,)</f>
        <v>15</v>
      </c>
      <c r="R288" s="81">
        <f>VLOOKUP(A:A,'staff sales'!C:AL,36,)</f>
        <v>0</v>
      </c>
      <c r="S288" s="81">
        <f>VLOOKUP(A:A,'staff sales'!C:AO,39,)</f>
        <v>0</v>
      </c>
      <c r="T288" s="81">
        <f>VLOOKUP(A:A,'staff sales'!C:AR,42,)</f>
        <v>1</v>
      </c>
      <c r="U288" s="81">
        <f>VLOOKUP(A:A,'staff sales'!C:AU,45,)</f>
        <v>1</v>
      </c>
      <c r="V288" s="81">
        <f>VLOOKUP(A:A,'staff sales'!C:AX,48,)</f>
        <v>0</v>
      </c>
      <c r="W288" s="81">
        <f>VLOOKUP(A:A,'staff sales'!C:BA,51,)</f>
        <v>5</v>
      </c>
    </row>
    <row r="289" spans="1:23" x14ac:dyDescent="0.25">
      <c r="A289" s="8">
        <v>1076802857</v>
      </c>
      <c r="B289" s="9" t="s">
        <v>968</v>
      </c>
      <c r="C289" s="10" t="s">
        <v>546</v>
      </c>
      <c r="D289" s="10" t="s">
        <v>546</v>
      </c>
      <c r="E289" s="10" t="s">
        <v>969</v>
      </c>
      <c r="F289" s="10" t="s">
        <v>969</v>
      </c>
      <c r="G289" s="10" t="s">
        <v>1218</v>
      </c>
      <c r="H289" s="10" t="s">
        <v>887</v>
      </c>
      <c r="I289" s="11" t="s">
        <v>960</v>
      </c>
      <c r="J289" s="10">
        <v>75014</v>
      </c>
      <c r="K289" s="80">
        <f>VLOOKUP(A:A,'staff sales'!C:Q,15,)</f>
        <v>59247.860000000008</v>
      </c>
      <c r="L289" s="81">
        <f>VLOOKUP(A:A,'staff sales'!C:T,18,)</f>
        <v>0</v>
      </c>
      <c r="M289" s="81">
        <f>VLOOKUP(A:A,'staff sales'!C:W,21,)</f>
        <v>16464.78</v>
      </c>
      <c r="N289" s="81">
        <f>VLOOKUP(A:A,'staff sales'!C:Z,24,)</f>
        <v>0</v>
      </c>
      <c r="O289" s="81">
        <f>VLOOKUP(A:A,'staff sales'!C:AC,27,)</f>
        <v>8</v>
      </c>
      <c r="P289" s="81">
        <f>VLOOKUP(A:A,'staff sales'!C:AF,30,)</f>
        <v>1</v>
      </c>
      <c r="Q289" s="81">
        <f>VLOOKUP(A:A,'staff sales'!C:AI,33,)</f>
        <v>45</v>
      </c>
      <c r="R289" s="81">
        <f>VLOOKUP(A:A,'staff sales'!C:AL,36,)</f>
        <v>0</v>
      </c>
      <c r="S289" s="81">
        <f>VLOOKUP(A:A,'staff sales'!C:AO,39,)</f>
        <v>0</v>
      </c>
      <c r="T289" s="81">
        <f>VLOOKUP(A:A,'staff sales'!C:AR,42,)</f>
        <v>11</v>
      </c>
      <c r="U289" s="81">
        <f>VLOOKUP(A:A,'staff sales'!C:AU,45,)</f>
        <v>0</v>
      </c>
      <c r="V289" s="81">
        <f>VLOOKUP(A:A,'staff sales'!C:AX,48,)</f>
        <v>0</v>
      </c>
      <c r="W289" s="81">
        <f>VLOOKUP(A:A,'staff sales'!C:BA,51,)</f>
        <v>2</v>
      </c>
    </row>
    <row r="290" spans="1:23" x14ac:dyDescent="0.25">
      <c r="A290" s="12">
        <v>1125821742</v>
      </c>
      <c r="B290" s="13" t="s">
        <v>1130</v>
      </c>
      <c r="C290" s="14" t="s">
        <v>541</v>
      </c>
      <c r="D290" s="14" t="s">
        <v>541</v>
      </c>
      <c r="E290" s="14" t="s">
        <v>1131</v>
      </c>
      <c r="F290" s="14" t="s">
        <v>1131</v>
      </c>
      <c r="G290" s="14" t="s">
        <v>1218</v>
      </c>
      <c r="H290" s="14" t="s">
        <v>1086</v>
      </c>
      <c r="I290" s="15" t="s">
        <v>1087</v>
      </c>
      <c r="J290" s="14">
        <v>75003</v>
      </c>
      <c r="K290" s="80">
        <f>VLOOKUP(A:A,'staff sales'!C:Q,15,)</f>
        <v>0</v>
      </c>
      <c r="L290" s="81">
        <f>VLOOKUP(A:A,'staff sales'!C:T,18,)</f>
        <v>0</v>
      </c>
      <c r="M290" s="81">
        <f>VLOOKUP(A:A,'staff sales'!C:W,21,)</f>
        <v>0</v>
      </c>
      <c r="N290" s="81">
        <f>VLOOKUP(A:A,'staff sales'!C:Z,24,)</f>
        <v>0</v>
      </c>
      <c r="O290" s="81">
        <f>VLOOKUP(A:A,'staff sales'!C:AC,27,)</f>
        <v>0</v>
      </c>
      <c r="P290" s="81">
        <f>VLOOKUP(A:A,'staff sales'!C:AF,30,)</f>
        <v>0</v>
      </c>
      <c r="Q290" s="81">
        <f>VLOOKUP(A:A,'staff sales'!C:AI,33,)</f>
        <v>0</v>
      </c>
      <c r="R290" s="81">
        <f>VLOOKUP(A:A,'staff sales'!C:AL,36,)</f>
        <v>0</v>
      </c>
      <c r="S290" s="81">
        <f>VLOOKUP(A:A,'staff sales'!C:AO,39,)</f>
        <v>0</v>
      </c>
      <c r="T290" s="81">
        <f>VLOOKUP(A:A,'staff sales'!C:AR,42,)</f>
        <v>0</v>
      </c>
      <c r="U290" s="81">
        <f>VLOOKUP(A:A,'staff sales'!C:AU,45,)</f>
        <v>0</v>
      </c>
      <c r="V290" s="81">
        <f>VLOOKUP(A:A,'staff sales'!C:AX,48,)</f>
        <v>0</v>
      </c>
      <c r="W290" s="81">
        <f>VLOOKUP(A:A,'staff sales'!C:BA,51,)</f>
        <v>0</v>
      </c>
    </row>
    <row r="291" spans="1:23" x14ac:dyDescent="0.25">
      <c r="A291" s="16">
        <v>1028752549</v>
      </c>
      <c r="B291" s="17" t="s">
        <v>1088</v>
      </c>
      <c r="C291" s="18" t="s">
        <v>546</v>
      </c>
      <c r="D291" s="18" t="s">
        <v>546</v>
      </c>
      <c r="E291" s="18" t="s">
        <v>1089</v>
      </c>
      <c r="F291" s="18" t="s">
        <v>1089</v>
      </c>
      <c r="G291" s="18" t="s">
        <v>1218</v>
      </c>
      <c r="H291" s="18" t="s">
        <v>1086</v>
      </c>
      <c r="I291" s="19" t="s">
        <v>1087</v>
      </c>
      <c r="J291" s="18">
        <v>75003</v>
      </c>
      <c r="K291" s="80">
        <f>VLOOKUP(A:A,'staff sales'!C:Q,15,)</f>
        <v>70477.41</v>
      </c>
      <c r="L291" s="81">
        <f>VLOOKUP(A:A,'staff sales'!C:T,18,)</f>
        <v>8387.83</v>
      </c>
      <c r="M291" s="81">
        <f>VLOOKUP(A:A,'staff sales'!C:W,21,)</f>
        <v>22423.929999999997</v>
      </c>
      <c r="N291" s="81">
        <f>VLOOKUP(A:A,'staff sales'!C:Z,24,)</f>
        <v>238</v>
      </c>
      <c r="O291" s="81">
        <f>VLOOKUP(A:A,'staff sales'!C:AC,27,)</f>
        <v>9</v>
      </c>
      <c r="P291" s="81">
        <f>VLOOKUP(A:A,'staff sales'!C:AF,30,)</f>
        <v>1</v>
      </c>
      <c r="Q291" s="81">
        <f>VLOOKUP(A:A,'staff sales'!C:AI,33,)</f>
        <v>23</v>
      </c>
      <c r="R291" s="81">
        <f>VLOOKUP(A:A,'staff sales'!C:AL,36,)</f>
        <v>3</v>
      </c>
      <c r="S291" s="81">
        <f>VLOOKUP(A:A,'staff sales'!C:AO,39,)</f>
        <v>3</v>
      </c>
      <c r="T291" s="81">
        <f>VLOOKUP(A:A,'staff sales'!C:AR,42,)</f>
        <v>7</v>
      </c>
      <c r="U291" s="81">
        <f>VLOOKUP(A:A,'staff sales'!C:AU,45,)</f>
        <v>0</v>
      </c>
      <c r="V291" s="81">
        <f>VLOOKUP(A:A,'staff sales'!C:AX,48,)</f>
        <v>0</v>
      </c>
      <c r="W291" s="81">
        <f>VLOOKUP(A:A,'staff sales'!C:BA,51,)</f>
        <v>7</v>
      </c>
    </row>
    <row r="292" spans="1:23" x14ac:dyDescent="0.25">
      <c r="A292" s="16">
        <v>1047830060</v>
      </c>
      <c r="B292" s="17" t="s">
        <v>1090</v>
      </c>
      <c r="C292" s="18" t="s">
        <v>546</v>
      </c>
      <c r="D292" s="18" t="s">
        <v>546</v>
      </c>
      <c r="E292" s="18" t="s">
        <v>1091</v>
      </c>
      <c r="F292" s="18" t="s">
        <v>1092</v>
      </c>
      <c r="G292" s="18" t="s">
        <v>1218</v>
      </c>
      <c r="H292" s="18" t="s">
        <v>1086</v>
      </c>
      <c r="I292" s="19" t="s">
        <v>1087</v>
      </c>
      <c r="J292" s="18">
        <v>75003</v>
      </c>
      <c r="K292" s="80">
        <f>VLOOKUP(A:A,'staff sales'!C:Q,15,)</f>
        <v>61458.490000000005</v>
      </c>
      <c r="L292" s="81">
        <f>VLOOKUP(A:A,'staff sales'!C:T,18,)</f>
        <v>0</v>
      </c>
      <c r="M292" s="81">
        <f>VLOOKUP(A:A,'staff sales'!C:W,21,)</f>
        <v>20923.739999999998</v>
      </c>
      <c r="N292" s="81">
        <f>VLOOKUP(A:A,'staff sales'!C:Z,24,)</f>
        <v>240</v>
      </c>
      <c r="O292" s="81">
        <f>VLOOKUP(A:A,'staff sales'!C:AC,27,)</f>
        <v>4</v>
      </c>
      <c r="P292" s="81">
        <f>VLOOKUP(A:A,'staff sales'!C:AF,30,)</f>
        <v>1</v>
      </c>
      <c r="Q292" s="81">
        <f>VLOOKUP(A:A,'staff sales'!C:AI,33,)</f>
        <v>30</v>
      </c>
      <c r="R292" s="81">
        <f>VLOOKUP(A:A,'staff sales'!C:AL,36,)</f>
        <v>1</v>
      </c>
      <c r="S292" s="81">
        <f>VLOOKUP(A:A,'staff sales'!C:AO,39,)</f>
        <v>1</v>
      </c>
      <c r="T292" s="81">
        <f>VLOOKUP(A:A,'staff sales'!C:AR,42,)</f>
        <v>3</v>
      </c>
      <c r="U292" s="81">
        <f>VLOOKUP(A:A,'staff sales'!C:AU,45,)</f>
        <v>0</v>
      </c>
      <c r="V292" s="81">
        <f>VLOOKUP(A:A,'staff sales'!C:AX,48,)</f>
        <v>0</v>
      </c>
      <c r="W292" s="81">
        <f>VLOOKUP(A:A,'staff sales'!C:BA,51,)</f>
        <v>5</v>
      </c>
    </row>
    <row r="293" spans="1:23" x14ac:dyDescent="0.25">
      <c r="A293" s="16">
        <v>1056007147</v>
      </c>
      <c r="B293" s="17" t="s">
        <v>1093</v>
      </c>
      <c r="C293" s="18" t="s">
        <v>546</v>
      </c>
      <c r="D293" s="18" t="s">
        <v>546</v>
      </c>
      <c r="E293" s="18" t="s">
        <v>1094</v>
      </c>
      <c r="F293" s="18" t="s">
        <v>1095</v>
      </c>
      <c r="G293" s="18" t="s">
        <v>1218</v>
      </c>
      <c r="H293" s="18" t="s">
        <v>1086</v>
      </c>
      <c r="I293" s="19" t="s">
        <v>1087</v>
      </c>
      <c r="J293" s="18">
        <v>75003</v>
      </c>
      <c r="K293" s="80">
        <f>VLOOKUP(A:A,'staff sales'!C:Q,15,)</f>
        <v>34864.36</v>
      </c>
      <c r="L293" s="81">
        <f>VLOOKUP(A:A,'staff sales'!C:T,18,)</f>
        <v>0</v>
      </c>
      <c r="M293" s="81">
        <f>VLOOKUP(A:A,'staff sales'!C:W,21,)</f>
        <v>7090.87</v>
      </c>
      <c r="N293" s="81">
        <f>VLOOKUP(A:A,'staff sales'!C:Z,24,)</f>
        <v>0</v>
      </c>
      <c r="O293" s="81">
        <f>VLOOKUP(A:A,'staff sales'!C:AC,27,)</f>
        <v>3</v>
      </c>
      <c r="P293" s="81">
        <f>VLOOKUP(A:A,'staff sales'!C:AF,30,)</f>
        <v>0</v>
      </c>
      <c r="Q293" s="81">
        <f>VLOOKUP(A:A,'staff sales'!C:AI,33,)</f>
        <v>22</v>
      </c>
      <c r="R293" s="81">
        <f>VLOOKUP(A:A,'staff sales'!C:AL,36,)</f>
        <v>1</v>
      </c>
      <c r="S293" s="81">
        <f>VLOOKUP(A:A,'staff sales'!C:AO,39,)</f>
        <v>2</v>
      </c>
      <c r="T293" s="81">
        <f>VLOOKUP(A:A,'staff sales'!C:AR,42,)</f>
        <v>7</v>
      </c>
      <c r="U293" s="81">
        <f>VLOOKUP(A:A,'staff sales'!C:AU,45,)</f>
        <v>0</v>
      </c>
      <c r="V293" s="81">
        <f>VLOOKUP(A:A,'staff sales'!C:AX,48,)</f>
        <v>0</v>
      </c>
      <c r="W293" s="81">
        <f>VLOOKUP(A:A,'staff sales'!C:BA,51,)</f>
        <v>1</v>
      </c>
    </row>
    <row r="294" spans="1:23" x14ac:dyDescent="0.25">
      <c r="A294" s="16">
        <v>1027262219</v>
      </c>
      <c r="B294" s="17" t="s">
        <v>1096</v>
      </c>
      <c r="C294" s="18" t="s">
        <v>546</v>
      </c>
      <c r="D294" s="18" t="s">
        <v>546</v>
      </c>
      <c r="E294" s="18" t="s">
        <v>1097</v>
      </c>
      <c r="F294" s="18" t="s">
        <v>1097</v>
      </c>
      <c r="G294" s="18" t="s">
        <v>1218</v>
      </c>
      <c r="H294" s="18" t="s">
        <v>1086</v>
      </c>
      <c r="I294" s="19" t="s">
        <v>1087</v>
      </c>
      <c r="J294" s="18">
        <v>75003</v>
      </c>
      <c r="K294" s="80">
        <f>VLOOKUP(A:A,'staff sales'!C:Q,15,)</f>
        <v>34296.54</v>
      </c>
      <c r="L294" s="81">
        <f>VLOOKUP(A:A,'staff sales'!C:T,18,)</f>
        <v>1260.8</v>
      </c>
      <c r="M294" s="81">
        <f>VLOOKUP(A:A,'staff sales'!C:W,21,)</f>
        <v>10223.48</v>
      </c>
      <c r="N294" s="81">
        <f>VLOOKUP(A:A,'staff sales'!C:Z,24,)</f>
        <v>0</v>
      </c>
      <c r="O294" s="81">
        <f>VLOOKUP(A:A,'staff sales'!C:AC,27,)</f>
        <v>5</v>
      </c>
      <c r="P294" s="81">
        <f>VLOOKUP(A:A,'staff sales'!C:AF,30,)</f>
        <v>0</v>
      </c>
      <c r="Q294" s="81">
        <f>VLOOKUP(A:A,'staff sales'!C:AI,33,)</f>
        <v>24</v>
      </c>
      <c r="R294" s="81">
        <f>VLOOKUP(A:A,'staff sales'!C:AL,36,)</f>
        <v>0</v>
      </c>
      <c r="S294" s="81">
        <f>VLOOKUP(A:A,'staff sales'!C:AO,39,)</f>
        <v>2</v>
      </c>
      <c r="T294" s="81">
        <f>VLOOKUP(A:A,'staff sales'!C:AR,42,)</f>
        <v>8</v>
      </c>
      <c r="U294" s="81">
        <f>VLOOKUP(A:A,'staff sales'!C:AU,45,)</f>
        <v>0</v>
      </c>
      <c r="V294" s="81">
        <f>VLOOKUP(A:A,'staff sales'!C:AX,48,)</f>
        <v>0</v>
      </c>
      <c r="W294" s="81">
        <f>VLOOKUP(A:A,'staff sales'!C:BA,51,)</f>
        <v>2</v>
      </c>
    </row>
    <row r="295" spans="1:23" x14ac:dyDescent="0.25">
      <c r="A295" s="12">
        <v>1010065884</v>
      </c>
      <c r="B295" s="13" t="s">
        <v>1098</v>
      </c>
      <c r="C295" s="14" t="s">
        <v>541</v>
      </c>
      <c r="D295" s="14" t="s">
        <v>541</v>
      </c>
      <c r="E295" s="14" t="s">
        <v>1099</v>
      </c>
      <c r="F295" s="14" t="s">
        <v>1099</v>
      </c>
      <c r="G295" s="14" t="s">
        <v>1218</v>
      </c>
      <c r="H295" s="14" t="s">
        <v>1086</v>
      </c>
      <c r="I295" s="15" t="s">
        <v>1100</v>
      </c>
      <c r="J295" s="14">
        <v>75004</v>
      </c>
      <c r="K295" s="80">
        <f>VLOOKUP(A:A,'staff sales'!C:Q,15,)</f>
        <v>0</v>
      </c>
      <c r="L295" s="81">
        <f>VLOOKUP(A:A,'staff sales'!C:T,18,)</f>
        <v>0</v>
      </c>
      <c r="M295" s="81">
        <f>VLOOKUP(A:A,'staff sales'!C:W,21,)</f>
        <v>0</v>
      </c>
      <c r="N295" s="81">
        <f>VLOOKUP(A:A,'staff sales'!C:Z,24,)</f>
        <v>0</v>
      </c>
      <c r="O295" s="81">
        <f>VLOOKUP(A:A,'staff sales'!C:AC,27,)</f>
        <v>0</v>
      </c>
      <c r="P295" s="81">
        <f>VLOOKUP(A:A,'staff sales'!C:AF,30,)</f>
        <v>0</v>
      </c>
      <c r="Q295" s="81">
        <f>VLOOKUP(A:A,'staff sales'!C:AI,33,)</f>
        <v>1</v>
      </c>
      <c r="R295" s="81">
        <f>VLOOKUP(A:A,'staff sales'!C:AL,36,)</f>
        <v>0</v>
      </c>
      <c r="S295" s="81">
        <f>VLOOKUP(A:A,'staff sales'!C:AO,39,)</f>
        <v>0</v>
      </c>
      <c r="T295" s="81">
        <f>VLOOKUP(A:A,'staff sales'!C:AR,42,)</f>
        <v>0</v>
      </c>
      <c r="U295" s="81">
        <f>VLOOKUP(A:A,'staff sales'!C:AU,45,)</f>
        <v>0</v>
      </c>
      <c r="V295" s="81">
        <f>VLOOKUP(A:A,'staff sales'!C:AX,48,)</f>
        <v>0</v>
      </c>
      <c r="W295" s="81">
        <f>VLOOKUP(A:A,'staff sales'!C:BA,51,)</f>
        <v>0</v>
      </c>
    </row>
    <row r="296" spans="1:23" x14ac:dyDescent="0.25">
      <c r="A296" s="16">
        <v>1076469178</v>
      </c>
      <c r="B296" s="17" t="s">
        <v>1104</v>
      </c>
      <c r="C296" s="18" t="s">
        <v>544</v>
      </c>
      <c r="D296" s="18" t="s">
        <v>544</v>
      </c>
      <c r="E296" s="18" t="s">
        <v>1105</v>
      </c>
      <c r="F296" s="18" t="s">
        <v>1105</v>
      </c>
      <c r="G296" s="18" t="s">
        <v>1218</v>
      </c>
      <c r="H296" s="18" t="s">
        <v>1086</v>
      </c>
      <c r="I296" s="19" t="s">
        <v>1100</v>
      </c>
      <c r="J296" s="18">
        <v>75004</v>
      </c>
      <c r="K296" s="80">
        <f>VLOOKUP(A:A,'staff sales'!C:Q,15,)</f>
        <v>0</v>
      </c>
      <c r="L296" s="81">
        <f>VLOOKUP(A:A,'staff sales'!C:T,18,)</f>
        <v>0</v>
      </c>
      <c r="M296" s="81">
        <f>VLOOKUP(A:A,'staff sales'!C:W,21,)</f>
        <v>0</v>
      </c>
      <c r="N296" s="81">
        <f>VLOOKUP(A:A,'staff sales'!C:Z,24,)</f>
        <v>0</v>
      </c>
      <c r="O296" s="81">
        <f>VLOOKUP(A:A,'staff sales'!C:AC,27,)</f>
        <v>0</v>
      </c>
      <c r="P296" s="81">
        <f>VLOOKUP(A:A,'staff sales'!C:AF,30,)</f>
        <v>0</v>
      </c>
      <c r="Q296" s="81">
        <f>VLOOKUP(A:A,'staff sales'!C:AI,33,)</f>
        <v>0</v>
      </c>
      <c r="R296" s="81">
        <f>VLOOKUP(A:A,'staff sales'!C:AL,36,)</f>
        <v>0</v>
      </c>
      <c r="S296" s="81">
        <f>VLOOKUP(A:A,'staff sales'!C:AO,39,)</f>
        <v>0</v>
      </c>
      <c r="T296" s="81">
        <f>VLOOKUP(A:A,'staff sales'!C:AR,42,)</f>
        <v>0</v>
      </c>
      <c r="U296" s="81">
        <f>VLOOKUP(A:A,'staff sales'!C:AU,45,)</f>
        <v>0</v>
      </c>
      <c r="V296" s="81">
        <f>VLOOKUP(A:A,'staff sales'!C:AX,48,)</f>
        <v>0</v>
      </c>
      <c r="W296" s="81">
        <f>VLOOKUP(A:A,'staff sales'!C:BA,51,)</f>
        <v>0</v>
      </c>
    </row>
    <row r="297" spans="1:23" x14ac:dyDescent="0.25">
      <c r="A297" s="16">
        <v>1081884353</v>
      </c>
      <c r="B297" s="17" t="s">
        <v>1106</v>
      </c>
      <c r="C297" s="18" t="s">
        <v>546</v>
      </c>
      <c r="D297" s="18" t="s">
        <v>546</v>
      </c>
      <c r="E297" s="18" t="s">
        <v>1107</v>
      </c>
      <c r="F297" s="18" t="s">
        <v>1107</v>
      </c>
      <c r="G297" s="18" t="s">
        <v>1218</v>
      </c>
      <c r="H297" s="18" t="s">
        <v>1086</v>
      </c>
      <c r="I297" s="19" t="s">
        <v>1100</v>
      </c>
      <c r="J297" s="18">
        <v>75004</v>
      </c>
      <c r="K297" s="80">
        <f>VLOOKUP(A:A,'staff sales'!C:Q,15,)</f>
        <v>149990.5</v>
      </c>
      <c r="L297" s="81">
        <f>VLOOKUP(A:A,'staff sales'!C:T,18,)</f>
        <v>6281.7</v>
      </c>
      <c r="M297" s="81">
        <f>VLOOKUP(A:A,'staff sales'!C:W,21,)</f>
        <v>20713.050000000003</v>
      </c>
      <c r="N297" s="81">
        <f>VLOOKUP(A:A,'staff sales'!C:Z,24,)</f>
        <v>0</v>
      </c>
      <c r="O297" s="81">
        <f>VLOOKUP(A:A,'staff sales'!C:AC,27,)</f>
        <v>4</v>
      </c>
      <c r="P297" s="81">
        <f>VLOOKUP(A:A,'staff sales'!C:AF,30,)</f>
        <v>0</v>
      </c>
      <c r="Q297" s="81">
        <f>VLOOKUP(A:A,'staff sales'!C:AI,33,)</f>
        <v>72</v>
      </c>
      <c r="R297" s="81">
        <f>VLOOKUP(A:A,'staff sales'!C:AL,36,)</f>
        <v>0</v>
      </c>
      <c r="S297" s="81">
        <f>VLOOKUP(A:A,'staff sales'!C:AO,39,)</f>
        <v>0</v>
      </c>
      <c r="T297" s="81">
        <f>VLOOKUP(A:A,'staff sales'!C:AR,42,)</f>
        <v>6</v>
      </c>
      <c r="U297" s="81">
        <f>VLOOKUP(A:A,'staff sales'!C:AU,45,)</f>
        <v>2</v>
      </c>
      <c r="V297" s="81">
        <f>VLOOKUP(A:A,'staff sales'!C:AX,48,)</f>
        <v>0</v>
      </c>
      <c r="W297" s="81">
        <f>VLOOKUP(A:A,'staff sales'!C:BA,51,)</f>
        <v>2</v>
      </c>
    </row>
    <row r="298" spans="1:23" x14ac:dyDescent="0.25">
      <c r="A298" s="16">
        <v>1035853462</v>
      </c>
      <c r="B298" s="17" t="s">
        <v>1123</v>
      </c>
      <c r="C298" s="18" t="s">
        <v>546</v>
      </c>
      <c r="D298" s="18" t="s">
        <v>546</v>
      </c>
      <c r="E298" s="18" t="s">
        <v>1124</v>
      </c>
      <c r="F298" s="18" t="s">
        <v>1124</v>
      </c>
      <c r="G298" s="18" t="s">
        <v>1218</v>
      </c>
      <c r="H298" s="18" t="s">
        <v>1086</v>
      </c>
      <c r="I298" s="19" t="s">
        <v>1100</v>
      </c>
      <c r="J298" s="18">
        <v>75004</v>
      </c>
      <c r="K298" s="80">
        <f>VLOOKUP(A:A,'staff sales'!C:Q,15,)</f>
        <v>93021.78</v>
      </c>
      <c r="L298" s="81">
        <f>VLOOKUP(A:A,'staff sales'!C:T,18,)</f>
        <v>4589.57</v>
      </c>
      <c r="M298" s="81">
        <f>VLOOKUP(A:A,'staff sales'!C:W,21,)</f>
        <v>13069.990000000003</v>
      </c>
      <c r="N298" s="81">
        <f>VLOOKUP(A:A,'staff sales'!C:Z,24,)</f>
        <v>0</v>
      </c>
      <c r="O298" s="81">
        <f>VLOOKUP(A:A,'staff sales'!C:AC,27,)</f>
        <v>9</v>
      </c>
      <c r="P298" s="81">
        <f>VLOOKUP(A:A,'staff sales'!C:AF,30,)</f>
        <v>4</v>
      </c>
      <c r="Q298" s="81">
        <f>VLOOKUP(A:A,'staff sales'!C:AI,33,)</f>
        <v>48</v>
      </c>
      <c r="R298" s="81">
        <f>VLOOKUP(A:A,'staff sales'!C:AL,36,)</f>
        <v>0</v>
      </c>
      <c r="S298" s="81">
        <f>VLOOKUP(A:A,'staff sales'!C:AO,39,)</f>
        <v>1</v>
      </c>
      <c r="T298" s="81">
        <f>VLOOKUP(A:A,'staff sales'!C:AR,42,)</f>
        <v>5</v>
      </c>
      <c r="U298" s="81">
        <f>VLOOKUP(A:A,'staff sales'!C:AU,45,)</f>
        <v>3</v>
      </c>
      <c r="V298" s="81">
        <f>VLOOKUP(A:A,'staff sales'!C:AX,48,)</f>
        <v>0</v>
      </c>
      <c r="W298" s="81">
        <f>VLOOKUP(A:A,'staff sales'!C:BA,51,)</f>
        <v>5</v>
      </c>
    </row>
    <row r="299" spans="1:23" x14ac:dyDescent="0.25">
      <c r="A299" s="20">
        <v>1098812546</v>
      </c>
      <c r="B299" s="17" t="s">
        <v>938</v>
      </c>
      <c r="C299" s="18" t="s">
        <v>546</v>
      </c>
      <c r="D299" s="18" t="s">
        <v>546</v>
      </c>
      <c r="E299" s="18" t="s">
        <v>939</v>
      </c>
      <c r="F299" s="18" t="s">
        <v>939</v>
      </c>
      <c r="G299" s="18" t="s">
        <v>1218</v>
      </c>
      <c r="H299" s="18" t="s">
        <v>1086</v>
      </c>
      <c r="I299" s="19" t="s">
        <v>1100</v>
      </c>
      <c r="J299" s="18">
        <v>75004</v>
      </c>
      <c r="K299" s="80">
        <f>VLOOKUP(A:A,'staff sales'!C:Q,15,)</f>
        <v>42130.46</v>
      </c>
      <c r="L299" s="81">
        <f>VLOOKUP(A:A,'staff sales'!C:T,18,)</f>
        <v>4013.04</v>
      </c>
      <c r="M299" s="81">
        <f>VLOOKUP(A:A,'staff sales'!C:W,21,)</f>
        <v>9289.56</v>
      </c>
      <c r="N299" s="81">
        <f>VLOOKUP(A:A,'staff sales'!C:Z,24,)</f>
        <v>0</v>
      </c>
      <c r="O299" s="81">
        <f>VLOOKUP(A:A,'staff sales'!C:AC,27,)</f>
        <v>3</v>
      </c>
      <c r="P299" s="81">
        <f>VLOOKUP(A:A,'staff sales'!C:AF,30,)</f>
        <v>0</v>
      </c>
      <c r="Q299" s="81">
        <f>VLOOKUP(A:A,'staff sales'!C:AI,33,)</f>
        <v>64</v>
      </c>
      <c r="R299" s="81">
        <f>VLOOKUP(A:A,'staff sales'!C:AL,36,)</f>
        <v>0</v>
      </c>
      <c r="S299" s="81">
        <f>VLOOKUP(A:A,'staff sales'!C:AO,39,)</f>
        <v>4</v>
      </c>
      <c r="T299" s="81">
        <f>VLOOKUP(A:A,'staff sales'!C:AR,42,)</f>
        <v>1</v>
      </c>
      <c r="U299" s="81">
        <f>VLOOKUP(A:A,'staff sales'!C:AU,45,)</f>
        <v>3</v>
      </c>
      <c r="V299" s="81">
        <f>VLOOKUP(A:A,'staff sales'!C:AX,48,)</f>
        <v>0</v>
      </c>
      <c r="W299" s="81">
        <f>VLOOKUP(A:A,'staff sales'!C:BA,51,)</f>
        <v>2</v>
      </c>
    </row>
    <row r="300" spans="1:23" x14ac:dyDescent="0.25">
      <c r="A300" s="16">
        <v>1055111130</v>
      </c>
      <c r="B300" s="17" t="s">
        <v>1108</v>
      </c>
      <c r="C300" s="18" t="s">
        <v>546</v>
      </c>
      <c r="D300" s="18" t="s">
        <v>546</v>
      </c>
      <c r="E300" s="18" t="s">
        <v>1109</v>
      </c>
      <c r="F300" s="18" t="s">
        <v>1110</v>
      </c>
      <c r="G300" s="18" t="s">
        <v>1218</v>
      </c>
      <c r="H300" s="18" t="s">
        <v>1086</v>
      </c>
      <c r="I300" s="19" t="s">
        <v>1100</v>
      </c>
      <c r="J300" s="18">
        <v>75004</v>
      </c>
      <c r="K300" s="80">
        <f>VLOOKUP(A:A,'staff sales'!C:Q,15,)</f>
        <v>402688.15999999986</v>
      </c>
      <c r="L300" s="81">
        <f>VLOOKUP(A:A,'staff sales'!C:T,18,)</f>
        <v>3388.71</v>
      </c>
      <c r="M300" s="81">
        <f>VLOOKUP(A:A,'staff sales'!C:W,21,)</f>
        <v>19411.969999999998</v>
      </c>
      <c r="N300" s="81">
        <f>VLOOKUP(A:A,'staff sales'!C:Z,24,)</f>
        <v>0</v>
      </c>
      <c r="O300" s="81">
        <f>VLOOKUP(A:A,'staff sales'!C:AC,27,)</f>
        <v>8</v>
      </c>
      <c r="P300" s="81">
        <f>VLOOKUP(A:A,'staff sales'!C:AF,30,)</f>
        <v>0</v>
      </c>
      <c r="Q300" s="81">
        <f>VLOOKUP(A:A,'staff sales'!C:AI,33,)</f>
        <v>67</v>
      </c>
      <c r="R300" s="81">
        <f>VLOOKUP(A:A,'staff sales'!C:AL,36,)</f>
        <v>2</v>
      </c>
      <c r="S300" s="81">
        <f>VLOOKUP(A:A,'staff sales'!C:AO,39,)</f>
        <v>1</v>
      </c>
      <c r="T300" s="81">
        <f>VLOOKUP(A:A,'staff sales'!C:AR,42,)</f>
        <v>10</v>
      </c>
      <c r="U300" s="81">
        <f>VLOOKUP(A:A,'staff sales'!C:AU,45,)</f>
        <v>2</v>
      </c>
      <c r="V300" s="81">
        <f>VLOOKUP(A:A,'staff sales'!C:AX,48,)</f>
        <v>0</v>
      </c>
      <c r="W300" s="81">
        <f>VLOOKUP(A:A,'staff sales'!C:BA,51,)</f>
        <v>6</v>
      </c>
    </row>
    <row r="301" spans="1:23" x14ac:dyDescent="0.25">
      <c r="A301" s="16">
        <v>1020104392</v>
      </c>
      <c r="B301" s="17" t="s">
        <v>1111</v>
      </c>
      <c r="C301" s="18" t="s">
        <v>544</v>
      </c>
      <c r="D301" s="18" t="s">
        <v>544</v>
      </c>
      <c r="E301" s="18" t="s">
        <v>1112</v>
      </c>
      <c r="F301" s="18" t="s">
        <v>1112</v>
      </c>
      <c r="G301" s="18" t="s">
        <v>1218</v>
      </c>
      <c r="H301" s="18" t="s">
        <v>1086</v>
      </c>
      <c r="I301" s="19" t="s">
        <v>1100</v>
      </c>
      <c r="J301" s="18">
        <v>75004</v>
      </c>
      <c r="K301" s="80">
        <f>VLOOKUP(A:A,'staff sales'!C:Q,15,)</f>
        <v>0</v>
      </c>
      <c r="L301" s="81">
        <f>VLOOKUP(A:A,'staff sales'!C:T,18,)</f>
        <v>0</v>
      </c>
      <c r="M301" s="81">
        <f>VLOOKUP(A:A,'staff sales'!C:W,21,)</f>
        <v>0</v>
      </c>
      <c r="N301" s="81">
        <f>VLOOKUP(A:A,'staff sales'!C:Z,24,)</f>
        <v>0</v>
      </c>
      <c r="O301" s="81">
        <f>VLOOKUP(A:A,'staff sales'!C:AC,27,)</f>
        <v>0</v>
      </c>
      <c r="P301" s="81">
        <f>VLOOKUP(A:A,'staff sales'!C:AF,30,)</f>
        <v>0</v>
      </c>
      <c r="Q301" s="81">
        <f>VLOOKUP(A:A,'staff sales'!C:AI,33,)</f>
        <v>0</v>
      </c>
      <c r="R301" s="81">
        <f>VLOOKUP(A:A,'staff sales'!C:AL,36,)</f>
        <v>0</v>
      </c>
      <c r="S301" s="81">
        <f>VLOOKUP(A:A,'staff sales'!C:AO,39,)</f>
        <v>0</v>
      </c>
      <c r="T301" s="81">
        <f>VLOOKUP(A:A,'staff sales'!C:AR,42,)</f>
        <v>0</v>
      </c>
      <c r="U301" s="81">
        <f>VLOOKUP(A:A,'staff sales'!C:AU,45,)</f>
        <v>0</v>
      </c>
      <c r="V301" s="81">
        <f>VLOOKUP(A:A,'staff sales'!C:AX,48,)</f>
        <v>0</v>
      </c>
      <c r="W301" s="81">
        <f>VLOOKUP(A:A,'staff sales'!C:BA,51,)</f>
        <v>0</v>
      </c>
    </row>
    <row r="302" spans="1:23" x14ac:dyDescent="0.25">
      <c r="A302" s="12">
        <v>1091772317</v>
      </c>
      <c r="B302" s="13" t="s">
        <v>1113</v>
      </c>
      <c r="C302" s="14" t="s">
        <v>546</v>
      </c>
      <c r="D302" s="14" t="s">
        <v>546</v>
      </c>
      <c r="E302" s="14" t="s">
        <v>1114</v>
      </c>
      <c r="F302" s="14" t="s">
        <v>1114</v>
      </c>
      <c r="G302" s="14" t="s">
        <v>1218</v>
      </c>
      <c r="H302" s="14" t="s">
        <v>1086</v>
      </c>
      <c r="I302" s="15" t="s">
        <v>1100</v>
      </c>
      <c r="J302" s="14">
        <v>75004</v>
      </c>
      <c r="K302" s="80">
        <f>VLOOKUP(A:A,'staff sales'!C:Q,15,)</f>
        <v>86761.76</v>
      </c>
      <c r="L302" s="81">
        <f>VLOOKUP(A:A,'staff sales'!C:T,18,)</f>
        <v>10432.17</v>
      </c>
      <c r="M302" s="81">
        <f>VLOOKUP(A:A,'staff sales'!C:W,21,)</f>
        <v>15360.009999999998</v>
      </c>
      <c r="N302" s="81">
        <f>VLOOKUP(A:A,'staff sales'!C:Z,24,)</f>
        <v>0</v>
      </c>
      <c r="O302" s="81">
        <f>VLOOKUP(A:A,'staff sales'!C:AC,27,)</f>
        <v>12</v>
      </c>
      <c r="P302" s="81">
        <f>VLOOKUP(A:A,'staff sales'!C:AF,30,)</f>
        <v>0</v>
      </c>
      <c r="Q302" s="81">
        <f>VLOOKUP(A:A,'staff sales'!C:AI,33,)</f>
        <v>28</v>
      </c>
      <c r="R302" s="81">
        <f>VLOOKUP(A:A,'staff sales'!C:AL,36,)</f>
        <v>1</v>
      </c>
      <c r="S302" s="81">
        <f>VLOOKUP(A:A,'staff sales'!C:AO,39,)</f>
        <v>5</v>
      </c>
      <c r="T302" s="81">
        <f>VLOOKUP(A:A,'staff sales'!C:AR,42,)</f>
        <v>4</v>
      </c>
      <c r="U302" s="81">
        <f>VLOOKUP(A:A,'staff sales'!C:AU,45,)</f>
        <v>0</v>
      </c>
      <c r="V302" s="81">
        <f>VLOOKUP(A:A,'staff sales'!C:AX,48,)</f>
        <v>0</v>
      </c>
      <c r="W302" s="81">
        <f>VLOOKUP(A:A,'staff sales'!C:BA,51,)</f>
        <v>4</v>
      </c>
    </row>
    <row r="303" spans="1:23" x14ac:dyDescent="0.25">
      <c r="A303" s="16">
        <v>1075849107</v>
      </c>
      <c r="B303" s="17" t="s">
        <v>1101</v>
      </c>
      <c r="C303" s="18" t="s">
        <v>546</v>
      </c>
      <c r="D303" s="18" t="s">
        <v>546</v>
      </c>
      <c r="E303" s="18" t="s">
        <v>1102</v>
      </c>
      <c r="F303" s="18" t="s">
        <v>1103</v>
      </c>
      <c r="G303" s="18" t="s">
        <v>1218</v>
      </c>
      <c r="H303" s="18" t="s">
        <v>1086</v>
      </c>
      <c r="I303" s="19" t="s">
        <v>1100</v>
      </c>
      <c r="J303" s="18">
        <v>75004</v>
      </c>
      <c r="K303" s="80">
        <f>VLOOKUP(A:A,'staff sales'!C:Q,15,)</f>
        <v>128981.81000000001</v>
      </c>
      <c r="L303" s="81">
        <f>VLOOKUP(A:A,'staff sales'!C:T,18,)</f>
        <v>6954.78</v>
      </c>
      <c r="M303" s="81">
        <f>VLOOKUP(A:A,'staff sales'!C:W,21,)</f>
        <v>16206.51</v>
      </c>
      <c r="N303" s="81">
        <f>VLOOKUP(A:A,'staff sales'!C:Z,24,)</f>
        <v>0</v>
      </c>
      <c r="O303" s="81">
        <f>VLOOKUP(A:A,'staff sales'!C:AC,27,)</f>
        <v>6</v>
      </c>
      <c r="P303" s="81">
        <f>VLOOKUP(A:A,'staff sales'!C:AF,30,)</f>
        <v>0</v>
      </c>
      <c r="Q303" s="81">
        <f>VLOOKUP(A:A,'staff sales'!C:AI,33,)</f>
        <v>33</v>
      </c>
      <c r="R303" s="81">
        <f>VLOOKUP(A:A,'staff sales'!C:AL,36,)</f>
        <v>3</v>
      </c>
      <c r="S303" s="81">
        <f>VLOOKUP(A:A,'staff sales'!C:AO,39,)</f>
        <v>0</v>
      </c>
      <c r="T303" s="81">
        <f>VLOOKUP(A:A,'staff sales'!C:AR,42,)</f>
        <v>3</v>
      </c>
      <c r="U303" s="81">
        <f>VLOOKUP(A:A,'staff sales'!C:AU,45,)</f>
        <v>2</v>
      </c>
      <c r="V303" s="81">
        <f>VLOOKUP(A:A,'staff sales'!C:AX,48,)</f>
        <v>0</v>
      </c>
      <c r="W303" s="81">
        <f>VLOOKUP(A:A,'staff sales'!C:BA,51,)</f>
        <v>7</v>
      </c>
    </row>
    <row r="304" spans="1:23" x14ac:dyDescent="0.25">
      <c r="A304" s="16">
        <v>1074722198</v>
      </c>
      <c r="B304" s="17" t="s">
        <v>1115</v>
      </c>
      <c r="C304" s="18" t="s">
        <v>546</v>
      </c>
      <c r="D304" s="18" t="s">
        <v>546</v>
      </c>
      <c r="E304" s="18" t="s">
        <v>1116</v>
      </c>
      <c r="F304" s="18" t="s">
        <v>1116</v>
      </c>
      <c r="G304" s="18" t="s">
        <v>1218</v>
      </c>
      <c r="H304" s="18" t="s">
        <v>1086</v>
      </c>
      <c r="I304" s="19" t="s">
        <v>1100</v>
      </c>
      <c r="J304" s="18">
        <v>75004</v>
      </c>
      <c r="K304" s="80">
        <f>VLOOKUP(A:A,'staff sales'!C:Q,15,)</f>
        <v>172685.27999999997</v>
      </c>
      <c r="L304" s="81">
        <f>VLOOKUP(A:A,'staff sales'!C:T,18,)</f>
        <v>10171.299999999999</v>
      </c>
      <c r="M304" s="81">
        <f>VLOOKUP(A:A,'staff sales'!C:W,21,)</f>
        <v>26022.61</v>
      </c>
      <c r="N304" s="81">
        <f>VLOOKUP(A:A,'staff sales'!C:Z,24,)</f>
        <v>0</v>
      </c>
      <c r="O304" s="81">
        <f>VLOOKUP(A:A,'staff sales'!C:AC,27,)</f>
        <v>5</v>
      </c>
      <c r="P304" s="81">
        <f>VLOOKUP(A:A,'staff sales'!C:AF,30,)</f>
        <v>1</v>
      </c>
      <c r="Q304" s="81">
        <f>VLOOKUP(A:A,'staff sales'!C:AI,33,)</f>
        <v>82</v>
      </c>
      <c r="R304" s="81">
        <f>VLOOKUP(A:A,'staff sales'!C:AL,36,)</f>
        <v>1</v>
      </c>
      <c r="S304" s="81">
        <f>VLOOKUP(A:A,'staff sales'!C:AO,39,)</f>
        <v>3</v>
      </c>
      <c r="T304" s="81">
        <f>VLOOKUP(A:A,'staff sales'!C:AR,42,)</f>
        <v>2</v>
      </c>
      <c r="U304" s="81">
        <f>VLOOKUP(A:A,'staff sales'!C:AU,45,)</f>
        <v>3</v>
      </c>
      <c r="V304" s="81">
        <f>VLOOKUP(A:A,'staff sales'!C:AX,48,)</f>
        <v>0</v>
      </c>
      <c r="W304" s="81">
        <f>VLOOKUP(A:A,'staff sales'!C:BA,51,)</f>
        <v>1</v>
      </c>
    </row>
    <row r="305" spans="1:23" x14ac:dyDescent="0.25">
      <c r="A305" s="16">
        <v>1074718832</v>
      </c>
      <c r="B305" s="17" t="s">
        <v>1170</v>
      </c>
      <c r="C305" s="18" t="s">
        <v>546</v>
      </c>
      <c r="D305" s="18" t="s">
        <v>546</v>
      </c>
      <c r="E305" s="18" t="s">
        <v>1171</v>
      </c>
      <c r="F305" s="18" t="s">
        <v>1171</v>
      </c>
      <c r="G305" s="18" t="s">
        <v>1218</v>
      </c>
      <c r="H305" s="18" t="s">
        <v>1086</v>
      </c>
      <c r="I305" s="19" t="s">
        <v>1100</v>
      </c>
      <c r="J305" s="18">
        <v>75004</v>
      </c>
      <c r="K305" s="80">
        <f>VLOOKUP(A:A,'staff sales'!C:Q,15,)</f>
        <v>266442.71000000002</v>
      </c>
      <c r="L305" s="81">
        <f>VLOOKUP(A:A,'staff sales'!C:T,18,)</f>
        <v>10464.630000000003</v>
      </c>
      <c r="M305" s="81">
        <f>VLOOKUP(A:A,'staff sales'!C:W,21,)</f>
        <v>21467.559999999998</v>
      </c>
      <c r="N305" s="81">
        <f>VLOOKUP(A:A,'staff sales'!C:Z,24,)</f>
        <v>0</v>
      </c>
      <c r="O305" s="81">
        <f>VLOOKUP(A:A,'staff sales'!C:AC,27,)</f>
        <v>6</v>
      </c>
      <c r="P305" s="81">
        <f>VLOOKUP(A:A,'staff sales'!C:AF,30,)</f>
        <v>4</v>
      </c>
      <c r="Q305" s="81">
        <f>VLOOKUP(A:A,'staff sales'!C:AI,33,)</f>
        <v>144</v>
      </c>
      <c r="R305" s="81">
        <f>VLOOKUP(A:A,'staff sales'!C:AL,36,)</f>
        <v>5</v>
      </c>
      <c r="S305" s="81">
        <f>VLOOKUP(A:A,'staff sales'!C:AO,39,)</f>
        <v>5</v>
      </c>
      <c r="T305" s="81">
        <f>VLOOKUP(A:A,'staff sales'!C:AR,42,)</f>
        <v>8</v>
      </c>
      <c r="U305" s="81">
        <f>VLOOKUP(A:A,'staff sales'!C:AU,45,)</f>
        <v>3</v>
      </c>
      <c r="V305" s="81">
        <f>VLOOKUP(A:A,'staff sales'!C:AX,48,)</f>
        <v>0</v>
      </c>
      <c r="W305" s="81">
        <f>VLOOKUP(A:A,'staff sales'!C:BA,51,)</f>
        <v>9</v>
      </c>
    </row>
    <row r="306" spans="1:23" x14ac:dyDescent="0.25">
      <c r="A306" s="16">
        <v>1072442716</v>
      </c>
      <c r="B306" s="17" t="s">
        <v>1234</v>
      </c>
      <c r="C306" s="18" t="s">
        <v>546</v>
      </c>
      <c r="D306" s="18" t="s">
        <v>546</v>
      </c>
      <c r="E306" s="18" t="s">
        <v>1235</v>
      </c>
      <c r="F306" s="18" t="s">
        <v>1235</v>
      </c>
      <c r="G306" s="18" t="s">
        <v>1218</v>
      </c>
      <c r="H306" s="18" t="s">
        <v>1086</v>
      </c>
      <c r="I306" s="19" t="s">
        <v>1100</v>
      </c>
      <c r="J306" s="18">
        <v>75004</v>
      </c>
      <c r="K306" s="80">
        <f>VLOOKUP(A:A,'staff sales'!C:Q,15,)</f>
        <v>112355.69</v>
      </c>
      <c r="L306" s="81">
        <f>VLOOKUP(A:A,'staff sales'!C:T,18,)</f>
        <v>7715.36</v>
      </c>
      <c r="M306" s="81">
        <f>VLOOKUP(A:A,'staff sales'!C:W,21,)</f>
        <v>20199.650000000001</v>
      </c>
      <c r="N306" s="81">
        <f>VLOOKUP(A:A,'staff sales'!C:Z,24,)</f>
        <v>0</v>
      </c>
      <c r="O306" s="81">
        <f>VLOOKUP(A:A,'staff sales'!C:AC,27,)</f>
        <v>3</v>
      </c>
      <c r="P306" s="81">
        <f>VLOOKUP(A:A,'staff sales'!C:AF,30,)</f>
        <v>1</v>
      </c>
      <c r="Q306" s="81">
        <f>VLOOKUP(A:A,'staff sales'!C:AI,33,)</f>
        <v>46</v>
      </c>
      <c r="R306" s="81">
        <f>VLOOKUP(A:A,'staff sales'!C:AL,36,)</f>
        <v>1</v>
      </c>
      <c r="S306" s="81">
        <f>VLOOKUP(A:A,'staff sales'!C:AO,39,)</f>
        <v>0</v>
      </c>
      <c r="T306" s="81">
        <f>VLOOKUP(A:A,'staff sales'!C:AR,42,)</f>
        <v>2</v>
      </c>
      <c r="U306" s="81">
        <f>VLOOKUP(A:A,'staff sales'!C:AU,45,)</f>
        <v>0</v>
      </c>
      <c r="V306" s="81">
        <f>VLOOKUP(A:A,'staff sales'!C:AX,48,)</f>
        <v>0</v>
      </c>
      <c r="W306" s="81">
        <f>VLOOKUP(A:A,'staff sales'!C:BA,51,)</f>
        <v>9</v>
      </c>
    </row>
    <row r="307" spans="1:23" x14ac:dyDescent="0.25">
      <c r="A307" s="16">
        <v>1048209785</v>
      </c>
      <c r="B307" s="17" t="s">
        <v>1117</v>
      </c>
      <c r="C307" s="18" t="s">
        <v>541</v>
      </c>
      <c r="D307" s="18" t="s">
        <v>541</v>
      </c>
      <c r="E307" s="18" t="s">
        <v>1118</v>
      </c>
      <c r="F307" s="18" t="s">
        <v>1118</v>
      </c>
      <c r="G307" s="18" t="s">
        <v>1218</v>
      </c>
      <c r="H307" s="18" t="s">
        <v>1086</v>
      </c>
      <c r="I307" s="19" t="s">
        <v>1119</v>
      </c>
      <c r="J307" s="18">
        <v>75005</v>
      </c>
      <c r="K307" s="80">
        <f>VLOOKUP(A:A,'staff sales'!C:Q,15,)</f>
        <v>0</v>
      </c>
      <c r="L307" s="81">
        <f>VLOOKUP(A:A,'staff sales'!C:T,18,)</f>
        <v>0</v>
      </c>
      <c r="M307" s="81">
        <f>VLOOKUP(A:A,'staff sales'!C:W,21,)</f>
        <v>0</v>
      </c>
      <c r="N307" s="81">
        <f>VLOOKUP(A:A,'staff sales'!C:Z,24,)</f>
        <v>0</v>
      </c>
      <c r="O307" s="81">
        <f>VLOOKUP(A:A,'staff sales'!C:AC,27,)</f>
        <v>0</v>
      </c>
      <c r="P307" s="81">
        <f>VLOOKUP(A:A,'staff sales'!C:AF,30,)</f>
        <v>0</v>
      </c>
      <c r="Q307" s="81">
        <f>VLOOKUP(A:A,'staff sales'!C:AI,33,)</f>
        <v>0</v>
      </c>
      <c r="R307" s="81">
        <f>VLOOKUP(A:A,'staff sales'!C:AL,36,)</f>
        <v>0</v>
      </c>
      <c r="S307" s="81">
        <f>VLOOKUP(A:A,'staff sales'!C:AO,39,)</f>
        <v>0</v>
      </c>
      <c r="T307" s="81">
        <f>VLOOKUP(A:A,'staff sales'!C:AR,42,)</f>
        <v>0</v>
      </c>
      <c r="U307" s="81">
        <f>VLOOKUP(A:A,'staff sales'!C:AU,45,)</f>
        <v>0</v>
      </c>
      <c r="V307" s="81">
        <f>VLOOKUP(A:A,'staff sales'!C:AX,48,)</f>
        <v>0</v>
      </c>
      <c r="W307" s="81">
        <f>VLOOKUP(A:A,'staff sales'!C:BA,51,)</f>
        <v>0</v>
      </c>
    </row>
    <row r="308" spans="1:23" x14ac:dyDescent="0.25">
      <c r="A308" s="8">
        <v>1074869833</v>
      </c>
      <c r="B308" s="9" t="s">
        <v>1120</v>
      </c>
      <c r="C308" s="10" t="s">
        <v>544</v>
      </c>
      <c r="D308" s="10" t="s">
        <v>544</v>
      </c>
      <c r="E308" s="10" t="s">
        <v>1121</v>
      </c>
      <c r="F308" s="10" t="s">
        <v>1122</v>
      </c>
      <c r="G308" s="10" t="s">
        <v>1218</v>
      </c>
      <c r="H308" s="10" t="s">
        <v>1086</v>
      </c>
      <c r="I308" s="11" t="s">
        <v>1119</v>
      </c>
      <c r="J308" s="10">
        <v>75005</v>
      </c>
      <c r="K308" s="80">
        <f>VLOOKUP(A:A,'staff sales'!C:Q,15,)</f>
        <v>0</v>
      </c>
      <c r="L308" s="81">
        <f>VLOOKUP(A:A,'staff sales'!C:T,18,)</f>
        <v>0</v>
      </c>
      <c r="M308" s="81">
        <f>VLOOKUP(A:A,'staff sales'!C:W,21,)</f>
        <v>0</v>
      </c>
      <c r="N308" s="81">
        <f>VLOOKUP(A:A,'staff sales'!C:Z,24,)</f>
        <v>0</v>
      </c>
      <c r="O308" s="81">
        <f>VLOOKUP(A:A,'staff sales'!C:AC,27,)</f>
        <v>0</v>
      </c>
      <c r="P308" s="81">
        <f>VLOOKUP(A:A,'staff sales'!C:AF,30,)</f>
        <v>0</v>
      </c>
      <c r="Q308" s="81">
        <f>VLOOKUP(A:A,'staff sales'!C:AI,33,)</f>
        <v>0</v>
      </c>
      <c r="R308" s="81">
        <f>VLOOKUP(A:A,'staff sales'!C:AL,36,)</f>
        <v>0</v>
      </c>
      <c r="S308" s="81">
        <f>VLOOKUP(A:A,'staff sales'!C:AO,39,)</f>
        <v>0</v>
      </c>
      <c r="T308" s="81">
        <f>VLOOKUP(A:A,'staff sales'!C:AR,42,)</f>
        <v>0</v>
      </c>
      <c r="U308" s="81">
        <f>VLOOKUP(A:A,'staff sales'!C:AU,45,)</f>
        <v>0</v>
      </c>
      <c r="V308" s="81">
        <f>VLOOKUP(A:A,'staff sales'!C:AX,48,)</f>
        <v>0</v>
      </c>
      <c r="W308" s="81">
        <f>VLOOKUP(A:A,'staff sales'!C:BA,51,)</f>
        <v>0</v>
      </c>
    </row>
    <row r="309" spans="1:23" x14ac:dyDescent="0.25">
      <c r="A309" s="12">
        <v>1098999665</v>
      </c>
      <c r="B309" s="13" t="s">
        <v>1132</v>
      </c>
      <c r="C309" s="14" t="s">
        <v>546</v>
      </c>
      <c r="D309" s="14" t="s">
        <v>546</v>
      </c>
      <c r="E309" s="14" t="s">
        <v>1133</v>
      </c>
      <c r="F309" s="14" t="s">
        <v>1133</v>
      </c>
      <c r="G309" s="14" t="s">
        <v>1218</v>
      </c>
      <c r="H309" s="14" t="s">
        <v>1086</v>
      </c>
      <c r="I309" s="15" t="s">
        <v>1119</v>
      </c>
      <c r="J309" s="14">
        <v>75005</v>
      </c>
      <c r="K309" s="80">
        <f>VLOOKUP(A:A,'staff sales'!C:Q,15,)</f>
        <v>121727.88</v>
      </c>
      <c r="L309" s="81">
        <f>VLOOKUP(A:A,'staff sales'!C:T,18,)</f>
        <v>0</v>
      </c>
      <c r="M309" s="81">
        <f>VLOOKUP(A:A,'staff sales'!C:W,21,)</f>
        <v>22106.960000000003</v>
      </c>
      <c r="N309" s="81">
        <f>VLOOKUP(A:A,'staff sales'!C:Z,24,)</f>
        <v>0</v>
      </c>
      <c r="O309" s="81">
        <f>VLOOKUP(A:A,'staff sales'!C:AC,27,)</f>
        <v>4</v>
      </c>
      <c r="P309" s="81">
        <f>VLOOKUP(A:A,'staff sales'!C:AF,30,)</f>
        <v>2</v>
      </c>
      <c r="Q309" s="81">
        <f>VLOOKUP(A:A,'staff sales'!C:AI,33,)</f>
        <v>69</v>
      </c>
      <c r="R309" s="81">
        <f>VLOOKUP(A:A,'staff sales'!C:AL,36,)</f>
        <v>4</v>
      </c>
      <c r="S309" s="81">
        <f>VLOOKUP(A:A,'staff sales'!C:AO,39,)</f>
        <v>2</v>
      </c>
      <c r="T309" s="81">
        <f>VLOOKUP(A:A,'staff sales'!C:AR,42,)</f>
        <v>12</v>
      </c>
      <c r="U309" s="81">
        <f>VLOOKUP(A:A,'staff sales'!C:AU,45,)</f>
        <v>1</v>
      </c>
      <c r="V309" s="81">
        <f>VLOOKUP(A:A,'staff sales'!C:AX,48,)</f>
        <v>0</v>
      </c>
      <c r="W309" s="81">
        <f>VLOOKUP(A:A,'staff sales'!C:BA,51,)</f>
        <v>5</v>
      </c>
    </row>
    <row r="310" spans="1:23" x14ac:dyDescent="0.25">
      <c r="A310" s="16">
        <v>1106631946</v>
      </c>
      <c r="B310" s="17" t="s">
        <v>1125</v>
      </c>
      <c r="C310" s="18" t="s">
        <v>546</v>
      </c>
      <c r="D310" s="18" t="s">
        <v>546</v>
      </c>
      <c r="E310" s="18" t="s">
        <v>1126</v>
      </c>
      <c r="F310" s="18" t="s">
        <v>1126</v>
      </c>
      <c r="G310" s="18" t="s">
        <v>1218</v>
      </c>
      <c r="H310" s="18" t="s">
        <v>1086</v>
      </c>
      <c r="I310" s="19" t="s">
        <v>1119</v>
      </c>
      <c r="J310" s="18">
        <v>75005</v>
      </c>
      <c r="K310" s="80">
        <f>VLOOKUP(A:A,'staff sales'!C:Q,15,)</f>
        <v>78153.070000000007</v>
      </c>
      <c r="L310" s="81">
        <f>VLOOKUP(A:A,'staff sales'!C:T,18,)</f>
        <v>0</v>
      </c>
      <c r="M310" s="81">
        <f>VLOOKUP(A:A,'staff sales'!C:W,21,)</f>
        <v>11254.78</v>
      </c>
      <c r="N310" s="81">
        <f>VLOOKUP(A:A,'staff sales'!C:Z,24,)</f>
        <v>80</v>
      </c>
      <c r="O310" s="81">
        <f>VLOOKUP(A:A,'staff sales'!C:AC,27,)</f>
        <v>4</v>
      </c>
      <c r="P310" s="81">
        <f>VLOOKUP(A:A,'staff sales'!C:AF,30,)</f>
        <v>1</v>
      </c>
      <c r="Q310" s="81">
        <f>VLOOKUP(A:A,'staff sales'!C:AI,33,)</f>
        <v>51</v>
      </c>
      <c r="R310" s="81">
        <f>VLOOKUP(A:A,'staff sales'!C:AL,36,)</f>
        <v>1</v>
      </c>
      <c r="S310" s="81">
        <f>VLOOKUP(A:A,'staff sales'!C:AO,39,)</f>
        <v>1</v>
      </c>
      <c r="T310" s="81">
        <f>VLOOKUP(A:A,'staff sales'!C:AR,42,)</f>
        <v>4</v>
      </c>
      <c r="U310" s="81">
        <f>VLOOKUP(A:A,'staff sales'!C:AU,45,)</f>
        <v>1</v>
      </c>
      <c r="V310" s="81">
        <f>VLOOKUP(A:A,'staff sales'!C:AX,48,)</f>
        <v>0</v>
      </c>
      <c r="W310" s="81">
        <f>VLOOKUP(A:A,'staff sales'!C:BA,51,)</f>
        <v>2</v>
      </c>
    </row>
    <row r="311" spans="1:23" x14ac:dyDescent="0.25">
      <c r="A311" s="16">
        <v>1086446828</v>
      </c>
      <c r="B311" s="17" t="s">
        <v>1127</v>
      </c>
      <c r="C311" s="18" t="s">
        <v>546</v>
      </c>
      <c r="D311" s="18" t="s">
        <v>546</v>
      </c>
      <c r="E311" s="18" t="s">
        <v>1128</v>
      </c>
      <c r="F311" s="18" t="s">
        <v>1128</v>
      </c>
      <c r="G311" s="18" t="s">
        <v>1218</v>
      </c>
      <c r="H311" s="18" t="s">
        <v>1086</v>
      </c>
      <c r="I311" s="19" t="s">
        <v>1119</v>
      </c>
      <c r="J311" s="18">
        <v>75005</v>
      </c>
      <c r="K311" s="80">
        <f>VLOOKUP(A:A,'staff sales'!C:Q,15,)</f>
        <v>169457.46999999997</v>
      </c>
      <c r="L311" s="81">
        <f>VLOOKUP(A:A,'staff sales'!C:T,18,)</f>
        <v>3702.61</v>
      </c>
      <c r="M311" s="81">
        <f>VLOOKUP(A:A,'staff sales'!C:W,21,)</f>
        <v>20409.550000000007</v>
      </c>
      <c r="N311" s="81">
        <f>VLOOKUP(A:A,'staff sales'!C:Z,24,)</f>
        <v>0</v>
      </c>
      <c r="O311" s="81">
        <f>VLOOKUP(A:A,'staff sales'!C:AC,27,)</f>
        <v>7</v>
      </c>
      <c r="P311" s="81">
        <f>VLOOKUP(A:A,'staff sales'!C:AF,30,)</f>
        <v>0</v>
      </c>
      <c r="Q311" s="81">
        <f>VLOOKUP(A:A,'staff sales'!C:AI,33,)</f>
        <v>94</v>
      </c>
      <c r="R311" s="81">
        <f>VLOOKUP(A:A,'staff sales'!C:AL,36,)</f>
        <v>0</v>
      </c>
      <c r="S311" s="81">
        <f>VLOOKUP(A:A,'staff sales'!C:AO,39,)</f>
        <v>4</v>
      </c>
      <c r="T311" s="81">
        <f>VLOOKUP(A:A,'staff sales'!C:AR,42,)</f>
        <v>7</v>
      </c>
      <c r="U311" s="81">
        <f>VLOOKUP(A:A,'staff sales'!C:AU,45,)</f>
        <v>3</v>
      </c>
      <c r="V311" s="81">
        <f>VLOOKUP(A:A,'staff sales'!C:AX,48,)</f>
        <v>0</v>
      </c>
      <c r="W311" s="81">
        <f>VLOOKUP(A:A,'staff sales'!C:BA,51,)</f>
        <v>4</v>
      </c>
    </row>
    <row r="312" spans="1:23" x14ac:dyDescent="0.25">
      <c r="A312" s="10">
        <v>1014365561</v>
      </c>
      <c r="B312" s="23" t="s">
        <v>1014</v>
      </c>
      <c r="C312" s="18" t="s">
        <v>1201</v>
      </c>
      <c r="D312" s="18" t="s">
        <v>1201</v>
      </c>
      <c r="E312" s="18" t="s">
        <v>1015</v>
      </c>
      <c r="F312" s="18" t="s">
        <v>1015</v>
      </c>
      <c r="G312" s="18" t="s">
        <v>1218</v>
      </c>
      <c r="H312" s="18" t="s">
        <v>970</v>
      </c>
      <c r="I312" s="19" t="s">
        <v>538</v>
      </c>
      <c r="J312" s="18" t="s">
        <v>539</v>
      </c>
      <c r="K312" s="80">
        <f>VLOOKUP(A:A,'staff sales'!C:Q,15,)</f>
        <v>0</v>
      </c>
      <c r="L312" s="81">
        <f>VLOOKUP(A:A,'staff sales'!C:T,18,)</f>
        <v>0</v>
      </c>
      <c r="M312" s="81">
        <f>VLOOKUP(A:A,'staff sales'!C:W,21,)</f>
        <v>0</v>
      </c>
      <c r="N312" s="81">
        <f>VLOOKUP(A:A,'staff sales'!C:Z,24,)</f>
        <v>0</v>
      </c>
      <c r="O312" s="81">
        <f>VLOOKUP(A:A,'staff sales'!C:AC,27,)</f>
        <v>0</v>
      </c>
      <c r="P312" s="81">
        <f>VLOOKUP(A:A,'staff sales'!C:AF,30,)</f>
        <v>0</v>
      </c>
      <c r="Q312" s="81">
        <f>VLOOKUP(A:A,'staff sales'!C:AI,33,)</f>
        <v>0</v>
      </c>
      <c r="R312" s="81">
        <f>VLOOKUP(A:A,'staff sales'!C:AL,36,)</f>
        <v>0</v>
      </c>
      <c r="S312" s="81">
        <f>VLOOKUP(A:A,'staff sales'!C:AO,39,)</f>
        <v>0</v>
      </c>
      <c r="T312" s="81">
        <f>VLOOKUP(A:A,'staff sales'!C:AR,42,)</f>
        <v>0</v>
      </c>
      <c r="U312" s="81">
        <f>VLOOKUP(A:A,'staff sales'!C:AU,45,)</f>
        <v>0</v>
      </c>
      <c r="V312" s="81">
        <f>VLOOKUP(A:A,'staff sales'!C:AX,48,)</f>
        <v>0</v>
      </c>
      <c r="W312" s="81">
        <f>VLOOKUP(A:A,'staff sales'!C:BA,51,)</f>
        <v>0</v>
      </c>
    </row>
    <row r="313" spans="1:23" x14ac:dyDescent="0.25">
      <c r="A313" s="16" t="s">
        <v>972</v>
      </c>
      <c r="B313" s="17" t="s">
        <v>973</v>
      </c>
      <c r="C313" s="18" t="s">
        <v>541</v>
      </c>
      <c r="D313" s="18" t="s">
        <v>541</v>
      </c>
      <c r="E313" s="18"/>
      <c r="F313" s="18"/>
      <c r="G313" s="18" t="s">
        <v>1218</v>
      </c>
      <c r="H313" s="18" t="s">
        <v>970</v>
      </c>
      <c r="I313" s="19" t="s">
        <v>1212</v>
      </c>
      <c r="J313" s="18">
        <v>75011</v>
      </c>
      <c r="K313" s="80">
        <f>VLOOKUP(A:A,'staff sales'!C:Q,15,)</f>
        <v>0</v>
      </c>
      <c r="L313" s="81">
        <f>VLOOKUP(A:A,'staff sales'!C:T,18,)</f>
        <v>0</v>
      </c>
      <c r="M313" s="81">
        <f>VLOOKUP(A:A,'staff sales'!C:W,21,)</f>
        <v>0</v>
      </c>
      <c r="N313" s="81">
        <f>VLOOKUP(A:A,'staff sales'!C:Z,24,)</f>
        <v>0</v>
      </c>
      <c r="O313" s="81">
        <f>VLOOKUP(A:A,'staff sales'!C:AC,27,)</f>
        <v>0</v>
      </c>
      <c r="P313" s="81">
        <f>VLOOKUP(A:A,'staff sales'!C:AF,30,)</f>
        <v>0</v>
      </c>
      <c r="Q313" s="81">
        <f>VLOOKUP(A:A,'staff sales'!C:AI,33,)</f>
        <v>0</v>
      </c>
      <c r="R313" s="81">
        <f>VLOOKUP(A:A,'staff sales'!C:AL,36,)</f>
        <v>0</v>
      </c>
      <c r="S313" s="81">
        <f>VLOOKUP(A:A,'staff sales'!C:AO,39,)</f>
        <v>0</v>
      </c>
      <c r="T313" s="81">
        <f>VLOOKUP(A:A,'staff sales'!C:AR,42,)</f>
        <v>0</v>
      </c>
      <c r="U313" s="81">
        <f>VLOOKUP(A:A,'staff sales'!C:AU,45,)</f>
        <v>0</v>
      </c>
      <c r="V313" s="81">
        <f>VLOOKUP(A:A,'staff sales'!C:AX,48,)</f>
        <v>0</v>
      </c>
      <c r="W313" s="81">
        <f>VLOOKUP(A:A,'staff sales'!C:BA,51,)</f>
        <v>0</v>
      </c>
    </row>
    <row r="314" spans="1:23" x14ac:dyDescent="0.25">
      <c r="A314" s="16">
        <v>1071511065</v>
      </c>
      <c r="B314" s="17" t="s">
        <v>974</v>
      </c>
      <c r="C314" s="18" t="s">
        <v>544</v>
      </c>
      <c r="D314" s="18" t="s">
        <v>544</v>
      </c>
      <c r="E314" s="18" t="s">
        <v>975</v>
      </c>
      <c r="F314" s="18" t="s">
        <v>975</v>
      </c>
      <c r="G314" s="18" t="s">
        <v>1218</v>
      </c>
      <c r="H314" s="18" t="s">
        <v>970</v>
      </c>
      <c r="I314" s="19" t="s">
        <v>971</v>
      </c>
      <c r="J314" s="18">
        <v>75011</v>
      </c>
      <c r="K314" s="80">
        <f>VLOOKUP(A:A,'staff sales'!C:Q,15,)</f>
        <v>0</v>
      </c>
      <c r="L314" s="81">
        <f>VLOOKUP(A:A,'staff sales'!C:T,18,)</f>
        <v>0</v>
      </c>
      <c r="M314" s="81">
        <f>VLOOKUP(A:A,'staff sales'!C:W,21,)</f>
        <v>0</v>
      </c>
      <c r="N314" s="81">
        <f>VLOOKUP(A:A,'staff sales'!C:Z,24,)</f>
        <v>0</v>
      </c>
      <c r="O314" s="81">
        <f>VLOOKUP(A:A,'staff sales'!C:AC,27,)</f>
        <v>0</v>
      </c>
      <c r="P314" s="81">
        <f>VLOOKUP(A:A,'staff sales'!C:AF,30,)</f>
        <v>0</v>
      </c>
      <c r="Q314" s="81">
        <f>VLOOKUP(A:A,'staff sales'!C:AI,33,)</f>
        <v>1</v>
      </c>
      <c r="R314" s="81">
        <f>VLOOKUP(A:A,'staff sales'!C:AL,36,)</f>
        <v>0</v>
      </c>
      <c r="S314" s="81">
        <f>VLOOKUP(A:A,'staff sales'!C:AO,39,)</f>
        <v>0</v>
      </c>
      <c r="T314" s="81">
        <f>VLOOKUP(A:A,'staff sales'!C:AR,42,)</f>
        <v>0</v>
      </c>
      <c r="U314" s="81">
        <f>VLOOKUP(A:A,'staff sales'!C:AU,45,)</f>
        <v>0</v>
      </c>
      <c r="V314" s="81">
        <f>VLOOKUP(A:A,'staff sales'!C:AX,48,)</f>
        <v>0</v>
      </c>
      <c r="W314" s="81">
        <f>VLOOKUP(A:A,'staff sales'!C:BA,51,)</f>
        <v>0</v>
      </c>
    </row>
    <row r="315" spans="1:23" x14ac:dyDescent="0.25">
      <c r="A315" s="16">
        <v>1048121204</v>
      </c>
      <c r="B315" s="17" t="s">
        <v>976</v>
      </c>
      <c r="C315" s="18" t="s">
        <v>546</v>
      </c>
      <c r="D315" s="18" t="s">
        <v>546</v>
      </c>
      <c r="E315" s="18" t="s">
        <v>977</v>
      </c>
      <c r="F315" s="18" t="s">
        <v>977</v>
      </c>
      <c r="G315" s="18" t="s">
        <v>1218</v>
      </c>
      <c r="H315" s="18" t="s">
        <v>970</v>
      </c>
      <c r="I315" s="19" t="s">
        <v>971</v>
      </c>
      <c r="J315" s="18">
        <v>75011</v>
      </c>
      <c r="K315" s="80">
        <f>VLOOKUP(A:A,'staff sales'!C:Q,15,)</f>
        <v>20467.830000000002</v>
      </c>
      <c r="L315" s="81">
        <f>VLOOKUP(A:A,'staff sales'!C:T,18,)</f>
        <v>0</v>
      </c>
      <c r="M315" s="81">
        <f>VLOOKUP(A:A,'staff sales'!C:W,21,)</f>
        <v>5066.47</v>
      </c>
      <c r="N315" s="81">
        <f>VLOOKUP(A:A,'staff sales'!C:Z,24,)</f>
        <v>0</v>
      </c>
      <c r="O315" s="81">
        <f>VLOOKUP(A:A,'staff sales'!C:AC,27,)</f>
        <v>2</v>
      </c>
      <c r="P315" s="81">
        <f>VLOOKUP(A:A,'staff sales'!C:AF,30,)</f>
        <v>0</v>
      </c>
      <c r="Q315" s="81">
        <f>VLOOKUP(A:A,'staff sales'!C:AI,33,)</f>
        <v>28</v>
      </c>
      <c r="R315" s="81">
        <f>VLOOKUP(A:A,'staff sales'!C:AL,36,)</f>
        <v>0</v>
      </c>
      <c r="S315" s="81">
        <f>VLOOKUP(A:A,'staff sales'!C:AO,39,)</f>
        <v>1</v>
      </c>
      <c r="T315" s="81">
        <f>VLOOKUP(A:A,'staff sales'!C:AR,42,)</f>
        <v>3</v>
      </c>
      <c r="U315" s="81">
        <f>VLOOKUP(A:A,'staff sales'!C:AU,45,)</f>
        <v>0</v>
      </c>
      <c r="V315" s="81">
        <f>VLOOKUP(A:A,'staff sales'!C:AX,48,)</f>
        <v>0</v>
      </c>
      <c r="W315" s="81">
        <f>VLOOKUP(A:A,'staff sales'!C:BA,51,)</f>
        <v>2</v>
      </c>
    </row>
    <row r="316" spans="1:23" x14ac:dyDescent="0.25">
      <c r="A316" s="16">
        <v>1093997532</v>
      </c>
      <c r="B316" s="17" t="s">
        <v>978</v>
      </c>
      <c r="C316" s="18" t="s">
        <v>546</v>
      </c>
      <c r="D316" s="18" t="s">
        <v>546</v>
      </c>
      <c r="E316" s="18" t="s">
        <v>979</v>
      </c>
      <c r="F316" s="18" t="s">
        <v>979</v>
      </c>
      <c r="G316" s="18" t="s">
        <v>1218</v>
      </c>
      <c r="H316" s="18" t="s">
        <v>970</v>
      </c>
      <c r="I316" s="19" t="s">
        <v>971</v>
      </c>
      <c r="J316" s="18">
        <v>75011</v>
      </c>
      <c r="K316" s="80">
        <f>VLOOKUP(A:A,'staff sales'!C:Q,15,)</f>
        <v>94958.280000000013</v>
      </c>
      <c r="L316" s="81">
        <f>VLOOKUP(A:A,'staff sales'!C:T,18,)</f>
        <v>4189.57</v>
      </c>
      <c r="M316" s="81">
        <f>VLOOKUP(A:A,'staff sales'!C:W,21,)</f>
        <v>16500</v>
      </c>
      <c r="N316" s="81">
        <f>VLOOKUP(A:A,'staff sales'!C:Z,24,)</f>
        <v>0</v>
      </c>
      <c r="O316" s="81">
        <f>VLOOKUP(A:A,'staff sales'!C:AC,27,)</f>
        <v>6</v>
      </c>
      <c r="P316" s="81">
        <f>VLOOKUP(A:A,'staff sales'!C:AF,30,)</f>
        <v>3</v>
      </c>
      <c r="Q316" s="81">
        <f>VLOOKUP(A:A,'staff sales'!C:AI,33,)</f>
        <v>79</v>
      </c>
      <c r="R316" s="81">
        <f>VLOOKUP(A:A,'staff sales'!C:AL,36,)</f>
        <v>2</v>
      </c>
      <c r="S316" s="81">
        <f>VLOOKUP(A:A,'staff sales'!C:AO,39,)</f>
        <v>2</v>
      </c>
      <c r="T316" s="81">
        <f>VLOOKUP(A:A,'staff sales'!C:AR,42,)</f>
        <v>6</v>
      </c>
      <c r="U316" s="81">
        <f>VLOOKUP(A:A,'staff sales'!C:AU,45,)</f>
        <v>0</v>
      </c>
      <c r="V316" s="81">
        <f>VLOOKUP(A:A,'staff sales'!C:AX,48,)</f>
        <v>0</v>
      </c>
      <c r="W316" s="81">
        <f>VLOOKUP(A:A,'staff sales'!C:BA,51,)</f>
        <v>5</v>
      </c>
    </row>
    <row r="317" spans="1:23" x14ac:dyDescent="0.25">
      <c r="A317" s="8">
        <v>1072390352</v>
      </c>
      <c r="B317" s="9" t="s">
        <v>980</v>
      </c>
      <c r="C317" s="10" t="s">
        <v>546</v>
      </c>
      <c r="D317" s="10" t="s">
        <v>546</v>
      </c>
      <c r="E317" s="10" t="s">
        <v>981</v>
      </c>
      <c r="F317" s="10" t="s">
        <v>981</v>
      </c>
      <c r="G317" s="10" t="s">
        <v>1218</v>
      </c>
      <c r="H317" s="10" t="s">
        <v>970</v>
      </c>
      <c r="I317" s="11" t="s">
        <v>971</v>
      </c>
      <c r="J317" s="10">
        <v>75011</v>
      </c>
      <c r="K317" s="80">
        <f>VLOOKUP(A:A,'staff sales'!C:Q,15,)</f>
        <v>59123.49</v>
      </c>
      <c r="L317" s="81">
        <f>VLOOKUP(A:A,'staff sales'!C:T,18,)</f>
        <v>3133.44</v>
      </c>
      <c r="M317" s="81">
        <f>VLOOKUP(A:A,'staff sales'!C:W,21,)</f>
        <v>10963.95</v>
      </c>
      <c r="N317" s="81">
        <f>VLOOKUP(A:A,'staff sales'!C:Z,24,)</f>
        <v>0</v>
      </c>
      <c r="O317" s="81">
        <f>VLOOKUP(A:A,'staff sales'!C:AC,27,)</f>
        <v>5</v>
      </c>
      <c r="P317" s="81">
        <f>VLOOKUP(A:A,'staff sales'!C:AF,30,)</f>
        <v>1</v>
      </c>
      <c r="Q317" s="81">
        <f>VLOOKUP(A:A,'staff sales'!C:AI,33,)</f>
        <v>50</v>
      </c>
      <c r="R317" s="81">
        <f>VLOOKUP(A:A,'staff sales'!C:AL,36,)</f>
        <v>1</v>
      </c>
      <c r="S317" s="81">
        <f>VLOOKUP(A:A,'staff sales'!C:AO,39,)</f>
        <v>9</v>
      </c>
      <c r="T317" s="81">
        <f>VLOOKUP(A:A,'staff sales'!C:AR,42,)</f>
        <v>8</v>
      </c>
      <c r="U317" s="81">
        <f>VLOOKUP(A:A,'staff sales'!C:AU,45,)</f>
        <v>0</v>
      </c>
      <c r="V317" s="81">
        <f>VLOOKUP(A:A,'staff sales'!C:AX,48,)</f>
        <v>0</v>
      </c>
      <c r="W317" s="81">
        <f>VLOOKUP(A:A,'staff sales'!C:BA,51,)</f>
        <v>2</v>
      </c>
    </row>
    <row r="318" spans="1:23" x14ac:dyDescent="0.25">
      <c r="A318" s="16">
        <v>1001971082</v>
      </c>
      <c r="B318" s="17" t="s">
        <v>982</v>
      </c>
      <c r="C318" s="18" t="s">
        <v>541</v>
      </c>
      <c r="D318" s="18" t="s">
        <v>541</v>
      </c>
      <c r="E318" s="18" t="s">
        <v>983</v>
      </c>
      <c r="F318" s="18" t="s">
        <v>983</v>
      </c>
      <c r="G318" s="18" t="s">
        <v>1218</v>
      </c>
      <c r="H318" s="18" t="s">
        <v>970</v>
      </c>
      <c r="I318" s="19" t="s">
        <v>984</v>
      </c>
      <c r="J318" s="18">
        <v>75012</v>
      </c>
      <c r="K318" s="80">
        <f>VLOOKUP(A:A,'staff sales'!C:Q,15,)</f>
        <v>0</v>
      </c>
      <c r="L318" s="81">
        <f>VLOOKUP(A:A,'staff sales'!C:T,18,)</f>
        <v>0</v>
      </c>
      <c r="M318" s="81">
        <f>VLOOKUP(A:A,'staff sales'!C:W,21,)</f>
        <v>0</v>
      </c>
      <c r="N318" s="81">
        <f>VLOOKUP(A:A,'staff sales'!C:Z,24,)</f>
        <v>0</v>
      </c>
      <c r="O318" s="81">
        <f>VLOOKUP(A:A,'staff sales'!C:AC,27,)</f>
        <v>0</v>
      </c>
      <c r="P318" s="81">
        <f>VLOOKUP(A:A,'staff sales'!C:AF,30,)</f>
        <v>1</v>
      </c>
      <c r="Q318" s="81">
        <f>VLOOKUP(A:A,'staff sales'!C:AI,33,)</f>
        <v>3</v>
      </c>
      <c r="R318" s="81">
        <f>VLOOKUP(A:A,'staff sales'!C:AL,36,)</f>
        <v>0</v>
      </c>
      <c r="S318" s="81">
        <f>VLOOKUP(A:A,'staff sales'!C:AO,39,)</f>
        <v>0</v>
      </c>
      <c r="T318" s="81">
        <f>VLOOKUP(A:A,'staff sales'!C:AR,42,)</f>
        <v>0</v>
      </c>
      <c r="U318" s="81">
        <f>VLOOKUP(A:A,'staff sales'!C:AU,45,)</f>
        <v>0</v>
      </c>
      <c r="V318" s="81">
        <f>VLOOKUP(A:A,'staff sales'!C:AX,48,)</f>
        <v>0</v>
      </c>
      <c r="W318" s="81">
        <f>VLOOKUP(A:A,'staff sales'!C:BA,51,)</f>
        <v>0</v>
      </c>
    </row>
    <row r="319" spans="1:23" x14ac:dyDescent="0.25">
      <c r="A319" s="16">
        <v>1063988735</v>
      </c>
      <c r="B319" s="17" t="s">
        <v>985</v>
      </c>
      <c r="C319" s="18" t="s">
        <v>544</v>
      </c>
      <c r="D319" s="18" t="s">
        <v>544</v>
      </c>
      <c r="E319" s="18" t="s">
        <v>986</v>
      </c>
      <c r="F319" s="18" t="s">
        <v>987</v>
      </c>
      <c r="G319" s="18" t="s">
        <v>1218</v>
      </c>
      <c r="H319" s="18" t="s">
        <v>970</v>
      </c>
      <c r="I319" s="19" t="s">
        <v>984</v>
      </c>
      <c r="J319" s="18">
        <v>75012</v>
      </c>
      <c r="K319" s="80">
        <f>VLOOKUP(A:A,'staff sales'!C:Q,15,)</f>
        <v>0</v>
      </c>
      <c r="L319" s="81">
        <f>VLOOKUP(A:A,'staff sales'!C:T,18,)</f>
        <v>0</v>
      </c>
      <c r="M319" s="81">
        <f>VLOOKUP(A:A,'staff sales'!C:W,21,)</f>
        <v>77.39</v>
      </c>
      <c r="N319" s="81">
        <f>VLOOKUP(A:A,'staff sales'!C:Z,24,)</f>
        <v>0</v>
      </c>
      <c r="O319" s="81">
        <f>VLOOKUP(A:A,'staff sales'!C:AC,27,)</f>
        <v>0</v>
      </c>
      <c r="P319" s="81">
        <f>VLOOKUP(A:A,'staff sales'!C:AF,30,)</f>
        <v>0</v>
      </c>
      <c r="Q319" s="81">
        <f>VLOOKUP(A:A,'staff sales'!C:AI,33,)</f>
        <v>0</v>
      </c>
      <c r="R319" s="81">
        <f>VLOOKUP(A:A,'staff sales'!C:AL,36,)</f>
        <v>0</v>
      </c>
      <c r="S319" s="81">
        <f>VLOOKUP(A:A,'staff sales'!C:AO,39,)</f>
        <v>0</v>
      </c>
      <c r="T319" s="81">
        <f>VLOOKUP(A:A,'staff sales'!C:AR,42,)</f>
        <v>0</v>
      </c>
      <c r="U319" s="81">
        <f>VLOOKUP(A:A,'staff sales'!C:AU,45,)</f>
        <v>0</v>
      </c>
      <c r="V319" s="81">
        <f>VLOOKUP(A:A,'staff sales'!C:AX,48,)</f>
        <v>0</v>
      </c>
      <c r="W319" s="81">
        <f>VLOOKUP(A:A,'staff sales'!C:BA,51,)</f>
        <v>0</v>
      </c>
    </row>
    <row r="320" spans="1:23" x14ac:dyDescent="0.25">
      <c r="A320" s="16">
        <v>1034121226</v>
      </c>
      <c r="B320" s="17" t="s">
        <v>988</v>
      </c>
      <c r="C320" s="18" t="s">
        <v>546</v>
      </c>
      <c r="D320" s="18" t="s">
        <v>546</v>
      </c>
      <c r="E320" s="18" t="s">
        <v>989</v>
      </c>
      <c r="F320" s="18" t="s">
        <v>990</v>
      </c>
      <c r="G320" s="18" t="s">
        <v>1218</v>
      </c>
      <c r="H320" s="18" t="s">
        <v>970</v>
      </c>
      <c r="I320" s="19" t="s">
        <v>984</v>
      </c>
      <c r="J320" s="18">
        <v>75012</v>
      </c>
      <c r="K320" s="80">
        <f>VLOOKUP(A:A,'staff sales'!C:Q,15,)</f>
        <v>259569.61</v>
      </c>
      <c r="L320" s="81">
        <f>VLOOKUP(A:A,'staff sales'!C:T,18,)</f>
        <v>6214.2</v>
      </c>
      <c r="M320" s="81">
        <f>VLOOKUP(A:A,'staff sales'!C:W,21,)</f>
        <v>60926.29</v>
      </c>
      <c r="N320" s="81">
        <f>VLOOKUP(A:A,'staff sales'!C:Z,24,)</f>
        <v>50</v>
      </c>
      <c r="O320" s="81">
        <f>VLOOKUP(A:A,'staff sales'!C:AC,27,)</f>
        <v>13</v>
      </c>
      <c r="P320" s="81">
        <f>VLOOKUP(A:A,'staff sales'!C:AF,30,)</f>
        <v>5</v>
      </c>
      <c r="Q320" s="81">
        <f>VLOOKUP(A:A,'staff sales'!C:AI,33,)</f>
        <v>145</v>
      </c>
      <c r="R320" s="81">
        <f>VLOOKUP(A:A,'staff sales'!C:AL,36,)</f>
        <v>5</v>
      </c>
      <c r="S320" s="81">
        <f>VLOOKUP(A:A,'staff sales'!C:AO,39,)</f>
        <v>21</v>
      </c>
      <c r="T320" s="81">
        <f>VLOOKUP(A:A,'staff sales'!C:AR,42,)</f>
        <v>16</v>
      </c>
      <c r="U320" s="81">
        <f>VLOOKUP(A:A,'staff sales'!C:AU,45,)</f>
        <v>0</v>
      </c>
      <c r="V320" s="81">
        <f>VLOOKUP(A:A,'staff sales'!C:AX,48,)</f>
        <v>0</v>
      </c>
      <c r="W320" s="81">
        <f>VLOOKUP(A:A,'staff sales'!C:BA,51,)</f>
        <v>22</v>
      </c>
    </row>
    <row r="321" spans="1:23" x14ac:dyDescent="0.25">
      <c r="A321" s="16">
        <v>1055092090</v>
      </c>
      <c r="B321" s="17" t="s">
        <v>991</v>
      </c>
      <c r="C321" s="18" t="s">
        <v>546</v>
      </c>
      <c r="D321" s="18" t="s">
        <v>546</v>
      </c>
      <c r="E321" s="18" t="s">
        <v>992</v>
      </c>
      <c r="F321" s="18" t="s">
        <v>993</v>
      </c>
      <c r="G321" s="18" t="s">
        <v>1218</v>
      </c>
      <c r="H321" s="18" t="s">
        <v>970</v>
      </c>
      <c r="I321" s="19" t="s">
        <v>984</v>
      </c>
      <c r="J321" s="18">
        <v>75012</v>
      </c>
      <c r="K321" s="80">
        <f>VLOOKUP(A:A,'staff sales'!C:Q,15,)</f>
        <v>112177.41</v>
      </c>
      <c r="L321" s="81">
        <f>VLOOKUP(A:A,'staff sales'!C:T,18,)</f>
        <v>1216.52</v>
      </c>
      <c r="M321" s="81">
        <f>VLOOKUP(A:A,'staff sales'!C:W,21,)</f>
        <v>36744.409999999996</v>
      </c>
      <c r="N321" s="81">
        <f>VLOOKUP(A:A,'staff sales'!C:Z,24,)</f>
        <v>0</v>
      </c>
      <c r="O321" s="81">
        <f>VLOOKUP(A:A,'staff sales'!C:AC,27,)</f>
        <v>3</v>
      </c>
      <c r="P321" s="81">
        <f>VLOOKUP(A:A,'staff sales'!C:AF,30,)</f>
        <v>2</v>
      </c>
      <c r="Q321" s="81">
        <f>VLOOKUP(A:A,'staff sales'!C:AI,33,)</f>
        <v>27</v>
      </c>
      <c r="R321" s="81">
        <f>VLOOKUP(A:A,'staff sales'!C:AL,36,)</f>
        <v>0</v>
      </c>
      <c r="S321" s="81">
        <f>VLOOKUP(A:A,'staff sales'!C:AO,39,)</f>
        <v>2</v>
      </c>
      <c r="T321" s="81">
        <f>VLOOKUP(A:A,'staff sales'!C:AR,42,)</f>
        <v>2</v>
      </c>
      <c r="U321" s="81">
        <f>VLOOKUP(A:A,'staff sales'!C:AU,45,)</f>
        <v>0</v>
      </c>
      <c r="V321" s="81">
        <f>VLOOKUP(A:A,'staff sales'!C:AX,48,)</f>
        <v>0</v>
      </c>
      <c r="W321" s="81">
        <f>VLOOKUP(A:A,'staff sales'!C:BA,51,)</f>
        <v>10</v>
      </c>
    </row>
    <row r="322" spans="1:23" x14ac:dyDescent="0.25">
      <c r="A322" s="16">
        <v>1039348170</v>
      </c>
      <c r="B322" s="17" t="s">
        <v>994</v>
      </c>
      <c r="C322" s="18" t="s">
        <v>541</v>
      </c>
      <c r="D322" s="18" t="s">
        <v>541</v>
      </c>
      <c r="E322" s="18" t="s">
        <v>995</v>
      </c>
      <c r="F322" s="18" t="s">
        <v>995</v>
      </c>
      <c r="G322" s="18" t="s">
        <v>1218</v>
      </c>
      <c r="H322" s="18" t="s">
        <v>970</v>
      </c>
      <c r="I322" s="19" t="s">
        <v>996</v>
      </c>
      <c r="J322" s="18">
        <v>75015</v>
      </c>
      <c r="K322" s="80">
        <f>VLOOKUP(A:A,'staff sales'!C:Q,15,)</f>
        <v>0</v>
      </c>
      <c r="L322" s="81">
        <f>VLOOKUP(A:A,'staff sales'!C:T,18,)</f>
        <v>0</v>
      </c>
      <c r="M322" s="81">
        <f>VLOOKUP(A:A,'staff sales'!C:W,21,)</f>
        <v>0</v>
      </c>
      <c r="N322" s="81">
        <f>VLOOKUP(A:A,'staff sales'!C:Z,24,)</f>
        <v>0</v>
      </c>
      <c r="O322" s="81">
        <f>VLOOKUP(A:A,'staff sales'!C:AC,27,)</f>
        <v>0</v>
      </c>
      <c r="P322" s="81">
        <f>VLOOKUP(A:A,'staff sales'!C:AF,30,)</f>
        <v>0</v>
      </c>
      <c r="Q322" s="81">
        <f>VLOOKUP(A:A,'staff sales'!C:AI,33,)</f>
        <v>0</v>
      </c>
      <c r="R322" s="81">
        <f>VLOOKUP(A:A,'staff sales'!C:AL,36,)</f>
        <v>0</v>
      </c>
      <c r="S322" s="81">
        <f>VLOOKUP(A:A,'staff sales'!C:AO,39,)</f>
        <v>0</v>
      </c>
      <c r="T322" s="81">
        <f>VLOOKUP(A:A,'staff sales'!C:AR,42,)</f>
        <v>0</v>
      </c>
      <c r="U322" s="81">
        <f>VLOOKUP(A:A,'staff sales'!C:AU,45,)</f>
        <v>0</v>
      </c>
      <c r="V322" s="81">
        <f>VLOOKUP(A:A,'staff sales'!C:AX,48,)</f>
        <v>0</v>
      </c>
      <c r="W322" s="81">
        <f>VLOOKUP(A:A,'staff sales'!C:BA,51,)</f>
        <v>0</v>
      </c>
    </row>
    <row r="323" spans="1:23" x14ac:dyDescent="0.25">
      <c r="A323" s="16">
        <v>1053320246</v>
      </c>
      <c r="B323" s="17" t="s">
        <v>997</v>
      </c>
      <c r="C323" s="18" t="s">
        <v>546</v>
      </c>
      <c r="D323" s="18" t="s">
        <v>546</v>
      </c>
      <c r="E323" s="18" t="s">
        <v>998</v>
      </c>
      <c r="F323" s="18" t="s">
        <v>999</v>
      </c>
      <c r="G323" s="18" t="s">
        <v>1218</v>
      </c>
      <c r="H323" s="18" t="s">
        <v>970</v>
      </c>
      <c r="I323" s="19" t="s">
        <v>996</v>
      </c>
      <c r="J323" s="18">
        <v>75015</v>
      </c>
      <c r="K323" s="80">
        <f>VLOOKUP(A:A,'staff sales'!C:Q,15,)</f>
        <v>75857.440000000002</v>
      </c>
      <c r="L323" s="81">
        <f>VLOOKUP(A:A,'staff sales'!C:T,18,)</f>
        <v>9649.56</v>
      </c>
      <c r="M323" s="81">
        <f>VLOOKUP(A:A,'staff sales'!C:W,21,)</f>
        <v>14726.95</v>
      </c>
      <c r="N323" s="81">
        <f>VLOOKUP(A:A,'staff sales'!C:Z,24,)</f>
        <v>0</v>
      </c>
      <c r="O323" s="81">
        <f>VLOOKUP(A:A,'staff sales'!C:AC,27,)</f>
        <v>4</v>
      </c>
      <c r="P323" s="81">
        <f>VLOOKUP(A:A,'staff sales'!C:AF,30,)</f>
        <v>2</v>
      </c>
      <c r="Q323" s="81">
        <f>VLOOKUP(A:A,'staff sales'!C:AI,33,)</f>
        <v>114</v>
      </c>
      <c r="R323" s="81">
        <f>VLOOKUP(A:A,'staff sales'!C:AL,36,)</f>
        <v>0</v>
      </c>
      <c r="S323" s="81">
        <f>VLOOKUP(A:A,'staff sales'!C:AO,39,)</f>
        <v>1</v>
      </c>
      <c r="T323" s="81">
        <f>VLOOKUP(A:A,'staff sales'!C:AR,42,)</f>
        <v>4</v>
      </c>
      <c r="U323" s="81">
        <f>VLOOKUP(A:A,'staff sales'!C:AU,45,)</f>
        <v>0</v>
      </c>
      <c r="V323" s="81">
        <f>VLOOKUP(A:A,'staff sales'!C:AX,48,)</f>
        <v>0</v>
      </c>
      <c r="W323" s="81">
        <f>VLOOKUP(A:A,'staff sales'!C:BA,51,)</f>
        <v>4</v>
      </c>
    </row>
    <row r="324" spans="1:23" x14ac:dyDescent="0.25">
      <c r="A324" s="16">
        <v>1025783489</v>
      </c>
      <c r="B324" s="17" t="s">
        <v>1000</v>
      </c>
      <c r="C324" s="18" t="s">
        <v>546</v>
      </c>
      <c r="D324" s="18" t="s">
        <v>546</v>
      </c>
      <c r="E324" s="18" t="s">
        <v>1001</v>
      </c>
      <c r="F324" s="18" t="s">
        <v>1002</v>
      </c>
      <c r="G324" s="18" t="s">
        <v>1218</v>
      </c>
      <c r="H324" s="18" t="s">
        <v>970</v>
      </c>
      <c r="I324" s="19" t="s">
        <v>996</v>
      </c>
      <c r="J324" s="18">
        <v>75015</v>
      </c>
      <c r="K324" s="80">
        <f>VLOOKUP(A:A,'staff sales'!C:Q,15,)</f>
        <v>118974.84</v>
      </c>
      <c r="L324" s="81">
        <f>VLOOKUP(A:A,'staff sales'!C:T,18,)</f>
        <v>0</v>
      </c>
      <c r="M324" s="81">
        <f>VLOOKUP(A:A,'staff sales'!C:W,21,)</f>
        <v>18735.219999999998</v>
      </c>
      <c r="N324" s="81">
        <f>VLOOKUP(A:A,'staff sales'!C:Z,24,)</f>
        <v>0</v>
      </c>
      <c r="O324" s="81">
        <f>VLOOKUP(A:A,'staff sales'!C:AC,27,)</f>
        <v>3</v>
      </c>
      <c r="P324" s="81">
        <f>VLOOKUP(A:A,'staff sales'!C:AF,30,)</f>
        <v>1</v>
      </c>
      <c r="Q324" s="81">
        <f>VLOOKUP(A:A,'staff sales'!C:AI,33,)</f>
        <v>41</v>
      </c>
      <c r="R324" s="81">
        <f>VLOOKUP(A:A,'staff sales'!C:AL,36,)</f>
        <v>1</v>
      </c>
      <c r="S324" s="81">
        <f>VLOOKUP(A:A,'staff sales'!C:AO,39,)</f>
        <v>1</v>
      </c>
      <c r="T324" s="81">
        <f>VLOOKUP(A:A,'staff sales'!C:AR,42,)</f>
        <v>6</v>
      </c>
      <c r="U324" s="81">
        <f>VLOOKUP(A:A,'staff sales'!C:AU,45,)</f>
        <v>0</v>
      </c>
      <c r="V324" s="81">
        <f>VLOOKUP(A:A,'staff sales'!C:AX,48,)</f>
        <v>0</v>
      </c>
      <c r="W324" s="81">
        <f>VLOOKUP(A:A,'staff sales'!C:BA,51,)</f>
        <v>4</v>
      </c>
    </row>
    <row r="325" spans="1:23" x14ac:dyDescent="0.25">
      <c r="A325" s="16">
        <v>1065605964</v>
      </c>
      <c r="B325" s="17" t="s">
        <v>1003</v>
      </c>
      <c r="C325" s="18" t="s">
        <v>541</v>
      </c>
      <c r="D325" s="18" t="s">
        <v>541</v>
      </c>
      <c r="E325" s="18" t="s">
        <v>1004</v>
      </c>
      <c r="F325" s="18" t="s">
        <v>1004</v>
      </c>
      <c r="G325" s="18" t="s">
        <v>1218</v>
      </c>
      <c r="H325" s="18" t="s">
        <v>970</v>
      </c>
      <c r="I325" s="19" t="s">
        <v>1005</v>
      </c>
      <c r="J325" s="18">
        <v>75016</v>
      </c>
      <c r="K325" s="80">
        <f>VLOOKUP(A:A,'staff sales'!C:Q,15,)</f>
        <v>0</v>
      </c>
      <c r="L325" s="81">
        <f>VLOOKUP(A:A,'staff sales'!C:T,18,)</f>
        <v>0</v>
      </c>
      <c r="M325" s="81">
        <f>VLOOKUP(A:A,'staff sales'!C:W,21,)</f>
        <v>0</v>
      </c>
      <c r="N325" s="81">
        <f>VLOOKUP(A:A,'staff sales'!C:Z,24,)</f>
        <v>0</v>
      </c>
      <c r="O325" s="81">
        <f>VLOOKUP(A:A,'staff sales'!C:AC,27,)</f>
        <v>0</v>
      </c>
      <c r="P325" s="81">
        <f>VLOOKUP(A:A,'staff sales'!C:AF,30,)</f>
        <v>0</v>
      </c>
      <c r="Q325" s="81">
        <f>VLOOKUP(A:A,'staff sales'!C:AI,33,)</f>
        <v>0</v>
      </c>
      <c r="R325" s="81">
        <f>VLOOKUP(A:A,'staff sales'!C:AL,36,)</f>
        <v>0</v>
      </c>
      <c r="S325" s="81">
        <f>VLOOKUP(A:A,'staff sales'!C:AO,39,)</f>
        <v>0</v>
      </c>
      <c r="T325" s="81">
        <f>VLOOKUP(A:A,'staff sales'!C:AR,42,)</f>
        <v>0</v>
      </c>
      <c r="U325" s="81">
        <f>VLOOKUP(A:A,'staff sales'!C:AU,45,)</f>
        <v>0</v>
      </c>
      <c r="V325" s="81">
        <f>VLOOKUP(A:A,'staff sales'!C:AX,48,)</f>
        <v>0</v>
      </c>
      <c r="W325" s="81">
        <f>VLOOKUP(A:A,'staff sales'!C:BA,51,)</f>
        <v>0</v>
      </c>
    </row>
    <row r="326" spans="1:23" x14ac:dyDescent="0.25">
      <c r="A326" s="16">
        <v>1034837375</v>
      </c>
      <c r="B326" s="17" t="s">
        <v>1006</v>
      </c>
      <c r="C326" s="18" t="s">
        <v>544</v>
      </c>
      <c r="D326" s="18" t="s">
        <v>544</v>
      </c>
      <c r="E326" s="18" t="s">
        <v>1007</v>
      </c>
      <c r="F326" s="18" t="s">
        <v>1008</v>
      </c>
      <c r="G326" s="18" t="s">
        <v>1218</v>
      </c>
      <c r="H326" s="18" t="s">
        <v>970</v>
      </c>
      <c r="I326" s="19" t="s">
        <v>1005</v>
      </c>
      <c r="J326" s="18">
        <v>75016</v>
      </c>
      <c r="K326" s="80">
        <f>VLOOKUP(A:A,'staff sales'!C:Q,15,)</f>
        <v>0</v>
      </c>
      <c r="L326" s="81">
        <f>VLOOKUP(A:A,'staff sales'!C:T,18,)</f>
        <v>0</v>
      </c>
      <c r="M326" s="81">
        <f>VLOOKUP(A:A,'staff sales'!C:W,21,)</f>
        <v>68.7</v>
      </c>
      <c r="N326" s="81">
        <f>VLOOKUP(A:A,'staff sales'!C:Z,24,)</f>
        <v>0</v>
      </c>
      <c r="O326" s="81">
        <f>VLOOKUP(A:A,'staff sales'!C:AC,27,)</f>
        <v>1</v>
      </c>
      <c r="P326" s="81">
        <f>VLOOKUP(A:A,'staff sales'!C:AF,30,)</f>
        <v>1</v>
      </c>
      <c r="Q326" s="81">
        <f>VLOOKUP(A:A,'staff sales'!C:AI,33,)</f>
        <v>2</v>
      </c>
      <c r="R326" s="81">
        <f>VLOOKUP(A:A,'staff sales'!C:AL,36,)</f>
        <v>0</v>
      </c>
      <c r="S326" s="81">
        <f>VLOOKUP(A:A,'staff sales'!C:AO,39,)</f>
        <v>0</v>
      </c>
      <c r="T326" s="81">
        <f>VLOOKUP(A:A,'staff sales'!C:AR,42,)</f>
        <v>0</v>
      </c>
      <c r="U326" s="81">
        <f>VLOOKUP(A:A,'staff sales'!C:AU,45,)</f>
        <v>0</v>
      </c>
      <c r="V326" s="81">
        <f>VLOOKUP(A:A,'staff sales'!C:AX,48,)</f>
        <v>0</v>
      </c>
      <c r="W326" s="81">
        <f>VLOOKUP(A:A,'staff sales'!C:BA,51,)</f>
        <v>0</v>
      </c>
    </row>
    <row r="327" spans="1:23" x14ac:dyDescent="0.25">
      <c r="A327" s="16">
        <v>1047804388</v>
      </c>
      <c r="B327" s="17" t="s">
        <v>1009</v>
      </c>
      <c r="C327" s="18" t="s">
        <v>546</v>
      </c>
      <c r="D327" s="18" t="s">
        <v>546</v>
      </c>
      <c r="E327" s="18" t="s">
        <v>1010</v>
      </c>
      <c r="F327" s="18" t="s">
        <v>1010</v>
      </c>
      <c r="G327" s="18" t="s">
        <v>1218</v>
      </c>
      <c r="H327" s="18" t="s">
        <v>970</v>
      </c>
      <c r="I327" s="19" t="s">
        <v>1005</v>
      </c>
      <c r="J327" s="18">
        <v>75016</v>
      </c>
      <c r="K327" s="80">
        <f>VLOOKUP(A:A,'staff sales'!C:Q,15,)</f>
        <v>58592.210000000006</v>
      </c>
      <c r="L327" s="81">
        <f>VLOOKUP(A:A,'staff sales'!C:T,18,)</f>
        <v>0</v>
      </c>
      <c r="M327" s="81">
        <f>VLOOKUP(A:A,'staff sales'!C:W,21,)</f>
        <v>26182.12</v>
      </c>
      <c r="N327" s="81">
        <f>VLOOKUP(A:A,'staff sales'!C:Z,24,)</f>
        <v>0</v>
      </c>
      <c r="O327" s="81">
        <f>VLOOKUP(A:A,'staff sales'!C:AC,27,)</f>
        <v>3</v>
      </c>
      <c r="P327" s="81">
        <f>VLOOKUP(A:A,'staff sales'!C:AF,30,)</f>
        <v>3</v>
      </c>
      <c r="Q327" s="81">
        <f>VLOOKUP(A:A,'staff sales'!C:AI,33,)</f>
        <v>45</v>
      </c>
      <c r="R327" s="81">
        <f>VLOOKUP(A:A,'staff sales'!C:AL,36,)</f>
        <v>1</v>
      </c>
      <c r="S327" s="81">
        <f>VLOOKUP(A:A,'staff sales'!C:AO,39,)</f>
        <v>2</v>
      </c>
      <c r="T327" s="81">
        <f>VLOOKUP(A:A,'staff sales'!C:AR,42,)</f>
        <v>2</v>
      </c>
      <c r="U327" s="81">
        <f>VLOOKUP(A:A,'staff sales'!C:AU,45,)</f>
        <v>3</v>
      </c>
      <c r="V327" s="81">
        <f>VLOOKUP(A:A,'staff sales'!C:AX,48,)</f>
        <v>0</v>
      </c>
      <c r="W327" s="81">
        <f>VLOOKUP(A:A,'staff sales'!C:BA,51,)</f>
        <v>8</v>
      </c>
    </row>
    <row r="328" spans="1:23" x14ac:dyDescent="0.25">
      <c r="A328" s="16">
        <v>1038957187</v>
      </c>
      <c r="B328" s="17" t="s">
        <v>1011</v>
      </c>
      <c r="C328" s="18" t="s">
        <v>546</v>
      </c>
      <c r="D328" s="18" t="s">
        <v>546</v>
      </c>
      <c r="E328" s="18" t="s">
        <v>1012</v>
      </c>
      <c r="F328" s="18" t="s">
        <v>1013</v>
      </c>
      <c r="G328" s="18" t="s">
        <v>1218</v>
      </c>
      <c r="H328" s="18" t="s">
        <v>970</v>
      </c>
      <c r="I328" s="19" t="s">
        <v>1005</v>
      </c>
      <c r="J328" s="18">
        <v>75016</v>
      </c>
      <c r="K328" s="80">
        <f>VLOOKUP(A:A,'staff sales'!C:Q,15,)</f>
        <v>135078.27000000002</v>
      </c>
      <c r="L328" s="81">
        <f>VLOOKUP(A:A,'staff sales'!C:T,18,)</f>
        <v>0</v>
      </c>
      <c r="M328" s="81">
        <f>VLOOKUP(A:A,'staff sales'!C:W,21,)</f>
        <v>26010.02</v>
      </c>
      <c r="N328" s="81">
        <f>VLOOKUP(A:A,'staff sales'!C:Z,24,)</f>
        <v>0</v>
      </c>
      <c r="O328" s="81">
        <f>VLOOKUP(A:A,'staff sales'!C:AC,27,)</f>
        <v>3</v>
      </c>
      <c r="P328" s="81">
        <f>VLOOKUP(A:A,'staff sales'!C:AF,30,)</f>
        <v>0</v>
      </c>
      <c r="Q328" s="81">
        <f>VLOOKUP(A:A,'staff sales'!C:AI,33,)</f>
        <v>109</v>
      </c>
      <c r="R328" s="81">
        <f>VLOOKUP(A:A,'staff sales'!C:AL,36,)</f>
        <v>1</v>
      </c>
      <c r="S328" s="81">
        <f>VLOOKUP(A:A,'staff sales'!C:AO,39,)</f>
        <v>2</v>
      </c>
      <c r="T328" s="81">
        <f>VLOOKUP(A:A,'staff sales'!C:AR,42,)</f>
        <v>4</v>
      </c>
      <c r="U328" s="81">
        <f>VLOOKUP(A:A,'staff sales'!C:AU,45,)</f>
        <v>8</v>
      </c>
      <c r="V328" s="81">
        <f>VLOOKUP(A:A,'staff sales'!C:AX,48,)</f>
        <v>0</v>
      </c>
      <c r="W328" s="81">
        <f>VLOOKUP(A:A,'staff sales'!C:BA,51,)</f>
        <v>11</v>
      </c>
    </row>
    <row r="329" spans="1:23" x14ac:dyDescent="0.25">
      <c r="A329" s="16">
        <v>1076318276</v>
      </c>
      <c r="B329" s="17" t="s">
        <v>1172</v>
      </c>
      <c r="C329" s="18" t="s">
        <v>546</v>
      </c>
      <c r="D329" s="18" t="s">
        <v>546</v>
      </c>
      <c r="E329" s="18" t="s">
        <v>1173</v>
      </c>
      <c r="F329" s="18" t="s">
        <v>1173</v>
      </c>
      <c r="G329" s="18" t="s">
        <v>1218</v>
      </c>
      <c r="H329" s="18" t="s">
        <v>970</v>
      </c>
      <c r="I329" s="19" t="s">
        <v>1005</v>
      </c>
      <c r="J329" s="18">
        <v>75016</v>
      </c>
      <c r="K329" s="80">
        <f>VLOOKUP(A:A,'staff sales'!C:Q,15,)</f>
        <v>94425.239999999991</v>
      </c>
      <c r="L329" s="81">
        <f>VLOOKUP(A:A,'staff sales'!C:T,18,)</f>
        <v>13844.32</v>
      </c>
      <c r="M329" s="81">
        <f>VLOOKUP(A:A,'staff sales'!C:W,21,)</f>
        <v>16148.279999999997</v>
      </c>
      <c r="N329" s="81">
        <f>VLOOKUP(A:A,'staff sales'!C:Z,24,)</f>
        <v>0</v>
      </c>
      <c r="O329" s="81">
        <f>VLOOKUP(A:A,'staff sales'!C:AC,27,)</f>
        <v>10</v>
      </c>
      <c r="P329" s="81">
        <f>VLOOKUP(A:A,'staff sales'!C:AF,30,)</f>
        <v>3</v>
      </c>
      <c r="Q329" s="81">
        <f>VLOOKUP(A:A,'staff sales'!C:AI,33,)</f>
        <v>99</v>
      </c>
      <c r="R329" s="81">
        <f>VLOOKUP(A:A,'staff sales'!C:AL,36,)</f>
        <v>1</v>
      </c>
      <c r="S329" s="81">
        <f>VLOOKUP(A:A,'staff sales'!C:AO,39,)</f>
        <v>17</v>
      </c>
      <c r="T329" s="81">
        <f>VLOOKUP(A:A,'staff sales'!C:AR,42,)</f>
        <v>3</v>
      </c>
      <c r="U329" s="81">
        <f>VLOOKUP(A:A,'staff sales'!C:AU,45,)</f>
        <v>1</v>
      </c>
      <c r="V329" s="81">
        <f>VLOOKUP(A:A,'staff sales'!C:AX,48,)</f>
        <v>0</v>
      </c>
      <c r="W329" s="81">
        <f>VLOOKUP(A:A,'staff sales'!C:BA,51,)</f>
        <v>1</v>
      </c>
    </row>
    <row r="330" spans="1:23" x14ac:dyDescent="0.25">
      <c r="A330" s="16">
        <v>1068574159</v>
      </c>
      <c r="B330" s="17" t="s">
        <v>1027</v>
      </c>
      <c r="C330" s="18" t="s">
        <v>541</v>
      </c>
      <c r="D330" s="18" t="s">
        <v>541</v>
      </c>
      <c r="E330" s="18" t="s">
        <v>1028</v>
      </c>
      <c r="F330" s="18" t="s">
        <v>1029</v>
      </c>
      <c r="G330" s="18" t="s">
        <v>1218</v>
      </c>
      <c r="H330" s="18" t="s">
        <v>970</v>
      </c>
      <c r="I330" s="19" t="s">
        <v>1016</v>
      </c>
      <c r="J330" s="18">
        <v>75021</v>
      </c>
      <c r="K330" s="80">
        <f>VLOOKUP(A:A,'staff sales'!C:Q,15,)</f>
        <v>0</v>
      </c>
      <c r="L330" s="81">
        <f>VLOOKUP(A:A,'staff sales'!C:T,18,)</f>
        <v>0</v>
      </c>
      <c r="M330" s="81">
        <f>VLOOKUP(A:A,'staff sales'!C:W,21,)</f>
        <v>0</v>
      </c>
      <c r="N330" s="81">
        <f>VLOOKUP(A:A,'staff sales'!C:Z,24,)</f>
        <v>0</v>
      </c>
      <c r="O330" s="81">
        <f>VLOOKUP(A:A,'staff sales'!C:AC,27,)</f>
        <v>0</v>
      </c>
      <c r="P330" s="81">
        <f>VLOOKUP(A:A,'staff sales'!C:AF,30,)</f>
        <v>0</v>
      </c>
      <c r="Q330" s="81">
        <f>VLOOKUP(A:A,'staff sales'!C:AI,33,)</f>
        <v>0</v>
      </c>
      <c r="R330" s="81">
        <f>VLOOKUP(A:A,'staff sales'!C:AL,36,)</f>
        <v>0</v>
      </c>
      <c r="S330" s="81">
        <f>VLOOKUP(A:A,'staff sales'!C:AO,39,)</f>
        <v>1</v>
      </c>
      <c r="T330" s="81">
        <f>VLOOKUP(A:A,'staff sales'!C:AR,42,)</f>
        <v>0</v>
      </c>
      <c r="U330" s="81">
        <f>VLOOKUP(A:A,'staff sales'!C:AU,45,)</f>
        <v>0</v>
      </c>
      <c r="V330" s="81">
        <f>VLOOKUP(A:A,'staff sales'!C:AX,48,)</f>
        <v>0</v>
      </c>
      <c r="W330" s="81">
        <f>VLOOKUP(A:A,'staff sales'!C:BA,51,)</f>
        <v>0</v>
      </c>
    </row>
    <row r="331" spans="1:23" x14ac:dyDescent="0.25">
      <c r="A331" s="16">
        <v>1065358341</v>
      </c>
      <c r="B331" s="17" t="s">
        <v>1017</v>
      </c>
      <c r="C331" s="18" t="s">
        <v>544</v>
      </c>
      <c r="D331" s="18" t="s">
        <v>544</v>
      </c>
      <c r="E331" s="18" t="s">
        <v>1018</v>
      </c>
      <c r="F331" s="18" t="s">
        <v>1019</v>
      </c>
      <c r="G331" s="18" t="s">
        <v>1218</v>
      </c>
      <c r="H331" s="18" t="s">
        <v>970</v>
      </c>
      <c r="I331" s="19" t="s">
        <v>1016</v>
      </c>
      <c r="J331" s="18">
        <v>75021</v>
      </c>
      <c r="K331" s="80">
        <f>VLOOKUP(A:A,'staff sales'!C:Q,15,)</f>
        <v>0</v>
      </c>
      <c r="L331" s="81">
        <f>VLOOKUP(A:A,'staff sales'!C:T,18,)</f>
        <v>0</v>
      </c>
      <c r="M331" s="81">
        <f>VLOOKUP(A:A,'staff sales'!C:W,21,)</f>
        <v>0</v>
      </c>
      <c r="N331" s="81">
        <f>VLOOKUP(A:A,'staff sales'!C:Z,24,)</f>
        <v>0</v>
      </c>
      <c r="O331" s="81">
        <f>VLOOKUP(A:A,'staff sales'!C:AC,27,)</f>
        <v>0</v>
      </c>
      <c r="P331" s="81">
        <f>VLOOKUP(A:A,'staff sales'!C:AF,30,)</f>
        <v>0</v>
      </c>
      <c r="Q331" s="81">
        <f>VLOOKUP(A:A,'staff sales'!C:AI,33,)</f>
        <v>7</v>
      </c>
      <c r="R331" s="81">
        <f>VLOOKUP(A:A,'staff sales'!C:AL,36,)</f>
        <v>0</v>
      </c>
      <c r="S331" s="81">
        <f>VLOOKUP(A:A,'staff sales'!C:AO,39,)</f>
        <v>0</v>
      </c>
      <c r="T331" s="81">
        <f>VLOOKUP(A:A,'staff sales'!C:AR,42,)</f>
        <v>0</v>
      </c>
      <c r="U331" s="81">
        <f>VLOOKUP(A:A,'staff sales'!C:AU,45,)</f>
        <v>0</v>
      </c>
      <c r="V331" s="81">
        <f>VLOOKUP(A:A,'staff sales'!C:AX,48,)</f>
        <v>0</v>
      </c>
      <c r="W331" s="81">
        <f>VLOOKUP(A:A,'staff sales'!C:BA,51,)</f>
        <v>0</v>
      </c>
    </row>
    <row r="332" spans="1:23" x14ac:dyDescent="0.25">
      <c r="A332" s="16">
        <v>1094548474</v>
      </c>
      <c r="B332" s="17" t="s">
        <v>1020</v>
      </c>
      <c r="C332" s="18" t="s">
        <v>546</v>
      </c>
      <c r="D332" s="18" t="s">
        <v>546</v>
      </c>
      <c r="E332" s="18" t="s">
        <v>1021</v>
      </c>
      <c r="F332" s="18" t="s">
        <v>1021</v>
      </c>
      <c r="G332" s="18" t="s">
        <v>1218</v>
      </c>
      <c r="H332" s="18" t="s">
        <v>970</v>
      </c>
      <c r="I332" s="19" t="s">
        <v>1016</v>
      </c>
      <c r="J332" s="18">
        <v>75021</v>
      </c>
      <c r="K332" s="80">
        <f>VLOOKUP(A:A,'staff sales'!C:Q,15,)</f>
        <v>94518.26</v>
      </c>
      <c r="L332" s="81">
        <f>VLOOKUP(A:A,'staff sales'!C:T,18,)</f>
        <v>0</v>
      </c>
      <c r="M332" s="81">
        <f>VLOOKUP(A:A,'staff sales'!C:W,21,)</f>
        <v>12162.17</v>
      </c>
      <c r="N332" s="81">
        <f>VLOOKUP(A:A,'staff sales'!C:Z,24,)</f>
        <v>0</v>
      </c>
      <c r="O332" s="81">
        <f>VLOOKUP(A:A,'staff sales'!C:AC,27,)</f>
        <v>3</v>
      </c>
      <c r="P332" s="81">
        <f>VLOOKUP(A:A,'staff sales'!C:AF,30,)</f>
        <v>1</v>
      </c>
      <c r="Q332" s="81">
        <f>VLOOKUP(A:A,'staff sales'!C:AI,33,)</f>
        <v>89</v>
      </c>
      <c r="R332" s="81">
        <f>VLOOKUP(A:A,'staff sales'!C:AL,36,)</f>
        <v>5</v>
      </c>
      <c r="S332" s="81">
        <f>VLOOKUP(A:A,'staff sales'!C:AO,39,)</f>
        <v>5</v>
      </c>
      <c r="T332" s="81">
        <f>VLOOKUP(A:A,'staff sales'!C:AR,42,)</f>
        <v>3</v>
      </c>
      <c r="U332" s="81">
        <f>VLOOKUP(A:A,'staff sales'!C:AU,45,)</f>
        <v>1</v>
      </c>
      <c r="V332" s="81">
        <f>VLOOKUP(A:A,'staff sales'!C:AX,48,)</f>
        <v>0</v>
      </c>
      <c r="W332" s="81">
        <f>VLOOKUP(A:A,'staff sales'!C:BA,51,)</f>
        <v>5</v>
      </c>
    </row>
    <row r="333" spans="1:23" x14ac:dyDescent="0.25">
      <c r="A333" s="16">
        <v>1059431484</v>
      </c>
      <c r="B333" s="17" t="s">
        <v>1022</v>
      </c>
      <c r="C333" s="18" t="s">
        <v>546</v>
      </c>
      <c r="D333" s="18" t="s">
        <v>546</v>
      </c>
      <c r="E333" s="18" t="s">
        <v>1023</v>
      </c>
      <c r="F333" s="18" t="s">
        <v>1024</v>
      </c>
      <c r="G333" s="18" t="s">
        <v>1218</v>
      </c>
      <c r="H333" s="18" t="s">
        <v>970</v>
      </c>
      <c r="I333" s="19" t="s">
        <v>1016</v>
      </c>
      <c r="J333" s="18">
        <v>75021</v>
      </c>
      <c r="K333" s="80">
        <f>VLOOKUP(A:A,'staff sales'!C:Q,15,)</f>
        <v>128618.26000000001</v>
      </c>
      <c r="L333" s="81">
        <f>VLOOKUP(A:A,'staff sales'!C:T,18,)</f>
        <v>12161.75</v>
      </c>
      <c r="M333" s="81">
        <f>VLOOKUP(A:A,'staff sales'!C:W,21,)</f>
        <v>50219.650000000009</v>
      </c>
      <c r="N333" s="81">
        <f>VLOOKUP(A:A,'staff sales'!C:Z,24,)</f>
        <v>400</v>
      </c>
      <c r="O333" s="81">
        <f>VLOOKUP(A:A,'staff sales'!C:AC,27,)</f>
        <v>10</v>
      </c>
      <c r="P333" s="81">
        <f>VLOOKUP(A:A,'staff sales'!C:AF,30,)</f>
        <v>4</v>
      </c>
      <c r="Q333" s="81">
        <f>VLOOKUP(A:A,'staff sales'!C:AI,33,)</f>
        <v>40</v>
      </c>
      <c r="R333" s="81">
        <f>VLOOKUP(A:A,'staff sales'!C:AL,36,)</f>
        <v>0</v>
      </c>
      <c r="S333" s="81">
        <f>VLOOKUP(A:A,'staff sales'!C:AO,39,)</f>
        <v>3</v>
      </c>
      <c r="T333" s="81">
        <f>VLOOKUP(A:A,'staff sales'!C:AR,42,)</f>
        <v>2</v>
      </c>
      <c r="U333" s="81">
        <f>VLOOKUP(A:A,'staff sales'!C:AU,45,)</f>
        <v>1</v>
      </c>
      <c r="V333" s="81">
        <f>VLOOKUP(A:A,'staff sales'!C:AX,48,)</f>
        <v>0</v>
      </c>
      <c r="W333" s="81">
        <f>VLOOKUP(A:A,'staff sales'!C:BA,51,)</f>
        <v>8</v>
      </c>
    </row>
    <row r="334" spans="1:23" x14ac:dyDescent="0.25">
      <c r="A334" s="16">
        <v>1076094125</v>
      </c>
      <c r="B334" s="17" t="s">
        <v>1025</v>
      </c>
      <c r="C334" s="18" t="s">
        <v>546</v>
      </c>
      <c r="D334" s="18" t="s">
        <v>546</v>
      </c>
      <c r="E334" s="18" t="s">
        <v>1026</v>
      </c>
      <c r="F334" s="18" t="s">
        <v>1026</v>
      </c>
      <c r="G334" s="18" t="s">
        <v>1218</v>
      </c>
      <c r="H334" s="18" t="s">
        <v>970</v>
      </c>
      <c r="I334" s="19" t="s">
        <v>1016</v>
      </c>
      <c r="J334" s="18">
        <v>75021</v>
      </c>
      <c r="K334" s="80">
        <f>VLOOKUP(A:A,'staff sales'!C:Q,15,)</f>
        <v>147802.66</v>
      </c>
      <c r="L334" s="81">
        <f>VLOOKUP(A:A,'staff sales'!C:T,18,)</f>
        <v>13084.34</v>
      </c>
      <c r="M334" s="81">
        <f>VLOOKUP(A:A,'staff sales'!C:W,21,)</f>
        <v>8725.65</v>
      </c>
      <c r="N334" s="81">
        <f>VLOOKUP(A:A,'staff sales'!C:Z,24,)</f>
        <v>0</v>
      </c>
      <c r="O334" s="81">
        <f>VLOOKUP(A:A,'staff sales'!C:AC,27,)</f>
        <v>11</v>
      </c>
      <c r="P334" s="81">
        <f>VLOOKUP(A:A,'staff sales'!C:AF,30,)</f>
        <v>3</v>
      </c>
      <c r="Q334" s="81">
        <f>VLOOKUP(A:A,'staff sales'!C:AI,33,)</f>
        <v>75</v>
      </c>
      <c r="R334" s="81">
        <f>VLOOKUP(A:A,'staff sales'!C:AL,36,)</f>
        <v>1</v>
      </c>
      <c r="S334" s="81">
        <f>VLOOKUP(A:A,'staff sales'!C:AO,39,)</f>
        <v>0</v>
      </c>
      <c r="T334" s="81">
        <f>VLOOKUP(A:A,'staff sales'!C:AR,42,)</f>
        <v>1</v>
      </c>
      <c r="U334" s="81">
        <f>VLOOKUP(A:A,'staff sales'!C:AU,45,)</f>
        <v>0</v>
      </c>
      <c r="V334" s="81">
        <f>VLOOKUP(A:A,'staff sales'!C:AX,48,)</f>
        <v>0</v>
      </c>
      <c r="W334" s="81">
        <f>VLOOKUP(A:A,'staff sales'!C:BA,51,)</f>
        <v>8</v>
      </c>
    </row>
    <row r="335" spans="1:23" x14ac:dyDescent="0.25">
      <c r="A335" s="16">
        <v>1088622723</v>
      </c>
      <c r="B335" s="17" t="s">
        <v>1033</v>
      </c>
      <c r="C335" s="18" t="s">
        <v>546</v>
      </c>
      <c r="D335" s="18" t="s">
        <v>546</v>
      </c>
      <c r="E335" s="18" t="s">
        <v>1034</v>
      </c>
      <c r="F335" s="18" t="s">
        <v>1035</v>
      </c>
      <c r="G335" s="18" t="s">
        <v>1218</v>
      </c>
      <c r="H335" s="18" t="s">
        <v>970</v>
      </c>
      <c r="I335" s="19" t="s">
        <v>1016</v>
      </c>
      <c r="J335" s="18">
        <v>75021</v>
      </c>
      <c r="K335" s="80">
        <f>VLOOKUP(A:A,'staff sales'!C:Q,15,)</f>
        <v>150875.72999999998</v>
      </c>
      <c r="L335" s="81">
        <f>VLOOKUP(A:A,'staff sales'!C:T,18,)</f>
        <v>16687.039999999997</v>
      </c>
      <c r="M335" s="81">
        <f>VLOOKUP(A:A,'staff sales'!C:W,21,)</f>
        <v>29002.969999999998</v>
      </c>
      <c r="N335" s="81">
        <f>VLOOKUP(A:A,'staff sales'!C:Z,24,)</f>
        <v>0</v>
      </c>
      <c r="O335" s="81">
        <f>VLOOKUP(A:A,'staff sales'!C:AC,27,)</f>
        <v>12</v>
      </c>
      <c r="P335" s="81">
        <f>VLOOKUP(A:A,'staff sales'!C:AF,30,)</f>
        <v>1</v>
      </c>
      <c r="Q335" s="81">
        <f>VLOOKUP(A:A,'staff sales'!C:AI,33,)</f>
        <v>33</v>
      </c>
      <c r="R335" s="81">
        <f>VLOOKUP(A:A,'staff sales'!C:AL,36,)</f>
        <v>6</v>
      </c>
      <c r="S335" s="81">
        <f>VLOOKUP(A:A,'staff sales'!C:AO,39,)</f>
        <v>24</v>
      </c>
      <c r="T335" s="81">
        <f>VLOOKUP(A:A,'staff sales'!C:AR,42,)</f>
        <v>12</v>
      </c>
      <c r="U335" s="81">
        <f>VLOOKUP(A:A,'staff sales'!C:AU,45,)</f>
        <v>4</v>
      </c>
      <c r="V335" s="81">
        <f>VLOOKUP(A:A,'staff sales'!C:AX,48,)</f>
        <v>0</v>
      </c>
      <c r="W335" s="81">
        <f>VLOOKUP(A:A,'staff sales'!C:BA,51,)</f>
        <v>6</v>
      </c>
    </row>
    <row r="336" spans="1:23" x14ac:dyDescent="0.25">
      <c r="A336" s="16">
        <v>1079690507</v>
      </c>
      <c r="B336" s="17" t="s">
        <v>1038</v>
      </c>
      <c r="C336" s="18" t="s">
        <v>546</v>
      </c>
      <c r="D336" s="18" t="s">
        <v>546</v>
      </c>
      <c r="E336" s="18" t="s">
        <v>1039</v>
      </c>
      <c r="F336" s="18" t="s">
        <v>1040</v>
      </c>
      <c r="G336" s="18" t="s">
        <v>1218</v>
      </c>
      <c r="H336" s="18" t="s">
        <v>970</v>
      </c>
      <c r="I336" s="19" t="s">
        <v>1016</v>
      </c>
      <c r="J336" s="18">
        <v>75021</v>
      </c>
      <c r="K336" s="80">
        <f>VLOOKUP(A:A,'staff sales'!C:Q,15,)</f>
        <v>194687.01</v>
      </c>
      <c r="L336" s="81">
        <f>VLOOKUP(A:A,'staff sales'!C:T,18,)</f>
        <v>7586.97</v>
      </c>
      <c r="M336" s="81">
        <f>VLOOKUP(A:A,'staff sales'!C:W,21,)</f>
        <v>24475.66</v>
      </c>
      <c r="N336" s="81">
        <f>VLOOKUP(A:A,'staff sales'!C:Z,24,)</f>
        <v>0</v>
      </c>
      <c r="O336" s="81">
        <f>VLOOKUP(A:A,'staff sales'!C:AC,27,)</f>
        <v>7</v>
      </c>
      <c r="P336" s="81">
        <f>VLOOKUP(A:A,'staff sales'!C:AF,30,)</f>
        <v>1</v>
      </c>
      <c r="Q336" s="81">
        <f>VLOOKUP(A:A,'staff sales'!C:AI,33,)</f>
        <v>118</v>
      </c>
      <c r="R336" s="81">
        <f>VLOOKUP(A:A,'staff sales'!C:AL,36,)</f>
        <v>8</v>
      </c>
      <c r="S336" s="81">
        <f>VLOOKUP(A:A,'staff sales'!C:AO,39,)</f>
        <v>6</v>
      </c>
      <c r="T336" s="81">
        <f>VLOOKUP(A:A,'staff sales'!C:AR,42,)</f>
        <v>4</v>
      </c>
      <c r="U336" s="81">
        <f>VLOOKUP(A:A,'staff sales'!C:AU,45,)</f>
        <v>1</v>
      </c>
      <c r="V336" s="81">
        <f>VLOOKUP(A:A,'staff sales'!C:AX,48,)</f>
        <v>0</v>
      </c>
      <c r="W336" s="81">
        <f>VLOOKUP(A:A,'staff sales'!C:BA,51,)</f>
        <v>3</v>
      </c>
    </row>
    <row r="337" spans="1:23" x14ac:dyDescent="0.25">
      <c r="A337" s="16">
        <v>1058129329</v>
      </c>
      <c r="B337" s="17" t="s">
        <v>1036</v>
      </c>
      <c r="C337" s="18" t="s">
        <v>544</v>
      </c>
      <c r="D337" s="18" t="s">
        <v>544</v>
      </c>
      <c r="E337" s="18" t="s">
        <v>1037</v>
      </c>
      <c r="F337" s="18" t="s">
        <v>1037</v>
      </c>
      <c r="G337" s="18" t="s">
        <v>1218</v>
      </c>
      <c r="H337" s="18" t="s">
        <v>970</v>
      </c>
      <c r="I337" s="19" t="s">
        <v>1016</v>
      </c>
      <c r="J337" s="18">
        <v>75021</v>
      </c>
      <c r="K337" s="80">
        <f>VLOOKUP(A:A,'staff sales'!C:Q,15,)</f>
        <v>0</v>
      </c>
      <c r="L337" s="81">
        <f>VLOOKUP(A:A,'staff sales'!C:T,18,)</f>
        <v>3216.52</v>
      </c>
      <c r="M337" s="81">
        <f>VLOOKUP(A:A,'staff sales'!C:W,21,)</f>
        <v>0</v>
      </c>
      <c r="N337" s="81">
        <f>VLOOKUP(A:A,'staff sales'!C:Z,24,)</f>
        <v>0</v>
      </c>
      <c r="O337" s="81">
        <f>VLOOKUP(A:A,'staff sales'!C:AC,27,)</f>
        <v>0</v>
      </c>
      <c r="P337" s="81">
        <f>VLOOKUP(A:A,'staff sales'!C:AF,30,)</f>
        <v>0</v>
      </c>
      <c r="Q337" s="81">
        <f>VLOOKUP(A:A,'staff sales'!C:AI,33,)</f>
        <v>3</v>
      </c>
      <c r="R337" s="81">
        <f>VLOOKUP(A:A,'staff sales'!C:AL,36,)</f>
        <v>0</v>
      </c>
      <c r="S337" s="81">
        <f>VLOOKUP(A:A,'staff sales'!C:AO,39,)</f>
        <v>0</v>
      </c>
      <c r="T337" s="81">
        <f>VLOOKUP(A:A,'staff sales'!C:AR,42,)</f>
        <v>0</v>
      </c>
      <c r="U337" s="81">
        <f>VLOOKUP(A:A,'staff sales'!C:AU,45,)</f>
        <v>0</v>
      </c>
      <c r="V337" s="81">
        <f>VLOOKUP(A:A,'staff sales'!C:AX,48,)</f>
        <v>0</v>
      </c>
      <c r="W337" s="81">
        <f>VLOOKUP(A:A,'staff sales'!C:BA,51,)</f>
        <v>0</v>
      </c>
    </row>
    <row r="338" spans="1:23" x14ac:dyDescent="0.25">
      <c r="A338" s="16">
        <v>1077420279</v>
      </c>
      <c r="B338" s="17" t="s">
        <v>1030</v>
      </c>
      <c r="C338" s="18" t="s">
        <v>546</v>
      </c>
      <c r="D338" s="18" t="s">
        <v>546</v>
      </c>
      <c r="E338" s="18" t="s">
        <v>1031</v>
      </c>
      <c r="F338" s="18" t="s">
        <v>1032</v>
      </c>
      <c r="G338" s="18" t="s">
        <v>1218</v>
      </c>
      <c r="H338" s="18" t="s">
        <v>970</v>
      </c>
      <c r="I338" s="19" t="s">
        <v>1016</v>
      </c>
      <c r="J338" s="18">
        <v>75021</v>
      </c>
      <c r="K338" s="80">
        <f>VLOOKUP(A:A,'staff sales'!C:Q,15,)</f>
        <v>187929.60000000003</v>
      </c>
      <c r="L338" s="81">
        <f>VLOOKUP(A:A,'staff sales'!C:T,18,)</f>
        <v>12220.87</v>
      </c>
      <c r="M338" s="81">
        <f>VLOOKUP(A:A,'staff sales'!C:W,21,)</f>
        <v>20561.72</v>
      </c>
      <c r="N338" s="81">
        <f>VLOOKUP(A:A,'staff sales'!C:Z,24,)</f>
        <v>0</v>
      </c>
      <c r="O338" s="81">
        <f>VLOOKUP(A:A,'staff sales'!C:AC,27,)</f>
        <v>14</v>
      </c>
      <c r="P338" s="81">
        <f>VLOOKUP(A:A,'staff sales'!C:AF,30,)</f>
        <v>1</v>
      </c>
      <c r="Q338" s="81">
        <f>VLOOKUP(A:A,'staff sales'!C:AI,33,)</f>
        <v>72</v>
      </c>
      <c r="R338" s="81">
        <f>VLOOKUP(A:A,'staff sales'!C:AL,36,)</f>
        <v>1</v>
      </c>
      <c r="S338" s="81">
        <f>VLOOKUP(A:A,'staff sales'!C:AO,39,)</f>
        <v>0</v>
      </c>
      <c r="T338" s="81">
        <f>VLOOKUP(A:A,'staff sales'!C:AR,42,)</f>
        <v>14</v>
      </c>
      <c r="U338" s="81">
        <f>VLOOKUP(A:A,'staff sales'!C:AU,45,)</f>
        <v>3</v>
      </c>
      <c r="V338" s="81">
        <f>VLOOKUP(A:A,'staff sales'!C:AX,48,)</f>
        <v>0</v>
      </c>
      <c r="W338" s="81">
        <f>VLOOKUP(A:A,'staff sales'!C:BA,51,)</f>
        <v>3</v>
      </c>
    </row>
    <row r="339" spans="1:23" x14ac:dyDescent="0.25">
      <c r="A339" s="16">
        <v>1076317823</v>
      </c>
      <c r="B339" s="17" t="s">
        <v>1041</v>
      </c>
      <c r="C339" s="18" t="s">
        <v>546</v>
      </c>
      <c r="D339" s="18" t="s">
        <v>546</v>
      </c>
      <c r="E339" s="18" t="s">
        <v>1042</v>
      </c>
      <c r="F339" s="18" t="s">
        <v>1043</v>
      </c>
      <c r="G339" s="18" t="s">
        <v>1218</v>
      </c>
      <c r="H339" s="18" t="s">
        <v>970</v>
      </c>
      <c r="I339" s="19" t="s">
        <v>1016</v>
      </c>
      <c r="J339" s="18">
        <v>75021</v>
      </c>
      <c r="K339" s="80">
        <f>VLOOKUP(A:A,'staff sales'!C:Q,15,)</f>
        <v>74721.960000000006</v>
      </c>
      <c r="L339" s="81">
        <f>VLOOKUP(A:A,'staff sales'!C:T,18,)</f>
        <v>3955.65</v>
      </c>
      <c r="M339" s="81">
        <f>VLOOKUP(A:A,'staff sales'!C:W,21,)</f>
        <v>12715.01</v>
      </c>
      <c r="N339" s="81">
        <f>VLOOKUP(A:A,'staff sales'!C:Z,24,)</f>
        <v>0</v>
      </c>
      <c r="O339" s="81">
        <f>VLOOKUP(A:A,'staff sales'!C:AC,27,)</f>
        <v>5</v>
      </c>
      <c r="P339" s="81">
        <f>VLOOKUP(A:A,'staff sales'!C:AF,30,)</f>
        <v>0</v>
      </c>
      <c r="Q339" s="81">
        <f>VLOOKUP(A:A,'staff sales'!C:AI,33,)</f>
        <v>46</v>
      </c>
      <c r="R339" s="81">
        <f>VLOOKUP(A:A,'staff sales'!C:AL,36,)</f>
        <v>1</v>
      </c>
      <c r="S339" s="81">
        <f>VLOOKUP(A:A,'staff sales'!C:AO,39,)</f>
        <v>3</v>
      </c>
      <c r="T339" s="81">
        <f>VLOOKUP(A:A,'staff sales'!C:AR,42,)</f>
        <v>4</v>
      </c>
      <c r="U339" s="81">
        <f>VLOOKUP(A:A,'staff sales'!C:AU,45,)</f>
        <v>1</v>
      </c>
      <c r="V339" s="81">
        <f>VLOOKUP(A:A,'staff sales'!C:AX,48,)</f>
        <v>1</v>
      </c>
      <c r="W339" s="81">
        <f>VLOOKUP(A:A,'staff sales'!C:BA,51,)</f>
        <v>2</v>
      </c>
    </row>
    <row r="340" spans="1:23" x14ac:dyDescent="0.25">
      <c r="A340" s="16">
        <v>1067997120</v>
      </c>
      <c r="B340" s="17" t="s">
        <v>1044</v>
      </c>
      <c r="C340" s="18" t="s">
        <v>546</v>
      </c>
      <c r="D340" s="18" t="s">
        <v>546</v>
      </c>
      <c r="E340" s="18" t="s">
        <v>1045</v>
      </c>
      <c r="F340" s="18" t="s">
        <v>1046</v>
      </c>
      <c r="G340" s="18" t="s">
        <v>1218</v>
      </c>
      <c r="H340" s="18" t="s">
        <v>970</v>
      </c>
      <c r="I340" s="19" t="s">
        <v>1016</v>
      </c>
      <c r="J340" s="18">
        <v>75021</v>
      </c>
      <c r="K340" s="80">
        <f>VLOOKUP(A:A,'staff sales'!C:Q,15,)</f>
        <v>214238.31000000003</v>
      </c>
      <c r="L340" s="81">
        <f>VLOOKUP(A:A,'staff sales'!C:T,18,)</f>
        <v>11966.66</v>
      </c>
      <c r="M340" s="81">
        <f>VLOOKUP(A:A,'staff sales'!C:W,21,)</f>
        <v>39761.17</v>
      </c>
      <c r="N340" s="81">
        <f>VLOOKUP(A:A,'staff sales'!C:Z,24,)</f>
        <v>0</v>
      </c>
      <c r="O340" s="81">
        <f>VLOOKUP(A:A,'staff sales'!C:AC,27,)</f>
        <v>24</v>
      </c>
      <c r="P340" s="81">
        <f>VLOOKUP(A:A,'staff sales'!C:AF,30,)</f>
        <v>2</v>
      </c>
      <c r="Q340" s="81">
        <f>VLOOKUP(A:A,'staff sales'!C:AI,33,)</f>
        <v>21</v>
      </c>
      <c r="R340" s="81">
        <f>VLOOKUP(A:A,'staff sales'!C:AL,36,)</f>
        <v>6</v>
      </c>
      <c r="S340" s="81">
        <f>VLOOKUP(A:A,'staff sales'!C:AO,39,)</f>
        <v>23</v>
      </c>
      <c r="T340" s="81">
        <f>VLOOKUP(A:A,'staff sales'!C:AR,42,)</f>
        <v>8</v>
      </c>
      <c r="U340" s="81">
        <f>VLOOKUP(A:A,'staff sales'!C:AU,45,)</f>
        <v>8</v>
      </c>
      <c r="V340" s="81">
        <f>VLOOKUP(A:A,'staff sales'!C:AX,48,)</f>
        <v>0</v>
      </c>
      <c r="W340" s="81">
        <f>VLOOKUP(A:A,'staff sales'!C:BA,51,)</f>
        <v>22</v>
      </c>
    </row>
    <row r="341" spans="1:23" x14ac:dyDescent="0.25">
      <c r="A341" s="16">
        <v>1089069221</v>
      </c>
      <c r="B341" s="17" t="s">
        <v>1047</v>
      </c>
      <c r="C341" s="18" t="s">
        <v>546</v>
      </c>
      <c r="D341" s="18" t="s">
        <v>546</v>
      </c>
      <c r="E341" s="18" t="s">
        <v>1048</v>
      </c>
      <c r="F341" s="18" t="s">
        <v>1048</v>
      </c>
      <c r="G341" s="18" t="s">
        <v>1218</v>
      </c>
      <c r="H341" s="18" t="s">
        <v>970</v>
      </c>
      <c r="I341" s="19" t="s">
        <v>1016</v>
      </c>
      <c r="J341" s="18">
        <v>75021</v>
      </c>
      <c r="K341" s="80">
        <f>VLOOKUP(A:A,'staff sales'!C:Q,15,)</f>
        <v>0</v>
      </c>
      <c r="L341" s="81">
        <f>VLOOKUP(A:A,'staff sales'!C:T,18,)</f>
        <v>0</v>
      </c>
      <c r="M341" s="81">
        <f>VLOOKUP(A:A,'staff sales'!C:W,21,)</f>
        <v>0</v>
      </c>
      <c r="N341" s="81">
        <f>VLOOKUP(A:A,'staff sales'!C:Z,24,)</f>
        <v>0</v>
      </c>
      <c r="O341" s="81">
        <f>VLOOKUP(A:A,'staff sales'!C:AC,27,)</f>
        <v>0</v>
      </c>
      <c r="P341" s="81">
        <f>VLOOKUP(A:A,'staff sales'!C:AF,30,)</f>
        <v>0</v>
      </c>
      <c r="Q341" s="81">
        <f>VLOOKUP(A:A,'staff sales'!C:AI,33,)</f>
        <v>0</v>
      </c>
      <c r="R341" s="81">
        <f>VLOOKUP(A:A,'staff sales'!C:AL,36,)</f>
        <v>0</v>
      </c>
      <c r="S341" s="81">
        <f>VLOOKUP(A:A,'staff sales'!C:AO,39,)</f>
        <v>0</v>
      </c>
      <c r="T341" s="81">
        <f>VLOOKUP(A:A,'staff sales'!C:AR,42,)</f>
        <v>0</v>
      </c>
      <c r="U341" s="81">
        <f>VLOOKUP(A:A,'staff sales'!C:AU,45,)</f>
        <v>0</v>
      </c>
      <c r="V341" s="81">
        <f>VLOOKUP(A:A,'staff sales'!C:AX,48,)</f>
        <v>0</v>
      </c>
      <c r="W341" s="81">
        <f>VLOOKUP(A:A,'staff sales'!C:BA,51,)</f>
        <v>0</v>
      </c>
    </row>
    <row r="342" spans="1:23" x14ac:dyDescent="0.25">
      <c r="A342" s="16">
        <v>1048349342</v>
      </c>
      <c r="B342" s="17" t="s">
        <v>1057</v>
      </c>
      <c r="C342" s="18" t="s">
        <v>546</v>
      </c>
      <c r="D342" s="18" t="s">
        <v>546</v>
      </c>
      <c r="E342" s="18" t="s">
        <v>1058</v>
      </c>
      <c r="F342" s="18" t="s">
        <v>1059</v>
      </c>
      <c r="G342" s="18" t="s">
        <v>1218</v>
      </c>
      <c r="H342" s="18" t="s">
        <v>970</v>
      </c>
      <c r="I342" s="19" t="s">
        <v>1016</v>
      </c>
      <c r="J342" s="18">
        <v>75021</v>
      </c>
      <c r="K342" s="80">
        <f>VLOOKUP(A:A,'staff sales'!C:Q,15,)</f>
        <v>35306.97</v>
      </c>
      <c r="L342" s="81">
        <f>VLOOKUP(A:A,'staff sales'!C:T,18,)</f>
        <v>0</v>
      </c>
      <c r="M342" s="81">
        <f>VLOOKUP(A:A,'staff sales'!C:W,21,)</f>
        <v>2402.61</v>
      </c>
      <c r="N342" s="81">
        <f>VLOOKUP(A:A,'staff sales'!C:Z,24,)</f>
        <v>0</v>
      </c>
      <c r="O342" s="81">
        <f>VLOOKUP(A:A,'staff sales'!C:AC,27,)</f>
        <v>2</v>
      </c>
      <c r="P342" s="81">
        <f>VLOOKUP(A:A,'staff sales'!C:AF,30,)</f>
        <v>0</v>
      </c>
      <c r="Q342" s="81">
        <f>VLOOKUP(A:A,'staff sales'!C:AI,33,)</f>
        <v>5</v>
      </c>
      <c r="R342" s="81">
        <f>VLOOKUP(A:A,'staff sales'!C:AL,36,)</f>
        <v>0</v>
      </c>
      <c r="S342" s="81">
        <f>VLOOKUP(A:A,'staff sales'!C:AO,39,)</f>
        <v>0</v>
      </c>
      <c r="T342" s="81">
        <f>VLOOKUP(A:A,'staff sales'!C:AR,42,)</f>
        <v>0</v>
      </c>
      <c r="U342" s="81">
        <f>VLOOKUP(A:A,'staff sales'!C:AU,45,)</f>
        <v>0</v>
      </c>
      <c r="V342" s="81">
        <f>VLOOKUP(A:A,'staff sales'!C:AX,48,)</f>
        <v>0</v>
      </c>
      <c r="W342" s="81">
        <f>VLOOKUP(A:A,'staff sales'!C:BA,51,)</f>
        <v>2</v>
      </c>
    </row>
    <row r="343" spans="1:23" x14ac:dyDescent="0.25">
      <c r="A343" s="16">
        <v>1030431793</v>
      </c>
      <c r="B343" s="17" t="s">
        <v>1049</v>
      </c>
      <c r="C343" s="18" t="s">
        <v>541</v>
      </c>
      <c r="D343" s="18" t="s">
        <v>541</v>
      </c>
      <c r="E343" s="18" t="s">
        <v>1050</v>
      </c>
      <c r="F343" s="18" t="s">
        <v>1050</v>
      </c>
      <c r="G343" s="18" t="s">
        <v>1218</v>
      </c>
      <c r="H343" s="18" t="s">
        <v>970</v>
      </c>
      <c r="I343" s="19" t="s">
        <v>1051</v>
      </c>
      <c r="J343" s="18">
        <v>75008</v>
      </c>
      <c r="K343" s="80">
        <f>VLOOKUP(A:A,'staff sales'!C:Q,15,)</f>
        <v>0</v>
      </c>
      <c r="L343" s="81">
        <f>VLOOKUP(A:A,'staff sales'!C:T,18,)</f>
        <v>0</v>
      </c>
      <c r="M343" s="81">
        <f>VLOOKUP(A:A,'staff sales'!C:W,21,)</f>
        <v>0</v>
      </c>
      <c r="N343" s="81">
        <f>VLOOKUP(A:A,'staff sales'!C:Z,24,)</f>
        <v>0</v>
      </c>
      <c r="O343" s="81">
        <f>VLOOKUP(A:A,'staff sales'!C:AC,27,)</f>
        <v>0</v>
      </c>
      <c r="P343" s="81">
        <f>VLOOKUP(A:A,'staff sales'!C:AF,30,)</f>
        <v>0</v>
      </c>
      <c r="Q343" s="81">
        <f>VLOOKUP(A:A,'staff sales'!C:AI,33,)</f>
        <v>0</v>
      </c>
      <c r="R343" s="81">
        <f>VLOOKUP(A:A,'staff sales'!C:AL,36,)</f>
        <v>0</v>
      </c>
      <c r="S343" s="81">
        <f>VLOOKUP(A:A,'staff sales'!C:AO,39,)</f>
        <v>0</v>
      </c>
      <c r="T343" s="81">
        <f>VLOOKUP(A:A,'staff sales'!C:AR,42,)</f>
        <v>0</v>
      </c>
      <c r="U343" s="81">
        <f>VLOOKUP(A:A,'staff sales'!C:AU,45,)</f>
        <v>0</v>
      </c>
      <c r="V343" s="81">
        <f>VLOOKUP(A:A,'staff sales'!C:AX,48,)</f>
        <v>0</v>
      </c>
      <c r="W343" s="81">
        <f>VLOOKUP(A:A,'staff sales'!C:BA,51,)</f>
        <v>0</v>
      </c>
    </row>
    <row r="344" spans="1:23" x14ac:dyDescent="0.25">
      <c r="A344" s="16">
        <v>1079543169</v>
      </c>
      <c r="B344" s="17" t="s">
        <v>1052</v>
      </c>
      <c r="C344" s="18" t="s">
        <v>544</v>
      </c>
      <c r="D344" s="18" t="s">
        <v>544</v>
      </c>
      <c r="E344" s="18" t="s">
        <v>1053</v>
      </c>
      <c r="F344" s="18" t="s">
        <v>1053</v>
      </c>
      <c r="G344" s="18" t="s">
        <v>1218</v>
      </c>
      <c r="H344" s="18" t="s">
        <v>970</v>
      </c>
      <c r="I344" s="19" t="s">
        <v>1051</v>
      </c>
      <c r="J344" s="18">
        <v>75008</v>
      </c>
      <c r="K344" s="80">
        <f>VLOOKUP(A:A,'staff sales'!C:Q,15,)</f>
        <v>0</v>
      </c>
      <c r="L344" s="81">
        <f>VLOOKUP(A:A,'staff sales'!C:T,18,)</f>
        <v>1129.57</v>
      </c>
      <c r="M344" s="81">
        <f>VLOOKUP(A:A,'staff sales'!C:W,21,)</f>
        <v>3249.56</v>
      </c>
      <c r="N344" s="81">
        <f>VLOOKUP(A:A,'staff sales'!C:Z,24,)</f>
        <v>60</v>
      </c>
      <c r="O344" s="81">
        <f>VLOOKUP(A:A,'staff sales'!C:AC,27,)</f>
        <v>0</v>
      </c>
      <c r="P344" s="81">
        <f>VLOOKUP(A:A,'staff sales'!C:AF,30,)</f>
        <v>1</v>
      </c>
      <c r="Q344" s="81">
        <f>VLOOKUP(A:A,'staff sales'!C:AI,33,)</f>
        <v>13</v>
      </c>
      <c r="R344" s="81">
        <f>VLOOKUP(A:A,'staff sales'!C:AL,36,)</f>
        <v>0</v>
      </c>
      <c r="S344" s="81">
        <f>VLOOKUP(A:A,'staff sales'!C:AO,39,)</f>
        <v>2</v>
      </c>
      <c r="T344" s="81">
        <f>VLOOKUP(A:A,'staff sales'!C:AR,42,)</f>
        <v>0</v>
      </c>
      <c r="U344" s="81">
        <f>VLOOKUP(A:A,'staff sales'!C:AU,45,)</f>
        <v>0</v>
      </c>
      <c r="V344" s="81">
        <f>VLOOKUP(A:A,'staff sales'!C:AX,48,)</f>
        <v>0</v>
      </c>
      <c r="W344" s="81">
        <f>VLOOKUP(A:A,'staff sales'!C:BA,51,)</f>
        <v>0</v>
      </c>
    </row>
    <row r="345" spans="1:23" x14ac:dyDescent="0.25">
      <c r="A345" s="16">
        <v>1073145862</v>
      </c>
      <c r="B345" s="17" t="s">
        <v>1060</v>
      </c>
      <c r="C345" s="18" t="s">
        <v>546</v>
      </c>
      <c r="D345" s="18" t="s">
        <v>546</v>
      </c>
      <c r="E345" s="18" t="s">
        <v>1061</v>
      </c>
      <c r="F345" s="18" t="s">
        <v>1062</v>
      </c>
      <c r="G345" s="18" t="s">
        <v>1218</v>
      </c>
      <c r="H345" s="18" t="s">
        <v>970</v>
      </c>
      <c r="I345" s="19" t="s">
        <v>1051</v>
      </c>
      <c r="J345" s="18">
        <v>75008</v>
      </c>
      <c r="K345" s="80">
        <f>VLOOKUP(A:A,'staff sales'!C:Q,15,)</f>
        <v>152107.89000000001</v>
      </c>
      <c r="L345" s="81">
        <f>VLOOKUP(A:A,'staff sales'!C:T,18,)</f>
        <v>6441.74</v>
      </c>
      <c r="M345" s="81">
        <f>VLOOKUP(A:A,'staff sales'!C:W,21,)</f>
        <v>31641.969999999998</v>
      </c>
      <c r="N345" s="81">
        <f>VLOOKUP(A:A,'staff sales'!C:Z,24,)</f>
        <v>0</v>
      </c>
      <c r="O345" s="81">
        <f>VLOOKUP(A:A,'staff sales'!C:AC,27,)</f>
        <v>16</v>
      </c>
      <c r="P345" s="81">
        <f>VLOOKUP(A:A,'staff sales'!C:AF,30,)</f>
        <v>3</v>
      </c>
      <c r="Q345" s="81">
        <f>VLOOKUP(A:A,'staff sales'!C:AI,33,)</f>
        <v>38</v>
      </c>
      <c r="R345" s="81">
        <f>VLOOKUP(A:A,'staff sales'!C:AL,36,)</f>
        <v>0</v>
      </c>
      <c r="S345" s="81">
        <f>VLOOKUP(A:A,'staff sales'!C:AO,39,)</f>
        <v>7</v>
      </c>
      <c r="T345" s="81">
        <f>VLOOKUP(A:A,'staff sales'!C:AR,42,)</f>
        <v>7</v>
      </c>
      <c r="U345" s="81">
        <f>VLOOKUP(A:A,'staff sales'!C:AU,45,)</f>
        <v>4</v>
      </c>
      <c r="V345" s="81">
        <f>VLOOKUP(A:A,'staff sales'!C:AX,48,)</f>
        <v>0</v>
      </c>
      <c r="W345" s="81">
        <f>VLOOKUP(A:A,'staff sales'!C:BA,51,)</f>
        <v>9</v>
      </c>
    </row>
    <row r="346" spans="1:23" x14ac:dyDescent="0.25">
      <c r="A346" s="16">
        <v>1070724230</v>
      </c>
      <c r="B346" s="17" t="s">
        <v>1068</v>
      </c>
      <c r="C346" s="18" t="s">
        <v>546</v>
      </c>
      <c r="D346" s="18" t="s">
        <v>546</v>
      </c>
      <c r="E346" s="18" t="s">
        <v>1069</v>
      </c>
      <c r="F346" s="18" t="s">
        <v>1069</v>
      </c>
      <c r="G346" s="18" t="s">
        <v>1218</v>
      </c>
      <c r="H346" s="18" t="s">
        <v>970</v>
      </c>
      <c r="I346" s="19" t="s">
        <v>1051</v>
      </c>
      <c r="J346" s="18">
        <v>75008</v>
      </c>
      <c r="K346" s="80">
        <f>VLOOKUP(A:A,'staff sales'!C:Q,15,)</f>
        <v>94343.510000000009</v>
      </c>
      <c r="L346" s="81">
        <f>VLOOKUP(A:A,'staff sales'!C:T,18,)</f>
        <v>0</v>
      </c>
      <c r="M346" s="81">
        <f>VLOOKUP(A:A,'staff sales'!C:W,21,)</f>
        <v>22533.919999999998</v>
      </c>
      <c r="N346" s="81">
        <f>VLOOKUP(A:A,'staff sales'!C:Z,24,)</f>
        <v>0</v>
      </c>
      <c r="O346" s="81">
        <f>VLOOKUP(A:A,'staff sales'!C:AC,27,)</f>
        <v>7</v>
      </c>
      <c r="P346" s="81">
        <f>VLOOKUP(A:A,'staff sales'!C:AF,30,)</f>
        <v>3</v>
      </c>
      <c r="Q346" s="81">
        <f>VLOOKUP(A:A,'staff sales'!C:AI,33,)</f>
        <v>24</v>
      </c>
      <c r="R346" s="81">
        <f>VLOOKUP(A:A,'staff sales'!C:AL,36,)</f>
        <v>1</v>
      </c>
      <c r="S346" s="81">
        <f>VLOOKUP(A:A,'staff sales'!C:AO,39,)</f>
        <v>0</v>
      </c>
      <c r="T346" s="81">
        <f>VLOOKUP(A:A,'staff sales'!C:AR,42,)</f>
        <v>8</v>
      </c>
      <c r="U346" s="81">
        <f>VLOOKUP(A:A,'staff sales'!C:AU,45,)</f>
        <v>1</v>
      </c>
      <c r="V346" s="81">
        <f>VLOOKUP(A:A,'staff sales'!C:AX,48,)</f>
        <v>0</v>
      </c>
      <c r="W346" s="81">
        <f>VLOOKUP(A:A,'staff sales'!C:BA,51,)</f>
        <v>10</v>
      </c>
    </row>
    <row r="347" spans="1:23" x14ac:dyDescent="0.25">
      <c r="A347" s="16">
        <v>1015558933</v>
      </c>
      <c r="B347" s="17" t="s">
        <v>1070</v>
      </c>
      <c r="C347" s="18" t="s">
        <v>546</v>
      </c>
      <c r="D347" s="18" t="s">
        <v>546</v>
      </c>
      <c r="E347" s="18" t="s">
        <v>1071</v>
      </c>
      <c r="F347" s="18" t="s">
        <v>1072</v>
      </c>
      <c r="G347" s="18" t="s">
        <v>1218</v>
      </c>
      <c r="H347" s="18" t="s">
        <v>970</v>
      </c>
      <c r="I347" s="19" t="s">
        <v>1051</v>
      </c>
      <c r="J347" s="18">
        <v>75008</v>
      </c>
      <c r="K347" s="80">
        <f>VLOOKUP(A:A,'staff sales'!C:Q,15,)</f>
        <v>5825.22</v>
      </c>
      <c r="L347" s="81">
        <f>VLOOKUP(A:A,'staff sales'!C:T,18,)</f>
        <v>0</v>
      </c>
      <c r="M347" s="81">
        <f>VLOOKUP(A:A,'staff sales'!C:W,21,)</f>
        <v>0</v>
      </c>
      <c r="N347" s="81">
        <f>VLOOKUP(A:A,'staff sales'!C:Z,24,)</f>
        <v>0</v>
      </c>
      <c r="O347" s="81">
        <f>VLOOKUP(A:A,'staff sales'!C:AC,27,)</f>
        <v>0</v>
      </c>
      <c r="P347" s="81">
        <f>VLOOKUP(A:A,'staff sales'!C:AF,30,)</f>
        <v>0</v>
      </c>
      <c r="Q347" s="81">
        <f>VLOOKUP(A:A,'staff sales'!C:AI,33,)</f>
        <v>5</v>
      </c>
      <c r="R347" s="81">
        <f>VLOOKUP(A:A,'staff sales'!C:AL,36,)</f>
        <v>0</v>
      </c>
      <c r="S347" s="81">
        <f>VLOOKUP(A:A,'staff sales'!C:AO,39,)</f>
        <v>0</v>
      </c>
      <c r="T347" s="81">
        <f>VLOOKUP(A:A,'staff sales'!C:AR,42,)</f>
        <v>0</v>
      </c>
      <c r="U347" s="81">
        <f>VLOOKUP(A:A,'staff sales'!C:AU,45,)</f>
        <v>0</v>
      </c>
      <c r="V347" s="81">
        <f>VLOOKUP(A:A,'staff sales'!C:AX,48,)</f>
        <v>0</v>
      </c>
      <c r="W347" s="81">
        <f>VLOOKUP(A:A,'staff sales'!C:BA,51,)</f>
        <v>0</v>
      </c>
    </row>
    <row r="348" spans="1:23" x14ac:dyDescent="0.25">
      <c r="A348" s="16">
        <v>1075496958</v>
      </c>
      <c r="B348" s="17" t="s">
        <v>1063</v>
      </c>
      <c r="C348" s="18" t="s">
        <v>546</v>
      </c>
      <c r="D348" s="18" t="s">
        <v>546</v>
      </c>
      <c r="E348" s="18" t="s">
        <v>1064</v>
      </c>
      <c r="F348" s="18" t="s">
        <v>1064</v>
      </c>
      <c r="G348" s="18" t="s">
        <v>1218</v>
      </c>
      <c r="H348" s="18" t="s">
        <v>970</v>
      </c>
      <c r="I348" s="19" t="s">
        <v>1051</v>
      </c>
      <c r="J348" s="18">
        <v>75008</v>
      </c>
      <c r="K348" s="80">
        <f>VLOOKUP(A:A,'staff sales'!C:Q,15,)</f>
        <v>167127.89000000001</v>
      </c>
      <c r="L348" s="81">
        <f>VLOOKUP(A:A,'staff sales'!C:T,18,)</f>
        <v>4311.3099999999995</v>
      </c>
      <c r="M348" s="81">
        <f>VLOOKUP(A:A,'staff sales'!C:W,21,)</f>
        <v>13820</v>
      </c>
      <c r="N348" s="81">
        <f>VLOOKUP(A:A,'staff sales'!C:Z,24,)</f>
        <v>0</v>
      </c>
      <c r="O348" s="81">
        <f>VLOOKUP(A:A,'staff sales'!C:AC,27,)</f>
        <v>6</v>
      </c>
      <c r="P348" s="81">
        <f>VLOOKUP(A:A,'staff sales'!C:AF,30,)</f>
        <v>2</v>
      </c>
      <c r="Q348" s="81">
        <f>VLOOKUP(A:A,'staff sales'!C:AI,33,)</f>
        <v>46</v>
      </c>
      <c r="R348" s="81">
        <f>VLOOKUP(A:A,'staff sales'!C:AL,36,)</f>
        <v>0</v>
      </c>
      <c r="S348" s="81">
        <f>VLOOKUP(A:A,'staff sales'!C:AO,39,)</f>
        <v>1</v>
      </c>
      <c r="T348" s="81">
        <f>VLOOKUP(A:A,'staff sales'!C:AR,42,)</f>
        <v>4</v>
      </c>
      <c r="U348" s="81">
        <f>VLOOKUP(A:A,'staff sales'!C:AU,45,)</f>
        <v>2</v>
      </c>
      <c r="V348" s="81">
        <f>VLOOKUP(A:A,'staff sales'!C:AX,48,)</f>
        <v>0</v>
      </c>
      <c r="W348" s="81">
        <f>VLOOKUP(A:A,'staff sales'!C:BA,51,)</f>
        <v>6</v>
      </c>
    </row>
    <row r="349" spans="1:23" x14ac:dyDescent="0.25">
      <c r="A349" s="16">
        <v>1072307315</v>
      </c>
      <c r="B349" s="17" t="s">
        <v>1065</v>
      </c>
      <c r="C349" s="18" t="s">
        <v>544</v>
      </c>
      <c r="D349" s="18" t="s">
        <v>544</v>
      </c>
      <c r="E349" s="18" t="s">
        <v>1066</v>
      </c>
      <c r="F349" s="18" t="s">
        <v>1067</v>
      </c>
      <c r="G349" s="18" t="s">
        <v>1218</v>
      </c>
      <c r="H349" s="18" t="s">
        <v>970</v>
      </c>
      <c r="I349" s="19" t="s">
        <v>1051</v>
      </c>
      <c r="J349" s="18">
        <v>75008</v>
      </c>
      <c r="K349" s="80">
        <f>VLOOKUP(A:A,'staff sales'!C:Q,15,)</f>
        <v>0</v>
      </c>
      <c r="L349" s="81">
        <f>VLOOKUP(A:A,'staff sales'!C:T,18,)</f>
        <v>0</v>
      </c>
      <c r="M349" s="81">
        <f>VLOOKUP(A:A,'staff sales'!C:W,21,)</f>
        <v>3477.39</v>
      </c>
      <c r="N349" s="81">
        <f>VLOOKUP(A:A,'staff sales'!C:Z,24,)</f>
        <v>0</v>
      </c>
      <c r="O349" s="81">
        <f>VLOOKUP(A:A,'staff sales'!C:AC,27,)</f>
        <v>0</v>
      </c>
      <c r="P349" s="81">
        <f>VLOOKUP(A:A,'staff sales'!C:AF,30,)</f>
        <v>0</v>
      </c>
      <c r="Q349" s="81">
        <f>VLOOKUP(A:A,'staff sales'!C:AI,33,)</f>
        <v>1</v>
      </c>
      <c r="R349" s="81">
        <f>VLOOKUP(A:A,'staff sales'!C:AL,36,)</f>
        <v>0</v>
      </c>
      <c r="S349" s="81">
        <f>VLOOKUP(A:A,'staff sales'!C:AO,39,)</f>
        <v>0</v>
      </c>
      <c r="T349" s="81">
        <f>VLOOKUP(A:A,'staff sales'!C:AR,42,)</f>
        <v>0</v>
      </c>
      <c r="U349" s="81">
        <f>VLOOKUP(A:A,'staff sales'!C:AU,45,)</f>
        <v>0</v>
      </c>
      <c r="V349" s="81">
        <f>VLOOKUP(A:A,'staff sales'!C:AX,48,)</f>
        <v>0</v>
      </c>
      <c r="W349" s="81">
        <f>VLOOKUP(A:A,'staff sales'!C:BA,51,)</f>
        <v>0</v>
      </c>
    </row>
    <row r="350" spans="1:23" x14ac:dyDescent="0.25">
      <c r="A350" s="16">
        <v>1088085947</v>
      </c>
      <c r="B350" s="17" t="s">
        <v>1054</v>
      </c>
      <c r="C350" s="18" t="s">
        <v>546</v>
      </c>
      <c r="D350" s="18" t="s">
        <v>546</v>
      </c>
      <c r="E350" s="18" t="s">
        <v>1055</v>
      </c>
      <c r="F350" s="18" t="s">
        <v>1056</v>
      </c>
      <c r="G350" s="18" t="s">
        <v>1218</v>
      </c>
      <c r="H350" s="18" t="s">
        <v>970</v>
      </c>
      <c r="I350" s="19" t="s">
        <v>1051</v>
      </c>
      <c r="J350" s="18">
        <v>75008</v>
      </c>
      <c r="K350" s="80">
        <f>VLOOKUP(A:A,'staff sales'!C:Q,15,)</f>
        <v>125478.29000000001</v>
      </c>
      <c r="L350" s="81">
        <f>VLOOKUP(A:A,'staff sales'!C:T,18,)</f>
        <v>3129.57</v>
      </c>
      <c r="M350" s="81">
        <f>VLOOKUP(A:A,'staff sales'!C:W,21,)</f>
        <v>14224.779999999999</v>
      </c>
      <c r="N350" s="81">
        <f>VLOOKUP(A:A,'staff sales'!C:Z,24,)</f>
        <v>0</v>
      </c>
      <c r="O350" s="81">
        <f>VLOOKUP(A:A,'staff sales'!C:AC,27,)</f>
        <v>2</v>
      </c>
      <c r="P350" s="81">
        <f>VLOOKUP(A:A,'staff sales'!C:AF,30,)</f>
        <v>2</v>
      </c>
      <c r="Q350" s="81">
        <f>VLOOKUP(A:A,'staff sales'!C:AI,33,)</f>
        <v>38</v>
      </c>
      <c r="R350" s="81">
        <f>VLOOKUP(A:A,'staff sales'!C:AL,36,)</f>
        <v>0</v>
      </c>
      <c r="S350" s="81">
        <f>VLOOKUP(A:A,'staff sales'!C:AO,39,)</f>
        <v>4</v>
      </c>
      <c r="T350" s="81">
        <f>VLOOKUP(A:A,'staff sales'!C:AR,42,)</f>
        <v>3</v>
      </c>
      <c r="U350" s="81">
        <f>VLOOKUP(A:A,'staff sales'!C:AU,45,)</f>
        <v>0</v>
      </c>
      <c r="V350" s="81">
        <f>VLOOKUP(A:A,'staff sales'!C:AX,48,)</f>
        <v>0</v>
      </c>
      <c r="W350" s="81">
        <f>VLOOKUP(A:A,'staff sales'!C:BA,51,)</f>
        <v>2</v>
      </c>
    </row>
    <row r="351" spans="1:23" x14ac:dyDescent="0.25">
      <c r="A351" s="16">
        <v>1055708836</v>
      </c>
      <c r="B351" s="17" t="s">
        <v>1073</v>
      </c>
      <c r="C351" s="18" t="s">
        <v>546</v>
      </c>
      <c r="D351" s="18" t="s">
        <v>546</v>
      </c>
      <c r="E351" s="18" t="s">
        <v>1074</v>
      </c>
      <c r="F351" s="18" t="s">
        <v>1074</v>
      </c>
      <c r="G351" s="18" t="s">
        <v>1218</v>
      </c>
      <c r="H351" s="18" t="s">
        <v>970</v>
      </c>
      <c r="I351" s="19" t="s">
        <v>1051</v>
      </c>
      <c r="J351" s="18">
        <v>75008</v>
      </c>
      <c r="K351" s="80">
        <f>VLOOKUP(A:A,'staff sales'!C:Q,15,)</f>
        <v>39560.020000000004</v>
      </c>
      <c r="L351" s="81">
        <f>VLOOKUP(A:A,'staff sales'!C:T,18,)</f>
        <v>3390.44</v>
      </c>
      <c r="M351" s="81">
        <f>VLOOKUP(A:A,'staff sales'!C:W,21,)</f>
        <v>1236.5200000000002</v>
      </c>
      <c r="N351" s="81">
        <f>VLOOKUP(A:A,'staff sales'!C:Z,24,)</f>
        <v>0</v>
      </c>
      <c r="O351" s="81">
        <f>VLOOKUP(A:A,'staff sales'!C:AC,27,)</f>
        <v>0</v>
      </c>
      <c r="P351" s="81">
        <f>VLOOKUP(A:A,'staff sales'!C:AF,30,)</f>
        <v>0</v>
      </c>
      <c r="Q351" s="81">
        <f>VLOOKUP(A:A,'staff sales'!C:AI,33,)</f>
        <v>6</v>
      </c>
      <c r="R351" s="81">
        <f>VLOOKUP(A:A,'staff sales'!C:AL,36,)</f>
        <v>0</v>
      </c>
      <c r="S351" s="81">
        <f>VLOOKUP(A:A,'staff sales'!C:AO,39,)</f>
        <v>0</v>
      </c>
      <c r="T351" s="81">
        <f>VLOOKUP(A:A,'staff sales'!C:AR,42,)</f>
        <v>0</v>
      </c>
      <c r="U351" s="81">
        <f>VLOOKUP(A:A,'staff sales'!C:AU,45,)</f>
        <v>0</v>
      </c>
      <c r="V351" s="81">
        <f>VLOOKUP(A:A,'staff sales'!C:AX,48,)</f>
        <v>0</v>
      </c>
      <c r="W351" s="81">
        <f>VLOOKUP(A:A,'staff sales'!C:BA,51,)</f>
        <v>2</v>
      </c>
    </row>
    <row r="352" spans="1:23" x14ac:dyDescent="0.25">
      <c r="A352" s="16">
        <v>1096523608</v>
      </c>
      <c r="B352" s="17" t="s">
        <v>1075</v>
      </c>
      <c r="C352" s="18" t="s">
        <v>546</v>
      </c>
      <c r="D352" s="18" t="s">
        <v>546</v>
      </c>
      <c r="E352" s="18" t="s">
        <v>1076</v>
      </c>
      <c r="F352" s="18" t="s">
        <v>1076</v>
      </c>
      <c r="G352" s="18" t="s">
        <v>1218</v>
      </c>
      <c r="H352" s="18" t="s">
        <v>970</v>
      </c>
      <c r="I352" s="19" t="s">
        <v>1051</v>
      </c>
      <c r="J352" s="18">
        <v>75008</v>
      </c>
      <c r="K352" s="80">
        <f>VLOOKUP(A:A,'staff sales'!C:Q,15,)</f>
        <v>22657.4</v>
      </c>
      <c r="L352" s="81">
        <f>VLOOKUP(A:A,'staff sales'!C:T,18,)</f>
        <v>0</v>
      </c>
      <c r="M352" s="81">
        <f>VLOOKUP(A:A,'staff sales'!C:W,21,)</f>
        <v>2434.35</v>
      </c>
      <c r="N352" s="81">
        <f>VLOOKUP(A:A,'staff sales'!C:Z,24,)</f>
        <v>150</v>
      </c>
      <c r="O352" s="81">
        <f>VLOOKUP(A:A,'staff sales'!C:AC,27,)</f>
        <v>2</v>
      </c>
      <c r="P352" s="81">
        <f>VLOOKUP(A:A,'staff sales'!C:AF,30,)</f>
        <v>2</v>
      </c>
      <c r="Q352" s="81">
        <f>VLOOKUP(A:A,'staff sales'!C:AI,33,)</f>
        <v>9</v>
      </c>
      <c r="R352" s="81">
        <f>VLOOKUP(A:A,'staff sales'!C:AL,36,)</f>
        <v>1</v>
      </c>
      <c r="S352" s="81">
        <f>VLOOKUP(A:A,'staff sales'!C:AO,39,)</f>
        <v>0</v>
      </c>
      <c r="T352" s="81">
        <f>VLOOKUP(A:A,'staff sales'!C:AR,42,)</f>
        <v>1</v>
      </c>
      <c r="U352" s="81">
        <f>VLOOKUP(A:A,'staff sales'!C:AU,45,)</f>
        <v>0</v>
      </c>
      <c r="V352" s="81">
        <f>VLOOKUP(A:A,'staff sales'!C:AX,48,)</f>
        <v>0</v>
      </c>
      <c r="W352" s="81">
        <f>VLOOKUP(A:A,'staff sales'!C:BA,51,)</f>
        <v>0</v>
      </c>
    </row>
    <row r="353" spans="1:23" x14ac:dyDescent="0.25">
      <c r="A353" s="16" t="s">
        <v>973</v>
      </c>
      <c r="B353" s="17" t="s">
        <v>541</v>
      </c>
      <c r="C353" s="18" t="s">
        <v>541</v>
      </c>
      <c r="D353" s="18" t="s">
        <v>541</v>
      </c>
      <c r="E353" s="18"/>
      <c r="F353" s="18"/>
      <c r="G353" s="18" t="s">
        <v>1218</v>
      </c>
      <c r="H353" s="18" t="s">
        <v>970</v>
      </c>
      <c r="I353" s="19" t="s">
        <v>1213</v>
      </c>
      <c r="J353" s="18">
        <v>75032</v>
      </c>
      <c r="K353" s="80">
        <f>VLOOKUP(A:A,'staff sales'!C:Q,15,)</f>
        <v>0</v>
      </c>
      <c r="L353" s="81">
        <f>VLOOKUP(A:A,'staff sales'!C:T,18,)</f>
        <v>0</v>
      </c>
      <c r="M353" s="81">
        <f>VLOOKUP(A:A,'staff sales'!C:W,21,)</f>
        <v>0</v>
      </c>
      <c r="N353" s="81">
        <f>VLOOKUP(A:A,'staff sales'!C:Z,24,)</f>
        <v>0</v>
      </c>
      <c r="O353" s="81">
        <f>VLOOKUP(A:A,'staff sales'!C:AC,27,)</f>
        <v>0</v>
      </c>
      <c r="P353" s="81">
        <f>VLOOKUP(A:A,'staff sales'!C:AF,30,)</f>
        <v>0</v>
      </c>
      <c r="Q353" s="81">
        <f>VLOOKUP(A:A,'staff sales'!C:AI,33,)</f>
        <v>0</v>
      </c>
      <c r="R353" s="81">
        <f>VLOOKUP(A:A,'staff sales'!C:AL,36,)</f>
        <v>0</v>
      </c>
      <c r="S353" s="81">
        <f>VLOOKUP(A:A,'staff sales'!C:AO,39,)</f>
        <v>0</v>
      </c>
      <c r="T353" s="81">
        <f>VLOOKUP(A:A,'staff sales'!C:AR,42,)</f>
        <v>0</v>
      </c>
      <c r="U353" s="81">
        <f>VLOOKUP(A:A,'staff sales'!C:AU,45,)</f>
        <v>0</v>
      </c>
      <c r="V353" s="81">
        <f>VLOOKUP(A:A,'staff sales'!C:AX,48,)</f>
        <v>0</v>
      </c>
      <c r="W353" s="81">
        <f>VLOOKUP(A:A,'staff sales'!C:BA,51,)</f>
        <v>0</v>
      </c>
    </row>
    <row r="354" spans="1:23" x14ac:dyDescent="0.25">
      <c r="A354" s="16">
        <v>1086439294</v>
      </c>
      <c r="B354" s="17" t="s">
        <v>1078</v>
      </c>
      <c r="C354" s="18" t="s">
        <v>544</v>
      </c>
      <c r="D354" s="18" t="s">
        <v>544</v>
      </c>
      <c r="E354" s="18" t="s">
        <v>1079</v>
      </c>
      <c r="F354" s="18" t="s">
        <v>1079</v>
      </c>
      <c r="G354" s="18" t="s">
        <v>1218</v>
      </c>
      <c r="H354" s="18" t="s">
        <v>970</v>
      </c>
      <c r="I354" s="19" t="s">
        <v>1077</v>
      </c>
      <c r="J354" s="18">
        <v>75032</v>
      </c>
      <c r="K354" s="80">
        <f>VLOOKUP(A:A,'staff sales'!C:Q,15,)</f>
        <v>0</v>
      </c>
      <c r="L354" s="81">
        <f>VLOOKUP(A:A,'staff sales'!C:T,18,)</f>
        <v>0</v>
      </c>
      <c r="M354" s="81">
        <f>VLOOKUP(A:A,'staff sales'!C:W,21,)</f>
        <v>0</v>
      </c>
      <c r="N354" s="81">
        <f>VLOOKUP(A:A,'staff sales'!C:Z,24,)</f>
        <v>0</v>
      </c>
      <c r="O354" s="81">
        <f>VLOOKUP(A:A,'staff sales'!C:AC,27,)</f>
        <v>0</v>
      </c>
      <c r="P354" s="81">
        <f>VLOOKUP(A:A,'staff sales'!C:AF,30,)</f>
        <v>0</v>
      </c>
      <c r="Q354" s="81">
        <f>VLOOKUP(A:A,'staff sales'!C:AI,33,)</f>
        <v>0</v>
      </c>
      <c r="R354" s="81">
        <f>VLOOKUP(A:A,'staff sales'!C:AL,36,)</f>
        <v>0</v>
      </c>
      <c r="S354" s="81">
        <f>VLOOKUP(A:A,'staff sales'!C:AO,39,)</f>
        <v>0</v>
      </c>
      <c r="T354" s="81">
        <f>VLOOKUP(A:A,'staff sales'!C:AR,42,)</f>
        <v>0</v>
      </c>
      <c r="U354" s="81">
        <f>VLOOKUP(A:A,'staff sales'!C:AU,45,)</f>
        <v>0</v>
      </c>
      <c r="V354" s="81">
        <f>VLOOKUP(A:A,'staff sales'!C:AX,48,)</f>
        <v>0</v>
      </c>
      <c r="W354" s="81">
        <f>VLOOKUP(A:A,'staff sales'!C:BA,51,)</f>
        <v>0</v>
      </c>
    </row>
    <row r="355" spans="1:23" x14ac:dyDescent="0.25">
      <c r="A355" s="16">
        <v>1092464849</v>
      </c>
      <c r="B355" s="17" t="s">
        <v>1080</v>
      </c>
      <c r="C355" s="18" t="s">
        <v>546</v>
      </c>
      <c r="D355" s="18" t="s">
        <v>546</v>
      </c>
      <c r="E355" s="18" t="s">
        <v>1081</v>
      </c>
      <c r="F355" s="18" t="s">
        <v>1081</v>
      </c>
      <c r="G355" s="18" t="s">
        <v>1218</v>
      </c>
      <c r="H355" s="18" t="s">
        <v>970</v>
      </c>
      <c r="I355" s="19" t="s">
        <v>1077</v>
      </c>
      <c r="J355" s="18">
        <v>75032</v>
      </c>
      <c r="K355" s="80">
        <f>VLOOKUP(A:A,'staff sales'!C:Q,15,)</f>
        <v>108820.03</v>
      </c>
      <c r="L355" s="81">
        <f>VLOOKUP(A:A,'staff sales'!C:T,18,)</f>
        <v>4433.04</v>
      </c>
      <c r="M355" s="81">
        <f>VLOOKUP(A:A,'staff sales'!C:W,21,)</f>
        <v>16846.099999999999</v>
      </c>
      <c r="N355" s="81">
        <f>VLOOKUP(A:A,'staff sales'!C:Z,24,)</f>
        <v>0</v>
      </c>
      <c r="O355" s="81">
        <f>VLOOKUP(A:A,'staff sales'!C:AC,27,)</f>
        <v>3</v>
      </c>
      <c r="P355" s="81">
        <f>VLOOKUP(A:A,'staff sales'!C:AF,30,)</f>
        <v>1</v>
      </c>
      <c r="Q355" s="81">
        <f>VLOOKUP(A:A,'staff sales'!C:AI,33,)</f>
        <v>62</v>
      </c>
      <c r="R355" s="81">
        <f>VLOOKUP(A:A,'staff sales'!C:AL,36,)</f>
        <v>1</v>
      </c>
      <c r="S355" s="81">
        <f>VLOOKUP(A:A,'staff sales'!C:AO,39,)</f>
        <v>9</v>
      </c>
      <c r="T355" s="81">
        <f>VLOOKUP(A:A,'staff sales'!C:AR,42,)</f>
        <v>4</v>
      </c>
      <c r="U355" s="81">
        <f>VLOOKUP(A:A,'staff sales'!C:AU,45,)</f>
        <v>1</v>
      </c>
      <c r="V355" s="81">
        <f>VLOOKUP(A:A,'staff sales'!C:AX,48,)</f>
        <v>0</v>
      </c>
      <c r="W355" s="81">
        <f>VLOOKUP(A:A,'staff sales'!C:BA,51,)</f>
        <v>2</v>
      </c>
    </row>
    <row r="356" spans="1:23" x14ac:dyDescent="0.25">
      <c r="A356" s="16">
        <v>1121692527</v>
      </c>
      <c r="B356" s="17" t="s">
        <v>1082</v>
      </c>
      <c r="C356" s="18" t="s">
        <v>546</v>
      </c>
      <c r="D356" s="18" t="s">
        <v>546</v>
      </c>
      <c r="E356" s="18" t="s">
        <v>1083</v>
      </c>
      <c r="F356" s="18" t="s">
        <v>1083</v>
      </c>
      <c r="G356" s="18" t="s">
        <v>1218</v>
      </c>
      <c r="H356" s="18" t="s">
        <v>970</v>
      </c>
      <c r="I356" s="19" t="s">
        <v>1077</v>
      </c>
      <c r="J356" s="18">
        <v>75032</v>
      </c>
      <c r="K356" s="80">
        <f>VLOOKUP(A:A,'staff sales'!C:Q,15,)</f>
        <v>141815.71000000002</v>
      </c>
      <c r="L356" s="81">
        <f>VLOOKUP(A:A,'staff sales'!C:T,18,)</f>
        <v>2658.26</v>
      </c>
      <c r="M356" s="81">
        <f>VLOOKUP(A:A,'staff sales'!C:W,21,)</f>
        <v>26570.869999999995</v>
      </c>
      <c r="N356" s="81">
        <f>VLOOKUP(A:A,'staff sales'!C:Z,24,)</f>
        <v>0</v>
      </c>
      <c r="O356" s="81">
        <f>VLOOKUP(A:A,'staff sales'!C:AC,27,)</f>
        <v>6</v>
      </c>
      <c r="P356" s="81">
        <f>VLOOKUP(A:A,'staff sales'!C:AF,30,)</f>
        <v>0</v>
      </c>
      <c r="Q356" s="81">
        <f>VLOOKUP(A:A,'staff sales'!C:AI,33,)</f>
        <v>64</v>
      </c>
      <c r="R356" s="81">
        <f>VLOOKUP(A:A,'staff sales'!C:AL,36,)</f>
        <v>0</v>
      </c>
      <c r="S356" s="81">
        <f>VLOOKUP(A:A,'staff sales'!C:AO,39,)</f>
        <v>3</v>
      </c>
      <c r="T356" s="81">
        <f>VLOOKUP(A:A,'staff sales'!C:AR,42,)</f>
        <v>5</v>
      </c>
      <c r="U356" s="81">
        <f>VLOOKUP(A:A,'staff sales'!C:AU,45,)</f>
        <v>0</v>
      </c>
      <c r="V356" s="81">
        <f>VLOOKUP(A:A,'staff sales'!C:AX,48,)</f>
        <v>0</v>
      </c>
      <c r="W356" s="81">
        <f>VLOOKUP(A:A,'staff sales'!C:BA,51,)</f>
        <v>5</v>
      </c>
    </row>
    <row r="357" spans="1:23" x14ac:dyDescent="0.25">
      <c r="A357" s="16">
        <v>1101498614</v>
      </c>
      <c r="B357" s="17" t="s">
        <v>1084</v>
      </c>
      <c r="C357" s="18" t="s">
        <v>546</v>
      </c>
      <c r="D357" s="18" t="s">
        <v>546</v>
      </c>
      <c r="E357" s="18" t="s">
        <v>1085</v>
      </c>
      <c r="F357" s="18" t="s">
        <v>1085</v>
      </c>
      <c r="G357" s="18" t="s">
        <v>1218</v>
      </c>
      <c r="H357" s="18" t="s">
        <v>970</v>
      </c>
      <c r="I357" s="19" t="s">
        <v>1077</v>
      </c>
      <c r="J357" s="18">
        <v>75032</v>
      </c>
      <c r="K357" s="80">
        <f>VLOOKUP(A:A,'staff sales'!C:Q,15,)</f>
        <v>74008.74000000002</v>
      </c>
      <c r="L357" s="81">
        <f>VLOOKUP(A:A,'staff sales'!C:T,18,)</f>
        <v>3738.26</v>
      </c>
      <c r="M357" s="81">
        <f>VLOOKUP(A:A,'staff sales'!C:W,21,)</f>
        <v>20559.14</v>
      </c>
      <c r="N357" s="81">
        <f>VLOOKUP(A:A,'staff sales'!C:Z,24,)</f>
        <v>0</v>
      </c>
      <c r="O357" s="81">
        <f>VLOOKUP(A:A,'staff sales'!C:AC,27,)</f>
        <v>5</v>
      </c>
      <c r="P357" s="81">
        <f>VLOOKUP(A:A,'staff sales'!C:AF,30,)</f>
        <v>0</v>
      </c>
      <c r="Q357" s="81">
        <f>VLOOKUP(A:A,'staff sales'!C:AI,33,)</f>
        <v>34</v>
      </c>
      <c r="R357" s="81">
        <f>VLOOKUP(A:A,'staff sales'!C:AL,36,)</f>
        <v>0</v>
      </c>
      <c r="S357" s="81">
        <f>VLOOKUP(A:A,'staff sales'!C:AO,39,)</f>
        <v>9</v>
      </c>
      <c r="T357" s="81">
        <f>VLOOKUP(A:A,'staff sales'!C:AR,42,)</f>
        <v>5</v>
      </c>
      <c r="U357" s="81">
        <f>VLOOKUP(A:A,'staff sales'!C:AU,45,)</f>
        <v>0</v>
      </c>
      <c r="V357" s="81">
        <f>VLOOKUP(A:A,'staff sales'!C:AX,48,)</f>
        <v>0</v>
      </c>
      <c r="W357" s="81">
        <f>VLOOKUP(A:A,'staff sales'!C:BA,51,)</f>
        <v>5</v>
      </c>
    </row>
    <row r="358" spans="1:23" x14ac:dyDescent="0.25">
      <c r="A358" s="16">
        <v>1001307055</v>
      </c>
      <c r="B358" s="17" t="s">
        <v>536</v>
      </c>
      <c r="C358" s="18" t="s">
        <v>537</v>
      </c>
      <c r="D358" s="18" t="s">
        <v>537</v>
      </c>
      <c r="E358" s="18">
        <v>0</v>
      </c>
      <c r="F358" s="18">
        <v>0</v>
      </c>
      <c r="G358" s="18" t="s">
        <v>1218</v>
      </c>
      <c r="H358" s="18" t="s">
        <v>221</v>
      </c>
      <c r="I358" s="19" t="s">
        <v>538</v>
      </c>
      <c r="J358" s="18" t="s">
        <v>539</v>
      </c>
      <c r="K358" s="80">
        <f>VLOOKUP(A:A,'staff sales'!C:Q,15,)</f>
        <v>0</v>
      </c>
      <c r="L358" s="81">
        <f>VLOOKUP(A:A,'staff sales'!C:T,18,)</f>
        <v>0</v>
      </c>
      <c r="M358" s="81">
        <f>VLOOKUP(A:A,'staff sales'!C:W,21,)</f>
        <v>0</v>
      </c>
      <c r="N358" s="81">
        <f>VLOOKUP(A:A,'staff sales'!C:Z,24,)</f>
        <v>0</v>
      </c>
      <c r="O358" s="81">
        <f>VLOOKUP(A:A,'staff sales'!C:AC,27,)</f>
        <v>0</v>
      </c>
      <c r="P358" s="81">
        <f>VLOOKUP(A:A,'staff sales'!C:AF,30,)</f>
        <v>0</v>
      </c>
      <c r="Q358" s="81">
        <f>VLOOKUP(A:A,'staff sales'!C:AI,33,)</f>
        <v>0</v>
      </c>
      <c r="R358" s="81">
        <f>VLOOKUP(A:A,'staff sales'!C:AL,36,)</f>
        <v>0</v>
      </c>
      <c r="S358" s="81">
        <f>VLOOKUP(A:A,'staff sales'!C:AO,39,)</f>
        <v>0</v>
      </c>
      <c r="T358" s="81">
        <f>VLOOKUP(A:A,'staff sales'!C:AR,42,)</f>
        <v>0</v>
      </c>
      <c r="U358" s="81">
        <f>VLOOKUP(A:A,'staff sales'!C:AU,45,)</f>
        <v>0</v>
      </c>
      <c r="V358" s="81">
        <f>VLOOKUP(A:A,'staff sales'!C:AX,48,)</f>
        <v>0</v>
      </c>
      <c r="W358" s="81">
        <f>VLOOKUP(A:A,'staff sales'!C:BA,51,)</f>
        <v>0</v>
      </c>
    </row>
    <row r="359" spans="1:23" x14ac:dyDescent="0.25">
      <c r="A359" s="16">
        <v>1003134994</v>
      </c>
      <c r="B359" s="17" t="s">
        <v>540</v>
      </c>
      <c r="C359" s="18" t="s">
        <v>541</v>
      </c>
      <c r="D359" s="18" t="s">
        <v>541</v>
      </c>
      <c r="E359" s="18" t="s">
        <v>222</v>
      </c>
      <c r="F359" s="18" t="s">
        <v>222</v>
      </c>
      <c r="G359" s="18" t="s">
        <v>1218</v>
      </c>
      <c r="H359" s="18" t="s">
        <v>221</v>
      </c>
      <c r="I359" s="19" t="s">
        <v>542</v>
      </c>
      <c r="J359" s="18">
        <v>23012</v>
      </c>
      <c r="K359" s="80">
        <f>VLOOKUP(A:A,'staff sales'!C:Q,15,)</f>
        <v>0</v>
      </c>
      <c r="L359" s="81">
        <f>VLOOKUP(A:A,'staff sales'!C:T,18,)</f>
        <v>0</v>
      </c>
      <c r="M359" s="81">
        <f>VLOOKUP(A:A,'staff sales'!C:W,21,)</f>
        <v>0</v>
      </c>
      <c r="N359" s="81">
        <f>VLOOKUP(A:A,'staff sales'!C:Z,24,)</f>
        <v>0</v>
      </c>
      <c r="O359" s="81">
        <f>VLOOKUP(A:A,'staff sales'!C:AC,27,)</f>
        <v>0</v>
      </c>
      <c r="P359" s="81">
        <f>VLOOKUP(A:A,'staff sales'!C:AF,30,)</f>
        <v>0</v>
      </c>
      <c r="Q359" s="81">
        <f>VLOOKUP(A:A,'staff sales'!C:AI,33,)</f>
        <v>0</v>
      </c>
      <c r="R359" s="81">
        <f>VLOOKUP(A:A,'staff sales'!C:AL,36,)</f>
        <v>0</v>
      </c>
      <c r="S359" s="81">
        <f>VLOOKUP(A:A,'staff sales'!C:AO,39,)</f>
        <v>0</v>
      </c>
      <c r="T359" s="81">
        <f>VLOOKUP(A:A,'staff sales'!C:AR,42,)</f>
        <v>0</v>
      </c>
      <c r="U359" s="81">
        <f>VLOOKUP(A:A,'staff sales'!C:AU,45,)</f>
        <v>0</v>
      </c>
      <c r="V359" s="81">
        <f>VLOOKUP(A:A,'staff sales'!C:AX,48,)</f>
        <v>0</v>
      </c>
      <c r="W359" s="81">
        <f>VLOOKUP(A:A,'staff sales'!C:BA,51,)</f>
        <v>0</v>
      </c>
    </row>
    <row r="360" spans="1:23" x14ac:dyDescent="0.25">
      <c r="A360" s="16">
        <v>1078137948</v>
      </c>
      <c r="B360" s="17" t="s">
        <v>545</v>
      </c>
      <c r="C360" s="18" t="s">
        <v>544</v>
      </c>
      <c r="D360" s="18" t="s">
        <v>544</v>
      </c>
      <c r="E360" s="18" t="s">
        <v>424</v>
      </c>
      <c r="F360" s="18" t="s">
        <v>425</v>
      </c>
      <c r="G360" s="18" t="s">
        <v>1218</v>
      </c>
      <c r="H360" s="18" t="s">
        <v>221</v>
      </c>
      <c r="I360" s="19" t="s">
        <v>542</v>
      </c>
      <c r="J360" s="18">
        <v>23012</v>
      </c>
      <c r="K360" s="80">
        <f>VLOOKUP(A:A,'staff sales'!C:Q,15,)</f>
        <v>0</v>
      </c>
      <c r="L360" s="81">
        <f>VLOOKUP(A:A,'staff sales'!C:T,18,)</f>
        <v>0</v>
      </c>
      <c r="M360" s="81">
        <f>VLOOKUP(A:A,'staff sales'!C:W,21,)</f>
        <v>0</v>
      </c>
      <c r="N360" s="81">
        <f>VLOOKUP(A:A,'staff sales'!C:Z,24,)</f>
        <v>0</v>
      </c>
      <c r="O360" s="81">
        <f>VLOOKUP(A:A,'staff sales'!C:AC,27,)</f>
        <v>2</v>
      </c>
      <c r="P360" s="81">
        <f>VLOOKUP(A:A,'staff sales'!C:AF,30,)</f>
        <v>0</v>
      </c>
      <c r="Q360" s="81">
        <f>VLOOKUP(A:A,'staff sales'!C:AI,33,)</f>
        <v>14</v>
      </c>
      <c r="R360" s="81">
        <f>VLOOKUP(A:A,'staff sales'!C:AL,36,)</f>
        <v>1</v>
      </c>
      <c r="S360" s="81">
        <f>VLOOKUP(A:A,'staff sales'!C:AO,39,)</f>
        <v>0</v>
      </c>
      <c r="T360" s="81">
        <f>VLOOKUP(A:A,'staff sales'!C:AR,42,)</f>
        <v>0</v>
      </c>
      <c r="U360" s="81">
        <f>VLOOKUP(A:A,'staff sales'!C:AU,45,)</f>
        <v>0</v>
      </c>
      <c r="V360" s="81">
        <f>VLOOKUP(A:A,'staff sales'!C:AX,48,)</f>
        <v>0</v>
      </c>
      <c r="W360" s="81">
        <f>VLOOKUP(A:A,'staff sales'!C:BA,51,)</f>
        <v>0</v>
      </c>
    </row>
    <row r="361" spans="1:23" x14ac:dyDescent="0.25">
      <c r="A361" s="16">
        <v>1082985886</v>
      </c>
      <c r="B361" s="17" t="s">
        <v>556</v>
      </c>
      <c r="C361" s="18" t="s">
        <v>546</v>
      </c>
      <c r="D361" s="18" t="s">
        <v>546</v>
      </c>
      <c r="E361" s="18" t="s">
        <v>227</v>
      </c>
      <c r="F361" s="18" t="s">
        <v>228</v>
      </c>
      <c r="G361" s="18" t="s">
        <v>1218</v>
      </c>
      <c r="H361" s="18" t="s">
        <v>221</v>
      </c>
      <c r="I361" s="19" t="s">
        <v>542</v>
      </c>
      <c r="J361" s="18">
        <v>23012</v>
      </c>
      <c r="K361" s="80">
        <f>VLOOKUP(A:A,'staff sales'!C:Q,15,)</f>
        <v>73477.430000000022</v>
      </c>
      <c r="L361" s="81">
        <f>VLOOKUP(A:A,'staff sales'!C:T,18,)</f>
        <v>7302.6</v>
      </c>
      <c r="M361" s="81">
        <f>VLOOKUP(A:A,'staff sales'!C:W,21,)</f>
        <v>10650.43</v>
      </c>
      <c r="N361" s="81">
        <f>VLOOKUP(A:A,'staff sales'!C:Z,24,)</f>
        <v>0</v>
      </c>
      <c r="O361" s="81">
        <f>VLOOKUP(A:A,'staff sales'!C:AC,27,)</f>
        <v>9</v>
      </c>
      <c r="P361" s="81">
        <f>VLOOKUP(A:A,'staff sales'!C:AF,30,)</f>
        <v>3</v>
      </c>
      <c r="Q361" s="81">
        <f>VLOOKUP(A:A,'staff sales'!C:AI,33,)</f>
        <v>63</v>
      </c>
      <c r="R361" s="81">
        <f>VLOOKUP(A:A,'staff sales'!C:AL,36,)</f>
        <v>0</v>
      </c>
      <c r="S361" s="81">
        <f>VLOOKUP(A:A,'staff sales'!C:AO,39,)</f>
        <v>1</v>
      </c>
      <c r="T361" s="81">
        <f>VLOOKUP(A:A,'staff sales'!C:AR,42,)</f>
        <v>8</v>
      </c>
      <c r="U361" s="81">
        <f>VLOOKUP(A:A,'staff sales'!C:AU,45,)</f>
        <v>4</v>
      </c>
      <c r="V361" s="81">
        <f>VLOOKUP(A:A,'staff sales'!C:AX,48,)</f>
        <v>0</v>
      </c>
      <c r="W361" s="81">
        <f>VLOOKUP(A:A,'staff sales'!C:BA,51,)</f>
        <v>3</v>
      </c>
    </row>
    <row r="362" spans="1:23" x14ac:dyDescent="0.25">
      <c r="A362" s="16">
        <v>1102889571</v>
      </c>
      <c r="B362" s="17" t="s">
        <v>547</v>
      </c>
      <c r="C362" s="18" t="s">
        <v>546</v>
      </c>
      <c r="D362" s="18" t="s">
        <v>546</v>
      </c>
      <c r="E362" s="18" t="s">
        <v>229</v>
      </c>
      <c r="F362" s="18" t="s">
        <v>229</v>
      </c>
      <c r="G362" s="18" t="s">
        <v>1218</v>
      </c>
      <c r="H362" s="18" t="s">
        <v>221</v>
      </c>
      <c r="I362" s="19" t="s">
        <v>542</v>
      </c>
      <c r="J362" s="18">
        <v>23012</v>
      </c>
      <c r="K362" s="80">
        <f>VLOOKUP(A:A,'staff sales'!C:Q,15,)</f>
        <v>168447.01</v>
      </c>
      <c r="L362" s="81">
        <f>VLOOKUP(A:A,'staff sales'!C:T,18,)</f>
        <v>1589.57</v>
      </c>
      <c r="M362" s="81">
        <f>VLOOKUP(A:A,'staff sales'!C:W,21,)</f>
        <v>26335.140000000003</v>
      </c>
      <c r="N362" s="81">
        <f>VLOOKUP(A:A,'staff sales'!C:Z,24,)</f>
        <v>120</v>
      </c>
      <c r="O362" s="81">
        <f>VLOOKUP(A:A,'staff sales'!C:AC,27,)</f>
        <v>6</v>
      </c>
      <c r="P362" s="81">
        <f>VLOOKUP(A:A,'staff sales'!C:AF,30,)</f>
        <v>4</v>
      </c>
      <c r="Q362" s="81">
        <f>VLOOKUP(A:A,'staff sales'!C:AI,33,)</f>
        <v>100</v>
      </c>
      <c r="R362" s="81">
        <f>VLOOKUP(A:A,'staff sales'!C:AL,36,)</f>
        <v>1</v>
      </c>
      <c r="S362" s="81">
        <f>VLOOKUP(A:A,'staff sales'!C:AO,39,)</f>
        <v>3</v>
      </c>
      <c r="T362" s="81">
        <f>VLOOKUP(A:A,'staff sales'!C:AR,42,)</f>
        <v>3</v>
      </c>
      <c r="U362" s="81">
        <f>VLOOKUP(A:A,'staff sales'!C:AU,45,)</f>
        <v>3</v>
      </c>
      <c r="V362" s="81">
        <f>VLOOKUP(A:A,'staff sales'!C:AX,48,)</f>
        <v>0</v>
      </c>
      <c r="W362" s="81">
        <f>VLOOKUP(A:A,'staff sales'!C:BA,51,)</f>
        <v>3</v>
      </c>
    </row>
    <row r="363" spans="1:23" x14ac:dyDescent="0.25">
      <c r="A363" s="16">
        <v>1079147755</v>
      </c>
      <c r="B363" s="17" t="s">
        <v>548</v>
      </c>
      <c r="C363" s="18" t="s">
        <v>546</v>
      </c>
      <c r="D363" s="18" t="s">
        <v>546</v>
      </c>
      <c r="E363" s="18" t="s">
        <v>237</v>
      </c>
      <c r="F363" s="18" t="s">
        <v>237</v>
      </c>
      <c r="G363" s="18" t="s">
        <v>1218</v>
      </c>
      <c r="H363" s="18" t="s">
        <v>221</v>
      </c>
      <c r="I363" s="19" t="s">
        <v>542</v>
      </c>
      <c r="J363" s="18">
        <v>23012</v>
      </c>
      <c r="K363" s="80">
        <f>VLOOKUP(A:A,'staff sales'!C:Q,15,)</f>
        <v>92261.95</v>
      </c>
      <c r="L363" s="81">
        <f>VLOOKUP(A:A,'staff sales'!C:T,18,)</f>
        <v>7266.09</v>
      </c>
      <c r="M363" s="81">
        <f>VLOOKUP(A:A,'staff sales'!C:W,21,)</f>
        <v>5993.7</v>
      </c>
      <c r="N363" s="81">
        <f>VLOOKUP(A:A,'staff sales'!C:Z,24,)</f>
        <v>490</v>
      </c>
      <c r="O363" s="81">
        <f>VLOOKUP(A:A,'staff sales'!C:AC,27,)</f>
        <v>6</v>
      </c>
      <c r="P363" s="81">
        <f>VLOOKUP(A:A,'staff sales'!C:AF,30,)</f>
        <v>1</v>
      </c>
      <c r="Q363" s="81">
        <f>VLOOKUP(A:A,'staff sales'!C:AI,33,)</f>
        <v>29</v>
      </c>
      <c r="R363" s="81">
        <f>VLOOKUP(A:A,'staff sales'!C:AL,36,)</f>
        <v>0</v>
      </c>
      <c r="S363" s="81">
        <f>VLOOKUP(A:A,'staff sales'!C:AO,39,)</f>
        <v>1</v>
      </c>
      <c r="T363" s="81">
        <f>VLOOKUP(A:A,'staff sales'!C:AR,42,)</f>
        <v>4</v>
      </c>
      <c r="U363" s="81">
        <f>VLOOKUP(A:A,'staff sales'!C:AU,45,)</f>
        <v>1</v>
      </c>
      <c r="V363" s="81">
        <f>VLOOKUP(A:A,'staff sales'!C:AX,48,)</f>
        <v>0</v>
      </c>
      <c r="W363" s="81">
        <f>VLOOKUP(A:A,'staff sales'!C:BA,51,)</f>
        <v>1</v>
      </c>
    </row>
    <row r="364" spans="1:23" x14ac:dyDescent="0.25">
      <c r="A364" s="16">
        <v>1079480776</v>
      </c>
      <c r="B364" s="17" t="s">
        <v>559</v>
      </c>
      <c r="C364" s="18" t="s">
        <v>546</v>
      </c>
      <c r="D364" s="18" t="s">
        <v>546</v>
      </c>
      <c r="E364" s="18" t="s">
        <v>401</v>
      </c>
      <c r="F364" s="18" t="s">
        <v>401</v>
      </c>
      <c r="G364" s="18" t="s">
        <v>1218</v>
      </c>
      <c r="H364" s="18" t="s">
        <v>221</v>
      </c>
      <c r="I364" s="19" t="s">
        <v>542</v>
      </c>
      <c r="J364" s="18">
        <v>23012</v>
      </c>
      <c r="K364" s="80">
        <f>VLOOKUP(A:A,'staff sales'!C:Q,15,)</f>
        <v>125266.11000000002</v>
      </c>
      <c r="L364" s="81">
        <f>VLOOKUP(A:A,'staff sales'!C:T,18,)</f>
        <v>14692.18</v>
      </c>
      <c r="M364" s="81">
        <f>VLOOKUP(A:A,'staff sales'!C:W,21,)</f>
        <v>20508.249999999996</v>
      </c>
      <c r="N364" s="81">
        <f>VLOOKUP(A:A,'staff sales'!C:Z,24,)</f>
        <v>60</v>
      </c>
      <c r="O364" s="81">
        <f>VLOOKUP(A:A,'staff sales'!C:AC,27,)</f>
        <v>5</v>
      </c>
      <c r="P364" s="81">
        <f>VLOOKUP(A:A,'staff sales'!C:AF,30,)</f>
        <v>0</v>
      </c>
      <c r="Q364" s="81">
        <f>VLOOKUP(A:A,'staff sales'!C:AI,33,)</f>
        <v>35</v>
      </c>
      <c r="R364" s="81">
        <f>VLOOKUP(A:A,'staff sales'!C:AL,36,)</f>
        <v>1</v>
      </c>
      <c r="S364" s="81">
        <f>VLOOKUP(A:A,'staff sales'!C:AO,39,)</f>
        <v>0</v>
      </c>
      <c r="T364" s="81">
        <f>VLOOKUP(A:A,'staff sales'!C:AR,42,)</f>
        <v>4</v>
      </c>
      <c r="U364" s="81">
        <f>VLOOKUP(A:A,'staff sales'!C:AU,45,)</f>
        <v>1</v>
      </c>
      <c r="V364" s="81">
        <f>VLOOKUP(A:A,'staff sales'!C:AX,48,)</f>
        <v>0</v>
      </c>
      <c r="W364" s="81">
        <f>VLOOKUP(A:A,'staff sales'!C:BA,51,)</f>
        <v>7</v>
      </c>
    </row>
    <row r="365" spans="1:23" x14ac:dyDescent="0.25">
      <c r="A365" s="16">
        <v>1022371551</v>
      </c>
      <c r="B365" s="17" t="s">
        <v>560</v>
      </c>
      <c r="C365" s="18" t="s">
        <v>546</v>
      </c>
      <c r="D365" s="18" t="s">
        <v>546</v>
      </c>
      <c r="E365" s="18" t="s">
        <v>400</v>
      </c>
      <c r="F365" s="18" t="s">
        <v>400</v>
      </c>
      <c r="G365" s="18" t="s">
        <v>1218</v>
      </c>
      <c r="H365" s="18" t="s">
        <v>221</v>
      </c>
      <c r="I365" s="19" t="s">
        <v>542</v>
      </c>
      <c r="J365" s="18">
        <v>23012</v>
      </c>
      <c r="K365" s="80">
        <f>VLOOKUP(A:A,'staff sales'!C:Q,15,)</f>
        <v>85715.68</v>
      </c>
      <c r="L365" s="81">
        <f>VLOOKUP(A:A,'staff sales'!C:T,18,)</f>
        <v>0</v>
      </c>
      <c r="M365" s="81">
        <f>VLOOKUP(A:A,'staff sales'!C:W,21,)</f>
        <v>14158.700000000003</v>
      </c>
      <c r="N365" s="81">
        <f>VLOOKUP(A:A,'staff sales'!C:Z,24,)</f>
        <v>80</v>
      </c>
      <c r="O365" s="81">
        <f>VLOOKUP(A:A,'staff sales'!C:AC,27,)</f>
        <v>13</v>
      </c>
      <c r="P365" s="81">
        <f>VLOOKUP(A:A,'staff sales'!C:AF,30,)</f>
        <v>0</v>
      </c>
      <c r="Q365" s="81">
        <f>VLOOKUP(A:A,'staff sales'!C:AI,33,)</f>
        <v>64</v>
      </c>
      <c r="R365" s="81">
        <f>VLOOKUP(A:A,'staff sales'!C:AL,36,)</f>
        <v>2</v>
      </c>
      <c r="S365" s="81">
        <f>VLOOKUP(A:A,'staff sales'!C:AO,39,)</f>
        <v>0</v>
      </c>
      <c r="T365" s="81">
        <f>VLOOKUP(A:A,'staff sales'!C:AR,42,)</f>
        <v>5</v>
      </c>
      <c r="U365" s="81">
        <f>VLOOKUP(A:A,'staff sales'!C:AU,45,)</f>
        <v>1</v>
      </c>
      <c r="V365" s="81">
        <f>VLOOKUP(A:A,'staff sales'!C:AX,48,)</f>
        <v>0</v>
      </c>
      <c r="W365" s="81">
        <f>VLOOKUP(A:A,'staff sales'!C:BA,51,)</f>
        <v>5</v>
      </c>
    </row>
    <row r="366" spans="1:23" x14ac:dyDescent="0.25">
      <c r="A366" s="16">
        <v>1075437036</v>
      </c>
      <c r="B366" s="17" t="s">
        <v>551</v>
      </c>
      <c r="C366" s="18" t="s">
        <v>546</v>
      </c>
      <c r="D366" s="18" t="s">
        <v>546</v>
      </c>
      <c r="E366" s="18" t="s">
        <v>223</v>
      </c>
      <c r="F366" s="18" t="s">
        <v>223</v>
      </c>
      <c r="G366" s="18" t="s">
        <v>1218</v>
      </c>
      <c r="H366" s="18" t="s">
        <v>221</v>
      </c>
      <c r="I366" s="19" t="s">
        <v>542</v>
      </c>
      <c r="J366" s="18">
        <v>23012</v>
      </c>
      <c r="K366" s="80">
        <f>VLOOKUP(A:A,'staff sales'!C:Q,15,)</f>
        <v>56983.510000000009</v>
      </c>
      <c r="L366" s="81">
        <f>VLOOKUP(A:A,'staff sales'!C:T,18,)</f>
        <v>0</v>
      </c>
      <c r="M366" s="81">
        <f>VLOOKUP(A:A,'staff sales'!C:W,21,)</f>
        <v>7810.8600000000006</v>
      </c>
      <c r="N366" s="81">
        <f>VLOOKUP(A:A,'staff sales'!C:Z,24,)</f>
        <v>0</v>
      </c>
      <c r="O366" s="81">
        <f>VLOOKUP(A:A,'staff sales'!C:AC,27,)</f>
        <v>2</v>
      </c>
      <c r="P366" s="81">
        <f>VLOOKUP(A:A,'staff sales'!C:AF,30,)</f>
        <v>0</v>
      </c>
      <c r="Q366" s="81">
        <f>VLOOKUP(A:A,'staff sales'!C:AI,33,)</f>
        <v>16</v>
      </c>
      <c r="R366" s="81">
        <f>VLOOKUP(A:A,'staff sales'!C:AL,36,)</f>
        <v>0</v>
      </c>
      <c r="S366" s="81">
        <f>VLOOKUP(A:A,'staff sales'!C:AO,39,)</f>
        <v>0</v>
      </c>
      <c r="T366" s="81">
        <f>VLOOKUP(A:A,'staff sales'!C:AR,42,)</f>
        <v>5</v>
      </c>
      <c r="U366" s="81">
        <f>VLOOKUP(A:A,'staff sales'!C:AU,45,)</f>
        <v>2</v>
      </c>
      <c r="V366" s="81">
        <f>VLOOKUP(A:A,'staff sales'!C:AX,48,)</f>
        <v>0</v>
      </c>
      <c r="W366" s="81">
        <f>VLOOKUP(A:A,'staff sales'!C:BA,51,)</f>
        <v>2</v>
      </c>
    </row>
    <row r="367" spans="1:23" x14ac:dyDescent="0.25">
      <c r="A367" s="16">
        <v>1001455433</v>
      </c>
      <c r="B367" s="17" t="s">
        <v>558</v>
      </c>
      <c r="C367" s="18" t="s">
        <v>546</v>
      </c>
      <c r="D367" s="18" t="s">
        <v>546</v>
      </c>
      <c r="E367" s="18" t="s">
        <v>230</v>
      </c>
      <c r="F367" s="18" t="s">
        <v>230</v>
      </c>
      <c r="G367" s="18" t="s">
        <v>1218</v>
      </c>
      <c r="H367" s="18" t="s">
        <v>221</v>
      </c>
      <c r="I367" s="19" t="s">
        <v>542</v>
      </c>
      <c r="J367" s="18">
        <v>23012</v>
      </c>
      <c r="K367" s="80">
        <f>VLOOKUP(A:A,'staff sales'!C:Q,15,)</f>
        <v>103269.58000000002</v>
      </c>
      <c r="L367" s="81">
        <f>VLOOKUP(A:A,'staff sales'!C:T,18,)</f>
        <v>0</v>
      </c>
      <c r="M367" s="81">
        <f>VLOOKUP(A:A,'staff sales'!C:W,21,)</f>
        <v>12283.899999999996</v>
      </c>
      <c r="N367" s="81">
        <f>VLOOKUP(A:A,'staff sales'!C:Z,24,)</f>
        <v>240</v>
      </c>
      <c r="O367" s="81">
        <f>VLOOKUP(A:A,'staff sales'!C:AC,27,)</f>
        <v>10</v>
      </c>
      <c r="P367" s="81">
        <f>VLOOKUP(A:A,'staff sales'!C:AF,30,)</f>
        <v>0</v>
      </c>
      <c r="Q367" s="81">
        <f>VLOOKUP(A:A,'staff sales'!C:AI,33,)</f>
        <v>27</v>
      </c>
      <c r="R367" s="81">
        <f>VLOOKUP(A:A,'staff sales'!C:AL,36,)</f>
        <v>1</v>
      </c>
      <c r="S367" s="81">
        <f>VLOOKUP(A:A,'staff sales'!C:AO,39,)</f>
        <v>0</v>
      </c>
      <c r="T367" s="81">
        <f>VLOOKUP(A:A,'staff sales'!C:AR,42,)</f>
        <v>2</v>
      </c>
      <c r="U367" s="81">
        <f>VLOOKUP(A:A,'staff sales'!C:AU,45,)</f>
        <v>2</v>
      </c>
      <c r="V367" s="81">
        <f>VLOOKUP(A:A,'staff sales'!C:AX,48,)</f>
        <v>1</v>
      </c>
      <c r="W367" s="81">
        <f>VLOOKUP(A:A,'staff sales'!C:BA,51,)</f>
        <v>4</v>
      </c>
    </row>
    <row r="368" spans="1:23" x14ac:dyDescent="0.25">
      <c r="A368" s="16">
        <v>1050553153</v>
      </c>
      <c r="B368" s="17" t="s">
        <v>543</v>
      </c>
      <c r="C368" s="18" t="s">
        <v>544</v>
      </c>
      <c r="D368" s="18" t="s">
        <v>544</v>
      </c>
      <c r="E368" s="18" t="s">
        <v>301</v>
      </c>
      <c r="F368" s="18" t="s">
        <v>301</v>
      </c>
      <c r="G368" s="18" t="s">
        <v>1218</v>
      </c>
      <c r="H368" s="18" t="s">
        <v>221</v>
      </c>
      <c r="I368" s="19" t="s">
        <v>542</v>
      </c>
      <c r="J368" s="18">
        <v>23012</v>
      </c>
      <c r="K368" s="80">
        <f>VLOOKUP(A:A,'staff sales'!C:Q,15,)</f>
        <v>0</v>
      </c>
      <c r="L368" s="81">
        <f>VLOOKUP(A:A,'staff sales'!C:T,18,)</f>
        <v>0</v>
      </c>
      <c r="M368" s="81">
        <f>VLOOKUP(A:A,'staff sales'!C:W,21,)</f>
        <v>0</v>
      </c>
      <c r="N368" s="81">
        <f>VLOOKUP(A:A,'staff sales'!C:Z,24,)</f>
        <v>0</v>
      </c>
      <c r="O368" s="81">
        <f>VLOOKUP(A:A,'staff sales'!C:AC,27,)</f>
        <v>0</v>
      </c>
      <c r="P368" s="81">
        <f>VLOOKUP(A:A,'staff sales'!C:AF,30,)</f>
        <v>0</v>
      </c>
      <c r="Q368" s="81">
        <f>VLOOKUP(A:A,'staff sales'!C:AI,33,)</f>
        <v>0</v>
      </c>
      <c r="R368" s="81">
        <f>VLOOKUP(A:A,'staff sales'!C:AL,36,)</f>
        <v>0</v>
      </c>
      <c r="S368" s="81">
        <f>VLOOKUP(A:A,'staff sales'!C:AO,39,)</f>
        <v>0</v>
      </c>
      <c r="T368" s="81">
        <f>VLOOKUP(A:A,'staff sales'!C:AR,42,)</f>
        <v>0</v>
      </c>
      <c r="U368" s="81">
        <f>VLOOKUP(A:A,'staff sales'!C:AU,45,)</f>
        <v>0</v>
      </c>
      <c r="V368" s="81">
        <f>VLOOKUP(A:A,'staff sales'!C:AX,48,)</f>
        <v>0</v>
      </c>
      <c r="W368" s="81">
        <f>VLOOKUP(A:A,'staff sales'!C:BA,51,)</f>
        <v>0</v>
      </c>
    </row>
    <row r="369" spans="1:23" x14ac:dyDescent="0.25">
      <c r="A369" s="16">
        <v>1056194085</v>
      </c>
      <c r="B369" s="17" t="s">
        <v>552</v>
      </c>
      <c r="C369" s="18" t="s">
        <v>546</v>
      </c>
      <c r="D369" s="18" t="s">
        <v>546</v>
      </c>
      <c r="E369" s="18" t="s">
        <v>233</v>
      </c>
      <c r="F369" s="18" t="s">
        <v>234</v>
      </c>
      <c r="G369" s="18" t="s">
        <v>1218</v>
      </c>
      <c r="H369" s="18" t="s">
        <v>221</v>
      </c>
      <c r="I369" s="19" t="s">
        <v>542</v>
      </c>
      <c r="J369" s="18">
        <v>23012</v>
      </c>
      <c r="K369" s="80">
        <f>VLOOKUP(A:A,'staff sales'!C:Q,15,)</f>
        <v>137269.59</v>
      </c>
      <c r="L369" s="81">
        <f>VLOOKUP(A:A,'staff sales'!C:T,18,)</f>
        <v>0</v>
      </c>
      <c r="M369" s="81">
        <f>VLOOKUP(A:A,'staff sales'!C:W,21,)</f>
        <v>6234.34</v>
      </c>
      <c r="N369" s="81">
        <f>VLOOKUP(A:A,'staff sales'!C:Z,24,)</f>
        <v>0</v>
      </c>
      <c r="O369" s="81">
        <f>VLOOKUP(A:A,'staff sales'!C:AC,27,)</f>
        <v>14</v>
      </c>
      <c r="P369" s="81">
        <f>VLOOKUP(A:A,'staff sales'!C:AF,30,)</f>
        <v>3</v>
      </c>
      <c r="Q369" s="81">
        <f>VLOOKUP(A:A,'staff sales'!C:AI,33,)</f>
        <v>102</v>
      </c>
      <c r="R369" s="81">
        <f>VLOOKUP(A:A,'staff sales'!C:AL,36,)</f>
        <v>2</v>
      </c>
      <c r="S369" s="81">
        <f>VLOOKUP(A:A,'staff sales'!C:AO,39,)</f>
        <v>1</v>
      </c>
      <c r="T369" s="81">
        <f>VLOOKUP(A:A,'staff sales'!C:AR,42,)</f>
        <v>3</v>
      </c>
      <c r="U369" s="81">
        <f>VLOOKUP(A:A,'staff sales'!C:AU,45,)</f>
        <v>1</v>
      </c>
      <c r="V369" s="81">
        <f>VLOOKUP(A:A,'staff sales'!C:AX,48,)</f>
        <v>0</v>
      </c>
      <c r="W369" s="81">
        <f>VLOOKUP(A:A,'staff sales'!C:BA,51,)</f>
        <v>3</v>
      </c>
    </row>
    <row r="370" spans="1:23" x14ac:dyDescent="0.25">
      <c r="A370" s="16">
        <v>1069670485</v>
      </c>
      <c r="B370" s="17" t="s">
        <v>554</v>
      </c>
      <c r="C370" s="18" t="s">
        <v>546</v>
      </c>
      <c r="D370" s="18" t="s">
        <v>546</v>
      </c>
      <c r="E370" s="18" t="s">
        <v>225</v>
      </c>
      <c r="F370" s="18" t="s">
        <v>226</v>
      </c>
      <c r="G370" s="18" t="s">
        <v>1218</v>
      </c>
      <c r="H370" s="18" t="s">
        <v>221</v>
      </c>
      <c r="I370" s="19" t="s">
        <v>542</v>
      </c>
      <c r="J370" s="18">
        <v>23012</v>
      </c>
      <c r="K370" s="80">
        <f>VLOOKUP(A:A,'staff sales'!C:Q,15,)</f>
        <v>226744.43000000002</v>
      </c>
      <c r="L370" s="81">
        <f>VLOOKUP(A:A,'staff sales'!C:T,18,)</f>
        <v>6475.66</v>
      </c>
      <c r="M370" s="81">
        <f>VLOOKUP(A:A,'staff sales'!C:W,21,)</f>
        <v>53425.179999999978</v>
      </c>
      <c r="N370" s="81">
        <f>VLOOKUP(A:A,'staff sales'!C:Z,24,)</f>
        <v>0</v>
      </c>
      <c r="O370" s="81">
        <f>VLOOKUP(A:A,'staff sales'!C:AC,27,)</f>
        <v>20</v>
      </c>
      <c r="P370" s="81">
        <f>VLOOKUP(A:A,'staff sales'!C:AF,30,)</f>
        <v>5</v>
      </c>
      <c r="Q370" s="81">
        <f>VLOOKUP(A:A,'staff sales'!C:AI,33,)</f>
        <v>67</v>
      </c>
      <c r="R370" s="81">
        <f>VLOOKUP(A:A,'staff sales'!C:AL,36,)</f>
        <v>4</v>
      </c>
      <c r="S370" s="81">
        <f>VLOOKUP(A:A,'staff sales'!C:AO,39,)</f>
        <v>1</v>
      </c>
      <c r="T370" s="81">
        <f>VLOOKUP(A:A,'staff sales'!C:AR,42,)</f>
        <v>9</v>
      </c>
      <c r="U370" s="81">
        <f>VLOOKUP(A:A,'staff sales'!C:AU,45,)</f>
        <v>4</v>
      </c>
      <c r="V370" s="81">
        <f>VLOOKUP(A:A,'staff sales'!C:AX,48,)</f>
        <v>1</v>
      </c>
      <c r="W370" s="81">
        <f>VLOOKUP(A:A,'staff sales'!C:BA,51,)</f>
        <v>17</v>
      </c>
    </row>
    <row r="371" spans="1:23" x14ac:dyDescent="0.25">
      <c r="A371" s="16">
        <v>1073012492</v>
      </c>
      <c r="B371" s="17" t="s">
        <v>555</v>
      </c>
      <c r="C371" s="18" t="s">
        <v>546</v>
      </c>
      <c r="D371" s="18" t="s">
        <v>546</v>
      </c>
      <c r="E371" s="18" t="s">
        <v>238</v>
      </c>
      <c r="F371" s="18" t="s">
        <v>239</v>
      </c>
      <c r="G371" s="18" t="s">
        <v>1218</v>
      </c>
      <c r="H371" s="18" t="s">
        <v>221</v>
      </c>
      <c r="I371" s="19" t="s">
        <v>542</v>
      </c>
      <c r="J371" s="18">
        <v>23012</v>
      </c>
      <c r="K371" s="80">
        <f>VLOOKUP(A:A,'staff sales'!C:Q,15,)</f>
        <v>134691.52000000002</v>
      </c>
      <c r="L371" s="81">
        <f>VLOOKUP(A:A,'staff sales'!C:T,18,)</f>
        <v>2868.7</v>
      </c>
      <c r="M371" s="81">
        <f>VLOOKUP(A:A,'staff sales'!C:W,21,)</f>
        <v>18192.57</v>
      </c>
      <c r="N371" s="81">
        <f>VLOOKUP(A:A,'staff sales'!C:Z,24,)</f>
        <v>280</v>
      </c>
      <c r="O371" s="81">
        <f>VLOOKUP(A:A,'staff sales'!C:AC,27,)</f>
        <v>9</v>
      </c>
      <c r="P371" s="81">
        <f>VLOOKUP(A:A,'staff sales'!C:AF,30,)</f>
        <v>0</v>
      </c>
      <c r="Q371" s="81">
        <f>VLOOKUP(A:A,'staff sales'!C:AI,33,)</f>
        <v>47</v>
      </c>
      <c r="R371" s="81">
        <f>VLOOKUP(A:A,'staff sales'!C:AL,36,)</f>
        <v>0</v>
      </c>
      <c r="S371" s="81">
        <f>VLOOKUP(A:A,'staff sales'!C:AO,39,)</f>
        <v>1</v>
      </c>
      <c r="T371" s="81">
        <f>VLOOKUP(A:A,'staff sales'!C:AR,42,)</f>
        <v>3</v>
      </c>
      <c r="U371" s="81">
        <f>VLOOKUP(A:A,'staff sales'!C:AU,45,)</f>
        <v>3</v>
      </c>
      <c r="V371" s="81">
        <f>VLOOKUP(A:A,'staff sales'!C:AX,48,)</f>
        <v>0</v>
      </c>
      <c r="W371" s="81">
        <f>VLOOKUP(A:A,'staff sales'!C:BA,51,)</f>
        <v>5</v>
      </c>
    </row>
    <row r="372" spans="1:23" x14ac:dyDescent="0.25">
      <c r="A372" s="16">
        <v>1064628553</v>
      </c>
      <c r="B372" s="17" t="s">
        <v>549</v>
      </c>
      <c r="C372" s="18" t="s">
        <v>546</v>
      </c>
      <c r="D372" s="18" t="s">
        <v>546</v>
      </c>
      <c r="E372" s="18" t="s">
        <v>403</v>
      </c>
      <c r="F372" s="18" t="s">
        <v>403</v>
      </c>
      <c r="G372" s="18" t="s">
        <v>1218</v>
      </c>
      <c r="H372" s="18" t="s">
        <v>221</v>
      </c>
      <c r="I372" s="19" t="s">
        <v>542</v>
      </c>
      <c r="J372" s="18">
        <v>23012</v>
      </c>
      <c r="K372" s="80">
        <f>VLOOKUP(A:A,'staff sales'!C:Q,15,)</f>
        <v>91445.440000000002</v>
      </c>
      <c r="L372" s="81">
        <f>VLOOKUP(A:A,'staff sales'!C:T,18,)</f>
        <v>2086.09</v>
      </c>
      <c r="M372" s="81">
        <f>VLOOKUP(A:A,'staff sales'!C:W,21,)</f>
        <v>17107.18</v>
      </c>
      <c r="N372" s="81">
        <f>VLOOKUP(A:A,'staff sales'!C:Z,24,)</f>
        <v>0</v>
      </c>
      <c r="O372" s="81">
        <f>VLOOKUP(A:A,'staff sales'!C:AC,27,)</f>
        <v>7</v>
      </c>
      <c r="P372" s="81">
        <f>VLOOKUP(A:A,'staff sales'!C:AF,30,)</f>
        <v>1</v>
      </c>
      <c r="Q372" s="81">
        <f>VLOOKUP(A:A,'staff sales'!C:AI,33,)</f>
        <v>48</v>
      </c>
      <c r="R372" s="81">
        <f>VLOOKUP(A:A,'staff sales'!C:AL,36,)</f>
        <v>4</v>
      </c>
      <c r="S372" s="81">
        <f>VLOOKUP(A:A,'staff sales'!C:AO,39,)</f>
        <v>2</v>
      </c>
      <c r="T372" s="81">
        <f>VLOOKUP(A:A,'staff sales'!C:AR,42,)</f>
        <v>4</v>
      </c>
      <c r="U372" s="81">
        <f>VLOOKUP(A:A,'staff sales'!C:AU,45,)</f>
        <v>1</v>
      </c>
      <c r="V372" s="81">
        <f>VLOOKUP(A:A,'staff sales'!C:AX,48,)</f>
        <v>1</v>
      </c>
      <c r="W372" s="81">
        <f>VLOOKUP(A:A,'staff sales'!C:BA,51,)</f>
        <v>7</v>
      </c>
    </row>
    <row r="373" spans="1:23" x14ac:dyDescent="0.25">
      <c r="A373" s="16">
        <v>1049980657</v>
      </c>
      <c r="B373" s="17" t="s">
        <v>557</v>
      </c>
      <c r="C373" s="18" t="s">
        <v>546</v>
      </c>
      <c r="D373" s="18" t="s">
        <v>546</v>
      </c>
      <c r="E373" s="18" t="s">
        <v>231</v>
      </c>
      <c r="F373" s="18" t="s">
        <v>231</v>
      </c>
      <c r="G373" s="18" t="s">
        <v>1218</v>
      </c>
      <c r="H373" s="18" t="s">
        <v>221</v>
      </c>
      <c r="I373" s="19" t="s">
        <v>542</v>
      </c>
      <c r="J373" s="18">
        <v>23012</v>
      </c>
      <c r="K373" s="80">
        <f>VLOOKUP(A:A,'staff sales'!C:Q,15,)</f>
        <v>109946.98</v>
      </c>
      <c r="L373" s="81">
        <f>VLOOKUP(A:A,'staff sales'!C:T,18,)</f>
        <v>5778.27</v>
      </c>
      <c r="M373" s="81">
        <f>VLOOKUP(A:A,'staff sales'!C:W,21,)</f>
        <v>11398.7</v>
      </c>
      <c r="N373" s="81">
        <f>VLOOKUP(A:A,'staff sales'!C:Z,24,)</f>
        <v>80</v>
      </c>
      <c r="O373" s="81">
        <f>VLOOKUP(A:A,'staff sales'!C:AC,27,)</f>
        <v>3</v>
      </c>
      <c r="P373" s="81">
        <f>VLOOKUP(A:A,'staff sales'!C:AF,30,)</f>
        <v>1</v>
      </c>
      <c r="Q373" s="81">
        <f>VLOOKUP(A:A,'staff sales'!C:AI,33,)</f>
        <v>63</v>
      </c>
      <c r="R373" s="81">
        <f>VLOOKUP(A:A,'staff sales'!C:AL,36,)</f>
        <v>1</v>
      </c>
      <c r="S373" s="81">
        <f>VLOOKUP(A:A,'staff sales'!C:AO,39,)</f>
        <v>1</v>
      </c>
      <c r="T373" s="81">
        <f>VLOOKUP(A:A,'staff sales'!C:AR,42,)</f>
        <v>1</v>
      </c>
      <c r="U373" s="81">
        <f>VLOOKUP(A:A,'staff sales'!C:AU,45,)</f>
        <v>2</v>
      </c>
      <c r="V373" s="81">
        <f>VLOOKUP(A:A,'staff sales'!C:AX,48,)</f>
        <v>0</v>
      </c>
      <c r="W373" s="81">
        <f>VLOOKUP(A:A,'staff sales'!C:BA,51,)</f>
        <v>1</v>
      </c>
    </row>
    <row r="374" spans="1:23" x14ac:dyDescent="0.25">
      <c r="A374" s="16">
        <v>1073751818</v>
      </c>
      <c r="B374" s="17" t="s">
        <v>550</v>
      </c>
      <c r="C374" s="18" t="s">
        <v>546</v>
      </c>
      <c r="D374" s="18" t="s">
        <v>546</v>
      </c>
      <c r="E374" s="18" t="s">
        <v>402</v>
      </c>
      <c r="F374" s="18" t="s">
        <v>402</v>
      </c>
      <c r="G374" s="18" t="s">
        <v>1218</v>
      </c>
      <c r="H374" s="18" t="s">
        <v>221</v>
      </c>
      <c r="I374" s="19" t="s">
        <v>542</v>
      </c>
      <c r="J374" s="18">
        <v>23012</v>
      </c>
      <c r="K374" s="80">
        <f>VLOOKUP(A:A,'staff sales'!C:Q,15,)</f>
        <v>53328.709999999992</v>
      </c>
      <c r="L374" s="81">
        <f>VLOOKUP(A:A,'staff sales'!C:T,18,)</f>
        <v>2086.09</v>
      </c>
      <c r="M374" s="81">
        <f>VLOOKUP(A:A,'staff sales'!C:W,21,)</f>
        <v>14046.52</v>
      </c>
      <c r="N374" s="81">
        <f>VLOOKUP(A:A,'staff sales'!C:Z,24,)</f>
        <v>299</v>
      </c>
      <c r="O374" s="81">
        <f>VLOOKUP(A:A,'staff sales'!C:AC,27,)</f>
        <v>5</v>
      </c>
      <c r="P374" s="81">
        <f>VLOOKUP(A:A,'staff sales'!C:AF,30,)</f>
        <v>1</v>
      </c>
      <c r="Q374" s="81">
        <f>VLOOKUP(A:A,'staff sales'!C:AI,33,)</f>
        <v>33</v>
      </c>
      <c r="R374" s="81">
        <f>VLOOKUP(A:A,'staff sales'!C:AL,36,)</f>
        <v>1</v>
      </c>
      <c r="S374" s="81">
        <f>VLOOKUP(A:A,'staff sales'!C:AO,39,)</f>
        <v>1</v>
      </c>
      <c r="T374" s="81">
        <f>VLOOKUP(A:A,'staff sales'!C:AR,42,)</f>
        <v>1</v>
      </c>
      <c r="U374" s="81">
        <f>VLOOKUP(A:A,'staff sales'!C:AU,45,)</f>
        <v>1</v>
      </c>
      <c r="V374" s="81">
        <f>VLOOKUP(A:A,'staff sales'!C:AX,48,)</f>
        <v>0</v>
      </c>
      <c r="W374" s="81">
        <f>VLOOKUP(A:A,'staff sales'!C:BA,51,)</f>
        <v>9</v>
      </c>
    </row>
    <row r="375" spans="1:23" x14ac:dyDescent="0.25">
      <c r="A375" s="16">
        <v>1055300030</v>
      </c>
      <c r="B375" s="17" t="s">
        <v>574</v>
      </c>
      <c r="C375" s="18" t="s">
        <v>546</v>
      </c>
      <c r="D375" s="18" t="s">
        <v>546</v>
      </c>
      <c r="E375" s="18" t="s">
        <v>303</v>
      </c>
      <c r="F375" s="18" t="s">
        <v>303</v>
      </c>
      <c r="G375" s="18" t="s">
        <v>1218</v>
      </c>
      <c r="H375" s="18" t="s">
        <v>221</v>
      </c>
      <c r="I375" s="19" t="s">
        <v>542</v>
      </c>
      <c r="J375" s="18">
        <v>23012</v>
      </c>
      <c r="K375" s="80">
        <f>VLOOKUP(A:A,'staff sales'!C:Q,15,)</f>
        <v>56204.359999999993</v>
      </c>
      <c r="L375" s="81">
        <f>VLOOKUP(A:A,'staff sales'!C:T,18,)</f>
        <v>3216.52</v>
      </c>
      <c r="M375" s="81">
        <f>VLOOKUP(A:A,'staff sales'!C:W,21,)</f>
        <v>8173.4700000000012</v>
      </c>
      <c r="N375" s="81">
        <f>VLOOKUP(A:A,'staff sales'!C:Z,24,)</f>
        <v>954</v>
      </c>
      <c r="O375" s="81">
        <f>VLOOKUP(A:A,'staff sales'!C:AC,27,)</f>
        <v>9</v>
      </c>
      <c r="P375" s="81">
        <f>VLOOKUP(A:A,'staff sales'!C:AF,30,)</f>
        <v>1</v>
      </c>
      <c r="Q375" s="81">
        <f>VLOOKUP(A:A,'staff sales'!C:AI,33,)</f>
        <v>106</v>
      </c>
      <c r="R375" s="81">
        <f>VLOOKUP(A:A,'staff sales'!C:AL,36,)</f>
        <v>3</v>
      </c>
      <c r="S375" s="81">
        <f>VLOOKUP(A:A,'staff sales'!C:AO,39,)</f>
        <v>5</v>
      </c>
      <c r="T375" s="81">
        <f>VLOOKUP(A:A,'staff sales'!C:AR,42,)</f>
        <v>5</v>
      </c>
      <c r="U375" s="81">
        <f>VLOOKUP(A:A,'staff sales'!C:AU,45,)</f>
        <v>0</v>
      </c>
      <c r="V375" s="81">
        <f>VLOOKUP(A:A,'staff sales'!C:AX,48,)</f>
        <v>0</v>
      </c>
      <c r="W375" s="81">
        <f>VLOOKUP(A:A,'staff sales'!C:BA,51,)</f>
        <v>5</v>
      </c>
    </row>
    <row r="376" spans="1:23" x14ac:dyDescent="0.25">
      <c r="A376" s="16">
        <v>1076339744</v>
      </c>
      <c r="B376" s="17" t="s">
        <v>595</v>
      </c>
      <c r="C376" s="18" t="s">
        <v>541</v>
      </c>
      <c r="D376" s="18" t="s">
        <v>541</v>
      </c>
      <c r="E376" s="18" t="s">
        <v>271</v>
      </c>
      <c r="F376" s="18" t="s">
        <v>271</v>
      </c>
      <c r="G376" s="18" t="s">
        <v>1218</v>
      </c>
      <c r="H376" s="18" t="s">
        <v>221</v>
      </c>
      <c r="I376" s="19" t="s">
        <v>561</v>
      </c>
      <c r="J376" s="18">
        <v>23015</v>
      </c>
      <c r="K376" s="80">
        <f>VLOOKUP(A:A,'staff sales'!C:Q,15,)</f>
        <v>5303.48</v>
      </c>
      <c r="L376" s="81">
        <f>VLOOKUP(A:A,'staff sales'!C:T,18,)</f>
        <v>0</v>
      </c>
      <c r="M376" s="81">
        <f>VLOOKUP(A:A,'staff sales'!C:W,21,)</f>
        <v>0</v>
      </c>
      <c r="N376" s="81">
        <f>VLOOKUP(A:A,'staff sales'!C:Z,24,)</f>
        <v>0</v>
      </c>
      <c r="O376" s="81">
        <f>VLOOKUP(A:A,'staff sales'!C:AC,27,)</f>
        <v>0</v>
      </c>
      <c r="P376" s="81">
        <f>VLOOKUP(A:A,'staff sales'!C:AF,30,)</f>
        <v>0</v>
      </c>
      <c r="Q376" s="81">
        <f>VLOOKUP(A:A,'staff sales'!C:AI,33,)</f>
        <v>1</v>
      </c>
      <c r="R376" s="81">
        <f>VLOOKUP(A:A,'staff sales'!C:AL,36,)</f>
        <v>0</v>
      </c>
      <c r="S376" s="81">
        <f>VLOOKUP(A:A,'staff sales'!C:AO,39,)</f>
        <v>4</v>
      </c>
      <c r="T376" s="81">
        <f>VLOOKUP(A:A,'staff sales'!C:AR,42,)</f>
        <v>0</v>
      </c>
      <c r="U376" s="81">
        <f>VLOOKUP(A:A,'staff sales'!C:AU,45,)</f>
        <v>0</v>
      </c>
      <c r="V376" s="81">
        <f>VLOOKUP(A:A,'staff sales'!C:AX,48,)</f>
        <v>0</v>
      </c>
      <c r="W376" s="81">
        <f>VLOOKUP(A:A,'staff sales'!C:BA,51,)</f>
        <v>0</v>
      </c>
    </row>
    <row r="377" spans="1:23" x14ac:dyDescent="0.25">
      <c r="A377" s="16">
        <v>1019390226</v>
      </c>
      <c r="B377" s="17" t="s">
        <v>563</v>
      </c>
      <c r="C377" s="18" t="s">
        <v>544</v>
      </c>
      <c r="D377" s="18" t="s">
        <v>544</v>
      </c>
      <c r="E377" s="18" t="s">
        <v>242</v>
      </c>
      <c r="F377" s="18" t="s">
        <v>242</v>
      </c>
      <c r="G377" s="18" t="s">
        <v>1218</v>
      </c>
      <c r="H377" s="18" t="s">
        <v>221</v>
      </c>
      <c r="I377" s="19" t="s">
        <v>561</v>
      </c>
      <c r="J377" s="18">
        <v>23015</v>
      </c>
      <c r="K377" s="80">
        <f>VLOOKUP(A:A,'staff sales'!C:Q,15,)</f>
        <v>0</v>
      </c>
      <c r="L377" s="81">
        <f>VLOOKUP(A:A,'staff sales'!C:T,18,)</f>
        <v>0</v>
      </c>
      <c r="M377" s="81">
        <f>VLOOKUP(A:A,'staff sales'!C:W,21,)</f>
        <v>0</v>
      </c>
      <c r="N377" s="81">
        <f>VLOOKUP(A:A,'staff sales'!C:Z,24,)</f>
        <v>0</v>
      </c>
      <c r="O377" s="81">
        <f>VLOOKUP(A:A,'staff sales'!C:AC,27,)</f>
        <v>0</v>
      </c>
      <c r="P377" s="81">
        <f>VLOOKUP(A:A,'staff sales'!C:AF,30,)</f>
        <v>0</v>
      </c>
      <c r="Q377" s="81">
        <f>VLOOKUP(A:A,'staff sales'!C:AI,33,)</f>
        <v>0</v>
      </c>
      <c r="R377" s="81">
        <f>VLOOKUP(A:A,'staff sales'!C:AL,36,)</f>
        <v>0</v>
      </c>
      <c r="S377" s="81">
        <f>VLOOKUP(A:A,'staff sales'!C:AO,39,)</f>
        <v>0</v>
      </c>
      <c r="T377" s="81">
        <f>VLOOKUP(A:A,'staff sales'!C:AR,42,)</f>
        <v>0</v>
      </c>
      <c r="U377" s="81">
        <f>VLOOKUP(A:A,'staff sales'!C:AU,45,)</f>
        <v>0</v>
      </c>
      <c r="V377" s="81">
        <f>VLOOKUP(A:A,'staff sales'!C:AX,48,)</f>
        <v>0</v>
      </c>
      <c r="W377" s="81">
        <f>VLOOKUP(A:A,'staff sales'!C:BA,51,)</f>
        <v>0</v>
      </c>
    </row>
    <row r="378" spans="1:23" x14ac:dyDescent="0.25">
      <c r="A378" s="16">
        <v>1083220317</v>
      </c>
      <c r="B378" s="17" t="s">
        <v>1194</v>
      </c>
      <c r="C378" s="18" t="s">
        <v>546</v>
      </c>
      <c r="D378" s="18" t="s">
        <v>546</v>
      </c>
      <c r="E378" s="18" t="s">
        <v>240</v>
      </c>
      <c r="F378" s="18" t="s">
        <v>241</v>
      </c>
      <c r="G378" s="18" t="s">
        <v>1218</v>
      </c>
      <c r="H378" s="18" t="s">
        <v>221</v>
      </c>
      <c r="I378" s="19" t="s">
        <v>561</v>
      </c>
      <c r="J378" s="18">
        <v>23015</v>
      </c>
      <c r="K378" s="80">
        <f>VLOOKUP(A:A,'staff sales'!C:Q,15,)</f>
        <v>160504.38999999996</v>
      </c>
      <c r="L378" s="81">
        <f>VLOOKUP(A:A,'staff sales'!C:T,18,)</f>
        <v>4672.75</v>
      </c>
      <c r="M378" s="81">
        <f>VLOOKUP(A:A,'staff sales'!C:W,21,)</f>
        <v>29329.729999999992</v>
      </c>
      <c r="N378" s="81">
        <f>VLOOKUP(A:A,'staff sales'!C:Z,24,)</f>
        <v>952</v>
      </c>
      <c r="O378" s="81">
        <f>VLOOKUP(A:A,'staff sales'!C:AC,27,)</f>
        <v>20</v>
      </c>
      <c r="P378" s="81">
        <f>VLOOKUP(A:A,'staff sales'!C:AF,30,)</f>
        <v>1</v>
      </c>
      <c r="Q378" s="81">
        <f>VLOOKUP(A:A,'staff sales'!C:AI,33,)</f>
        <v>70</v>
      </c>
      <c r="R378" s="81">
        <f>VLOOKUP(A:A,'staff sales'!C:AL,36,)</f>
        <v>3</v>
      </c>
      <c r="S378" s="81">
        <f>VLOOKUP(A:A,'staff sales'!C:AO,39,)</f>
        <v>15</v>
      </c>
      <c r="T378" s="81">
        <f>VLOOKUP(A:A,'staff sales'!C:AR,42,)</f>
        <v>7</v>
      </c>
      <c r="U378" s="81">
        <f>VLOOKUP(A:A,'staff sales'!C:AU,45,)</f>
        <v>5</v>
      </c>
      <c r="V378" s="81">
        <f>VLOOKUP(A:A,'staff sales'!C:AX,48,)</f>
        <v>1</v>
      </c>
      <c r="W378" s="81">
        <f>VLOOKUP(A:A,'staff sales'!C:BA,51,)</f>
        <v>8</v>
      </c>
    </row>
    <row r="379" spans="1:23" x14ac:dyDescent="0.25">
      <c r="A379" s="16">
        <v>1071212201</v>
      </c>
      <c r="B379" s="17" t="s">
        <v>562</v>
      </c>
      <c r="C379" s="18" t="s">
        <v>546</v>
      </c>
      <c r="D379" s="18" t="s">
        <v>546</v>
      </c>
      <c r="E379" s="18" t="s">
        <v>243</v>
      </c>
      <c r="F379" s="18" t="s">
        <v>244</v>
      </c>
      <c r="G379" s="18" t="s">
        <v>1218</v>
      </c>
      <c r="H379" s="18" t="s">
        <v>221</v>
      </c>
      <c r="I379" s="19" t="s">
        <v>561</v>
      </c>
      <c r="J379" s="18">
        <v>23015</v>
      </c>
      <c r="K379" s="80">
        <f>VLOOKUP(A:A,'staff sales'!C:Q,15,)</f>
        <v>33666.979999999996</v>
      </c>
      <c r="L379" s="81">
        <f>VLOOKUP(A:A,'staff sales'!C:T,18,)</f>
        <v>7389.5599999999995</v>
      </c>
      <c r="M379" s="81">
        <f>VLOOKUP(A:A,'staff sales'!C:W,21,)</f>
        <v>10643.05</v>
      </c>
      <c r="N379" s="81">
        <f>VLOOKUP(A:A,'staff sales'!C:Z,24,)</f>
        <v>714</v>
      </c>
      <c r="O379" s="81">
        <f>VLOOKUP(A:A,'staff sales'!C:AC,27,)</f>
        <v>3</v>
      </c>
      <c r="P379" s="81">
        <f>VLOOKUP(A:A,'staff sales'!C:AF,30,)</f>
        <v>1</v>
      </c>
      <c r="Q379" s="81">
        <f>VLOOKUP(A:A,'staff sales'!C:AI,33,)</f>
        <v>38</v>
      </c>
      <c r="R379" s="81">
        <f>VLOOKUP(A:A,'staff sales'!C:AL,36,)</f>
        <v>2</v>
      </c>
      <c r="S379" s="81">
        <f>VLOOKUP(A:A,'staff sales'!C:AO,39,)</f>
        <v>0</v>
      </c>
      <c r="T379" s="81">
        <f>VLOOKUP(A:A,'staff sales'!C:AR,42,)</f>
        <v>3</v>
      </c>
      <c r="U379" s="81">
        <f>VLOOKUP(A:A,'staff sales'!C:AU,45,)</f>
        <v>2</v>
      </c>
      <c r="V379" s="81">
        <f>VLOOKUP(A:A,'staff sales'!C:AX,48,)</f>
        <v>0</v>
      </c>
      <c r="W379" s="81">
        <f>VLOOKUP(A:A,'staff sales'!C:BA,51,)</f>
        <v>2</v>
      </c>
    </row>
    <row r="380" spans="1:23" x14ac:dyDescent="0.25">
      <c r="A380" s="16">
        <v>1071143844</v>
      </c>
      <c r="B380" s="17" t="s">
        <v>564</v>
      </c>
      <c r="C380" s="18" t="s">
        <v>546</v>
      </c>
      <c r="D380" s="18" t="s">
        <v>546</v>
      </c>
      <c r="E380" s="18" t="s">
        <v>245</v>
      </c>
      <c r="F380" s="18" t="s">
        <v>246</v>
      </c>
      <c r="G380" s="18" t="s">
        <v>1218</v>
      </c>
      <c r="H380" s="18" t="s">
        <v>221</v>
      </c>
      <c r="I380" s="19" t="s">
        <v>561</v>
      </c>
      <c r="J380" s="18">
        <v>23015</v>
      </c>
      <c r="K380" s="80">
        <f>VLOOKUP(A:A,'staff sales'!C:Q,15,)</f>
        <v>73464.350000000006</v>
      </c>
      <c r="L380" s="81">
        <f>VLOOKUP(A:A,'staff sales'!C:T,18,)</f>
        <v>0</v>
      </c>
      <c r="M380" s="81">
        <f>VLOOKUP(A:A,'staff sales'!C:W,21,)</f>
        <v>21924.79</v>
      </c>
      <c r="N380" s="81">
        <f>VLOOKUP(A:A,'staff sales'!C:Z,24,)</f>
        <v>714</v>
      </c>
      <c r="O380" s="81">
        <f>VLOOKUP(A:A,'staff sales'!C:AC,27,)</f>
        <v>8</v>
      </c>
      <c r="P380" s="81">
        <f>VLOOKUP(A:A,'staff sales'!C:AF,30,)</f>
        <v>1</v>
      </c>
      <c r="Q380" s="81">
        <f>VLOOKUP(A:A,'staff sales'!C:AI,33,)</f>
        <v>53</v>
      </c>
      <c r="R380" s="81">
        <f>VLOOKUP(A:A,'staff sales'!C:AL,36,)</f>
        <v>5</v>
      </c>
      <c r="S380" s="81">
        <f>VLOOKUP(A:A,'staff sales'!C:AO,39,)</f>
        <v>16</v>
      </c>
      <c r="T380" s="81">
        <f>VLOOKUP(A:A,'staff sales'!C:AR,42,)</f>
        <v>6</v>
      </c>
      <c r="U380" s="81">
        <f>VLOOKUP(A:A,'staff sales'!C:AU,45,)</f>
        <v>5</v>
      </c>
      <c r="V380" s="81">
        <f>VLOOKUP(A:A,'staff sales'!C:AX,48,)</f>
        <v>0</v>
      </c>
      <c r="W380" s="81">
        <f>VLOOKUP(A:A,'staff sales'!C:BA,51,)</f>
        <v>1</v>
      </c>
    </row>
    <row r="381" spans="1:23" x14ac:dyDescent="0.25">
      <c r="A381" s="16">
        <v>1020480669</v>
      </c>
      <c r="B381" s="17" t="s">
        <v>565</v>
      </c>
      <c r="C381" s="18" t="s">
        <v>541</v>
      </c>
      <c r="D381" s="18" t="s">
        <v>541</v>
      </c>
      <c r="E381" s="18" t="s">
        <v>257</v>
      </c>
      <c r="F381" s="18" t="s">
        <v>257</v>
      </c>
      <c r="G381" s="18" t="s">
        <v>1218</v>
      </c>
      <c r="H381" s="18" t="s">
        <v>221</v>
      </c>
      <c r="I381" s="19" t="s">
        <v>566</v>
      </c>
      <c r="J381" s="18">
        <v>33027</v>
      </c>
      <c r="K381" s="80">
        <f>VLOOKUP(A:A,'staff sales'!C:Q,15,)</f>
        <v>0</v>
      </c>
      <c r="L381" s="81">
        <f>VLOOKUP(A:A,'staff sales'!C:T,18,)</f>
        <v>0</v>
      </c>
      <c r="M381" s="81">
        <f>VLOOKUP(A:A,'staff sales'!C:W,21,)</f>
        <v>0</v>
      </c>
      <c r="N381" s="81">
        <f>VLOOKUP(A:A,'staff sales'!C:Z,24,)</f>
        <v>0</v>
      </c>
      <c r="O381" s="81">
        <f>VLOOKUP(A:A,'staff sales'!C:AC,27,)</f>
        <v>0</v>
      </c>
      <c r="P381" s="81">
        <f>VLOOKUP(A:A,'staff sales'!C:AF,30,)</f>
        <v>0</v>
      </c>
      <c r="Q381" s="81">
        <f>VLOOKUP(A:A,'staff sales'!C:AI,33,)</f>
        <v>0</v>
      </c>
      <c r="R381" s="81">
        <f>VLOOKUP(A:A,'staff sales'!C:AL,36,)</f>
        <v>0</v>
      </c>
      <c r="S381" s="81">
        <f>VLOOKUP(A:A,'staff sales'!C:AO,39,)</f>
        <v>0</v>
      </c>
      <c r="T381" s="81">
        <f>VLOOKUP(A:A,'staff sales'!C:AR,42,)</f>
        <v>0</v>
      </c>
      <c r="U381" s="81">
        <f>VLOOKUP(A:A,'staff sales'!C:AU,45,)</f>
        <v>0</v>
      </c>
      <c r="V381" s="81">
        <f>VLOOKUP(A:A,'staff sales'!C:AX,48,)</f>
        <v>0</v>
      </c>
      <c r="W381" s="81">
        <f>VLOOKUP(A:A,'staff sales'!C:BA,51,)</f>
        <v>0</v>
      </c>
    </row>
    <row r="382" spans="1:23" x14ac:dyDescent="0.25">
      <c r="A382" s="16">
        <v>1015062647</v>
      </c>
      <c r="B382" s="17" t="s">
        <v>571</v>
      </c>
      <c r="C382" s="18" t="s">
        <v>544</v>
      </c>
      <c r="D382" s="18" t="s">
        <v>544</v>
      </c>
      <c r="E382" s="18" t="s">
        <v>118</v>
      </c>
      <c r="F382" s="18" t="s">
        <v>118</v>
      </c>
      <c r="G382" s="18" t="s">
        <v>1218</v>
      </c>
      <c r="H382" s="18" t="s">
        <v>221</v>
      </c>
      <c r="I382" s="19" t="s">
        <v>566</v>
      </c>
      <c r="J382" s="18">
        <v>33027</v>
      </c>
      <c r="K382" s="80">
        <f>VLOOKUP(A:A,'staff sales'!C:Q,15,)</f>
        <v>0</v>
      </c>
      <c r="L382" s="81">
        <f>VLOOKUP(A:A,'staff sales'!C:T,18,)</f>
        <v>0</v>
      </c>
      <c r="M382" s="81">
        <f>VLOOKUP(A:A,'staff sales'!C:W,21,)</f>
        <v>0</v>
      </c>
      <c r="N382" s="81">
        <f>VLOOKUP(A:A,'staff sales'!C:Z,24,)</f>
        <v>0</v>
      </c>
      <c r="O382" s="81">
        <f>VLOOKUP(A:A,'staff sales'!C:AC,27,)</f>
        <v>2</v>
      </c>
      <c r="P382" s="81">
        <f>VLOOKUP(A:A,'staff sales'!C:AF,30,)</f>
        <v>0</v>
      </c>
      <c r="Q382" s="81">
        <f>VLOOKUP(A:A,'staff sales'!C:AI,33,)</f>
        <v>1</v>
      </c>
      <c r="R382" s="81">
        <f>VLOOKUP(A:A,'staff sales'!C:AL,36,)</f>
        <v>0</v>
      </c>
      <c r="S382" s="81">
        <f>VLOOKUP(A:A,'staff sales'!C:AO,39,)</f>
        <v>1</v>
      </c>
      <c r="T382" s="81">
        <f>VLOOKUP(A:A,'staff sales'!C:AR,42,)</f>
        <v>0</v>
      </c>
      <c r="U382" s="81">
        <f>VLOOKUP(A:A,'staff sales'!C:AU,45,)</f>
        <v>0</v>
      </c>
      <c r="V382" s="81">
        <f>VLOOKUP(A:A,'staff sales'!C:AX,48,)</f>
        <v>0</v>
      </c>
      <c r="W382" s="81">
        <f>VLOOKUP(A:A,'staff sales'!C:BA,51,)</f>
        <v>0</v>
      </c>
    </row>
    <row r="383" spans="1:23" x14ac:dyDescent="0.25">
      <c r="A383" s="16">
        <v>1013150469</v>
      </c>
      <c r="B383" s="17" t="s">
        <v>577</v>
      </c>
      <c r="C383" s="18" t="s">
        <v>546</v>
      </c>
      <c r="D383" s="18" t="s">
        <v>546</v>
      </c>
      <c r="E383" s="18" t="s">
        <v>407</v>
      </c>
      <c r="F383" s="18" t="s">
        <v>408</v>
      </c>
      <c r="G383" s="18" t="s">
        <v>1218</v>
      </c>
      <c r="H383" s="18" t="s">
        <v>221</v>
      </c>
      <c r="I383" s="19" t="s">
        <v>566</v>
      </c>
      <c r="J383" s="18">
        <v>33027</v>
      </c>
      <c r="K383" s="80">
        <f>VLOOKUP(A:A,'staff sales'!C:Q,15,)</f>
        <v>19206.079999999998</v>
      </c>
      <c r="L383" s="81">
        <f>VLOOKUP(A:A,'staff sales'!C:T,18,)</f>
        <v>0</v>
      </c>
      <c r="M383" s="81">
        <f>VLOOKUP(A:A,'staff sales'!C:W,21,)</f>
        <v>2515.65</v>
      </c>
      <c r="N383" s="81">
        <f>VLOOKUP(A:A,'staff sales'!C:Z,24,)</f>
        <v>0</v>
      </c>
      <c r="O383" s="81">
        <f>VLOOKUP(A:A,'staff sales'!C:AC,27,)</f>
        <v>2</v>
      </c>
      <c r="P383" s="81">
        <f>VLOOKUP(A:A,'staff sales'!C:AF,30,)</f>
        <v>0</v>
      </c>
      <c r="Q383" s="81">
        <f>VLOOKUP(A:A,'staff sales'!C:AI,33,)</f>
        <v>9</v>
      </c>
      <c r="R383" s="81">
        <f>VLOOKUP(A:A,'staff sales'!C:AL,36,)</f>
        <v>0</v>
      </c>
      <c r="S383" s="81">
        <f>VLOOKUP(A:A,'staff sales'!C:AO,39,)</f>
        <v>0</v>
      </c>
      <c r="T383" s="81">
        <f>VLOOKUP(A:A,'staff sales'!C:AR,42,)</f>
        <v>0</v>
      </c>
      <c r="U383" s="81">
        <f>VLOOKUP(A:A,'staff sales'!C:AU,45,)</f>
        <v>5</v>
      </c>
      <c r="V383" s="81">
        <f>VLOOKUP(A:A,'staff sales'!C:AX,48,)</f>
        <v>0</v>
      </c>
      <c r="W383" s="81">
        <f>VLOOKUP(A:A,'staff sales'!C:BA,51,)</f>
        <v>0</v>
      </c>
    </row>
    <row r="384" spans="1:23" x14ac:dyDescent="0.25">
      <c r="A384" s="16">
        <v>1028736880</v>
      </c>
      <c r="B384" s="17" t="s">
        <v>568</v>
      </c>
      <c r="C384" s="18" t="s">
        <v>546</v>
      </c>
      <c r="D384" s="18" t="s">
        <v>546</v>
      </c>
      <c r="E384" s="18" t="s">
        <v>405</v>
      </c>
      <c r="F384" s="18" t="s">
        <v>406</v>
      </c>
      <c r="G384" s="18" t="s">
        <v>1218</v>
      </c>
      <c r="H384" s="18" t="s">
        <v>221</v>
      </c>
      <c r="I384" s="19" t="s">
        <v>566</v>
      </c>
      <c r="J384" s="18">
        <v>33027</v>
      </c>
      <c r="K384" s="80">
        <f>VLOOKUP(A:A,'staff sales'!C:Q,15,)</f>
        <v>62797.4</v>
      </c>
      <c r="L384" s="81">
        <f>VLOOKUP(A:A,'staff sales'!C:T,18,)</f>
        <v>0</v>
      </c>
      <c r="M384" s="81">
        <f>VLOOKUP(A:A,'staff sales'!C:W,21,)</f>
        <v>7660.44</v>
      </c>
      <c r="N384" s="81">
        <f>VLOOKUP(A:A,'staff sales'!C:Z,24,)</f>
        <v>0</v>
      </c>
      <c r="O384" s="81">
        <f>VLOOKUP(A:A,'staff sales'!C:AC,27,)</f>
        <v>8</v>
      </c>
      <c r="P384" s="81">
        <f>VLOOKUP(A:A,'staff sales'!C:AF,30,)</f>
        <v>1</v>
      </c>
      <c r="Q384" s="81">
        <f>VLOOKUP(A:A,'staff sales'!C:AI,33,)</f>
        <v>21</v>
      </c>
      <c r="R384" s="81">
        <f>VLOOKUP(A:A,'staff sales'!C:AL,36,)</f>
        <v>0</v>
      </c>
      <c r="S384" s="81">
        <f>VLOOKUP(A:A,'staff sales'!C:AO,39,)</f>
        <v>2</v>
      </c>
      <c r="T384" s="81">
        <f>VLOOKUP(A:A,'staff sales'!C:AR,42,)</f>
        <v>2</v>
      </c>
      <c r="U384" s="81">
        <f>VLOOKUP(A:A,'staff sales'!C:AU,45,)</f>
        <v>7</v>
      </c>
      <c r="V384" s="81">
        <f>VLOOKUP(A:A,'staff sales'!C:AX,48,)</f>
        <v>0</v>
      </c>
      <c r="W384" s="81">
        <f>VLOOKUP(A:A,'staff sales'!C:BA,51,)</f>
        <v>1</v>
      </c>
    </row>
    <row r="385" spans="1:23" x14ac:dyDescent="0.25">
      <c r="A385" s="16">
        <v>1045949573</v>
      </c>
      <c r="B385" s="17" t="s">
        <v>572</v>
      </c>
      <c r="C385" s="18" t="s">
        <v>546</v>
      </c>
      <c r="D385" s="18" t="s">
        <v>546</v>
      </c>
      <c r="E385" s="18" t="s">
        <v>248</v>
      </c>
      <c r="F385" s="18" t="s">
        <v>527</v>
      </c>
      <c r="G385" s="18" t="s">
        <v>1218</v>
      </c>
      <c r="H385" s="18" t="s">
        <v>221</v>
      </c>
      <c r="I385" s="19" t="s">
        <v>566</v>
      </c>
      <c r="J385" s="18">
        <v>33027</v>
      </c>
      <c r="K385" s="80">
        <f>VLOOKUP(A:A,'staff sales'!C:Q,15,)</f>
        <v>52562.630000000005</v>
      </c>
      <c r="L385" s="81">
        <f>VLOOKUP(A:A,'staff sales'!C:T,18,)</f>
        <v>6816.52</v>
      </c>
      <c r="M385" s="81">
        <f>VLOOKUP(A:A,'staff sales'!C:W,21,)</f>
        <v>4165.21</v>
      </c>
      <c r="N385" s="81">
        <f>VLOOKUP(A:A,'staff sales'!C:Z,24,)</f>
        <v>0</v>
      </c>
      <c r="O385" s="81">
        <f>VLOOKUP(A:A,'staff sales'!C:AC,27,)</f>
        <v>6</v>
      </c>
      <c r="P385" s="81">
        <f>VLOOKUP(A:A,'staff sales'!C:AF,30,)</f>
        <v>0</v>
      </c>
      <c r="Q385" s="81">
        <f>VLOOKUP(A:A,'staff sales'!C:AI,33,)</f>
        <v>28</v>
      </c>
      <c r="R385" s="81">
        <f>VLOOKUP(A:A,'staff sales'!C:AL,36,)</f>
        <v>0</v>
      </c>
      <c r="S385" s="81">
        <f>VLOOKUP(A:A,'staff sales'!C:AO,39,)</f>
        <v>1</v>
      </c>
      <c r="T385" s="81">
        <f>VLOOKUP(A:A,'staff sales'!C:AR,42,)</f>
        <v>2</v>
      </c>
      <c r="U385" s="81">
        <f>VLOOKUP(A:A,'staff sales'!C:AU,45,)</f>
        <v>6</v>
      </c>
      <c r="V385" s="81">
        <f>VLOOKUP(A:A,'staff sales'!C:AX,48,)</f>
        <v>0</v>
      </c>
      <c r="W385" s="81">
        <f>VLOOKUP(A:A,'staff sales'!C:BA,51,)</f>
        <v>1</v>
      </c>
    </row>
    <row r="386" spans="1:23" x14ac:dyDescent="0.25">
      <c r="A386" s="16">
        <v>1080862376</v>
      </c>
      <c r="B386" s="17" t="s">
        <v>575</v>
      </c>
      <c r="C386" s="18" t="s">
        <v>546</v>
      </c>
      <c r="D386" s="18" t="s">
        <v>546</v>
      </c>
      <c r="E386" s="18" t="s">
        <v>255</v>
      </c>
      <c r="F386" s="18" t="s">
        <v>256</v>
      </c>
      <c r="G386" s="18" t="s">
        <v>1218</v>
      </c>
      <c r="H386" s="18" t="s">
        <v>221</v>
      </c>
      <c r="I386" s="19" t="s">
        <v>566</v>
      </c>
      <c r="J386" s="18">
        <v>33027</v>
      </c>
      <c r="K386" s="80">
        <f>VLOOKUP(A:A,'staff sales'!C:Q,15,)</f>
        <v>69074.8</v>
      </c>
      <c r="L386" s="81">
        <f>VLOOKUP(A:A,'staff sales'!C:T,18,)</f>
        <v>12537.21</v>
      </c>
      <c r="M386" s="81">
        <f>VLOOKUP(A:A,'staff sales'!C:W,21,)</f>
        <v>26238.45</v>
      </c>
      <c r="N386" s="81">
        <f>VLOOKUP(A:A,'staff sales'!C:Z,24,)</f>
        <v>120</v>
      </c>
      <c r="O386" s="81">
        <f>VLOOKUP(A:A,'staff sales'!C:AC,27,)</f>
        <v>19</v>
      </c>
      <c r="P386" s="81">
        <f>VLOOKUP(A:A,'staff sales'!C:AF,30,)</f>
        <v>0</v>
      </c>
      <c r="Q386" s="81">
        <f>VLOOKUP(A:A,'staff sales'!C:AI,33,)</f>
        <v>46</v>
      </c>
      <c r="R386" s="81">
        <f>VLOOKUP(A:A,'staff sales'!C:AL,36,)</f>
        <v>2</v>
      </c>
      <c r="S386" s="81">
        <f>VLOOKUP(A:A,'staff sales'!C:AO,39,)</f>
        <v>2</v>
      </c>
      <c r="T386" s="81">
        <f>VLOOKUP(A:A,'staff sales'!C:AR,42,)</f>
        <v>4</v>
      </c>
      <c r="U386" s="81">
        <f>VLOOKUP(A:A,'staff sales'!C:AU,45,)</f>
        <v>4</v>
      </c>
      <c r="V386" s="81">
        <f>VLOOKUP(A:A,'staff sales'!C:AX,48,)</f>
        <v>0</v>
      </c>
      <c r="W386" s="81">
        <f>VLOOKUP(A:A,'staff sales'!C:BA,51,)</f>
        <v>4</v>
      </c>
    </row>
    <row r="387" spans="1:23" x14ac:dyDescent="0.25">
      <c r="A387" s="16">
        <v>1011825161</v>
      </c>
      <c r="B387" s="17" t="s">
        <v>589</v>
      </c>
      <c r="C387" s="18" t="s">
        <v>546</v>
      </c>
      <c r="D387" s="18" t="s">
        <v>546</v>
      </c>
      <c r="E387" s="18" t="s">
        <v>263</v>
      </c>
      <c r="F387" s="18" t="s">
        <v>264</v>
      </c>
      <c r="G387" s="18" t="s">
        <v>1218</v>
      </c>
      <c r="H387" s="18" t="s">
        <v>221</v>
      </c>
      <c r="I387" s="19" t="s">
        <v>566</v>
      </c>
      <c r="J387" s="18">
        <v>33027</v>
      </c>
      <c r="K387" s="80">
        <f>VLOOKUP(A:A,'staff sales'!C:Q,15,)</f>
        <v>130066.12999999999</v>
      </c>
      <c r="L387" s="81">
        <f>VLOOKUP(A:A,'staff sales'!C:T,18,)</f>
        <v>8958.65</v>
      </c>
      <c r="M387" s="81">
        <f>VLOOKUP(A:A,'staff sales'!C:W,21,)</f>
        <v>14034.360000000002</v>
      </c>
      <c r="N387" s="81">
        <f>VLOOKUP(A:A,'staff sales'!C:Z,24,)</f>
        <v>0</v>
      </c>
      <c r="O387" s="81">
        <f>VLOOKUP(A:A,'staff sales'!C:AC,27,)</f>
        <v>15</v>
      </c>
      <c r="P387" s="81">
        <f>VLOOKUP(A:A,'staff sales'!C:AF,30,)</f>
        <v>2</v>
      </c>
      <c r="Q387" s="81">
        <f>VLOOKUP(A:A,'staff sales'!C:AI,33,)</f>
        <v>68</v>
      </c>
      <c r="R387" s="81">
        <f>VLOOKUP(A:A,'staff sales'!C:AL,36,)</f>
        <v>4</v>
      </c>
      <c r="S387" s="81">
        <f>VLOOKUP(A:A,'staff sales'!C:AO,39,)</f>
        <v>0</v>
      </c>
      <c r="T387" s="81">
        <f>VLOOKUP(A:A,'staff sales'!C:AR,42,)</f>
        <v>6</v>
      </c>
      <c r="U387" s="81">
        <f>VLOOKUP(A:A,'staff sales'!C:AU,45,)</f>
        <v>8</v>
      </c>
      <c r="V387" s="81">
        <f>VLOOKUP(A:A,'staff sales'!C:AX,48,)</f>
        <v>0</v>
      </c>
      <c r="W387" s="81">
        <f>VLOOKUP(A:A,'staff sales'!C:BA,51,)</f>
        <v>1</v>
      </c>
    </row>
    <row r="388" spans="1:23" x14ac:dyDescent="0.25">
      <c r="A388" s="16">
        <v>1076896412</v>
      </c>
      <c r="B388" s="17" t="s">
        <v>1168</v>
      </c>
      <c r="C388" s="18" t="s">
        <v>544</v>
      </c>
      <c r="D388" s="18" t="s">
        <v>544</v>
      </c>
      <c r="E388" s="18" t="s">
        <v>144</v>
      </c>
      <c r="F388" s="18" t="s">
        <v>145</v>
      </c>
      <c r="G388" s="18" t="s">
        <v>1218</v>
      </c>
      <c r="H388" s="18" t="s">
        <v>221</v>
      </c>
      <c r="I388" s="19" t="s">
        <v>566</v>
      </c>
      <c r="J388" s="18">
        <v>33027</v>
      </c>
      <c r="K388" s="80">
        <f>VLOOKUP(A:A,'staff sales'!C:Q,15,)</f>
        <v>0</v>
      </c>
      <c r="L388" s="81">
        <f>VLOOKUP(A:A,'staff sales'!C:T,18,)</f>
        <v>0</v>
      </c>
      <c r="M388" s="81">
        <f>VLOOKUP(A:A,'staff sales'!C:W,21,)</f>
        <v>0</v>
      </c>
      <c r="N388" s="81">
        <f>VLOOKUP(A:A,'staff sales'!C:Z,24,)</f>
        <v>0</v>
      </c>
      <c r="O388" s="81">
        <f>VLOOKUP(A:A,'staff sales'!C:AC,27,)</f>
        <v>2</v>
      </c>
      <c r="P388" s="81">
        <f>VLOOKUP(A:A,'staff sales'!C:AF,30,)</f>
        <v>1</v>
      </c>
      <c r="Q388" s="81">
        <f>VLOOKUP(A:A,'staff sales'!C:AI,33,)</f>
        <v>10</v>
      </c>
      <c r="R388" s="81">
        <f>VLOOKUP(A:A,'staff sales'!C:AL,36,)</f>
        <v>0</v>
      </c>
      <c r="S388" s="81">
        <f>VLOOKUP(A:A,'staff sales'!C:AO,39,)</f>
        <v>2</v>
      </c>
      <c r="T388" s="81">
        <f>VLOOKUP(A:A,'staff sales'!C:AR,42,)</f>
        <v>0</v>
      </c>
      <c r="U388" s="81">
        <f>VLOOKUP(A:A,'staff sales'!C:AU,45,)</f>
        <v>0</v>
      </c>
      <c r="V388" s="81">
        <f>VLOOKUP(A:A,'staff sales'!C:AX,48,)</f>
        <v>0</v>
      </c>
      <c r="W388" s="81">
        <f>VLOOKUP(A:A,'staff sales'!C:BA,51,)</f>
        <v>0</v>
      </c>
    </row>
    <row r="389" spans="1:23" x14ac:dyDescent="0.25">
      <c r="A389" s="16">
        <v>1029246590</v>
      </c>
      <c r="B389" s="17" t="s">
        <v>570</v>
      </c>
      <c r="C389" s="18" t="s">
        <v>546</v>
      </c>
      <c r="D389" s="18" t="s">
        <v>546</v>
      </c>
      <c r="E389" s="18" t="s">
        <v>404</v>
      </c>
      <c r="F389" s="18" t="s">
        <v>404</v>
      </c>
      <c r="G389" s="18" t="s">
        <v>1218</v>
      </c>
      <c r="H389" s="18" t="s">
        <v>221</v>
      </c>
      <c r="I389" s="19" t="s">
        <v>566</v>
      </c>
      <c r="J389" s="18">
        <v>33027</v>
      </c>
      <c r="K389" s="80">
        <f>VLOOKUP(A:A,'staff sales'!C:Q,15,)</f>
        <v>36498.270000000004</v>
      </c>
      <c r="L389" s="81">
        <f>VLOOKUP(A:A,'staff sales'!C:T,18,)</f>
        <v>12467.82</v>
      </c>
      <c r="M389" s="81">
        <f>VLOOKUP(A:A,'staff sales'!C:W,21,)</f>
        <v>10868.279999999999</v>
      </c>
      <c r="N389" s="81">
        <f>VLOOKUP(A:A,'staff sales'!C:Z,24,)</f>
        <v>50</v>
      </c>
      <c r="O389" s="81">
        <f>VLOOKUP(A:A,'staff sales'!C:AC,27,)</f>
        <v>8</v>
      </c>
      <c r="P389" s="81">
        <f>VLOOKUP(A:A,'staff sales'!C:AF,30,)</f>
        <v>1</v>
      </c>
      <c r="Q389" s="81">
        <f>VLOOKUP(A:A,'staff sales'!C:AI,33,)</f>
        <v>17</v>
      </c>
      <c r="R389" s="81">
        <f>VLOOKUP(A:A,'staff sales'!C:AL,36,)</f>
        <v>3</v>
      </c>
      <c r="S389" s="81">
        <f>VLOOKUP(A:A,'staff sales'!C:AO,39,)</f>
        <v>1</v>
      </c>
      <c r="T389" s="81">
        <f>VLOOKUP(A:A,'staff sales'!C:AR,42,)</f>
        <v>1</v>
      </c>
      <c r="U389" s="81">
        <f>VLOOKUP(A:A,'staff sales'!C:AU,45,)</f>
        <v>9</v>
      </c>
      <c r="V389" s="81">
        <f>VLOOKUP(A:A,'staff sales'!C:AX,48,)</f>
        <v>0</v>
      </c>
      <c r="W389" s="81">
        <f>VLOOKUP(A:A,'staff sales'!C:BA,51,)</f>
        <v>1</v>
      </c>
    </row>
    <row r="390" spans="1:23" x14ac:dyDescent="0.25">
      <c r="A390" s="16">
        <v>1009684679</v>
      </c>
      <c r="B390" s="17" t="s">
        <v>573</v>
      </c>
      <c r="C390" s="18" t="s">
        <v>546</v>
      </c>
      <c r="D390" s="18" t="s">
        <v>546</v>
      </c>
      <c r="E390" s="18" t="s">
        <v>251</v>
      </c>
      <c r="F390" s="18" t="s">
        <v>251</v>
      </c>
      <c r="G390" s="18" t="s">
        <v>1218</v>
      </c>
      <c r="H390" s="18" t="s">
        <v>221</v>
      </c>
      <c r="I390" s="19" t="s">
        <v>566</v>
      </c>
      <c r="J390" s="18">
        <v>33027</v>
      </c>
      <c r="K390" s="80">
        <f>VLOOKUP(A:A,'staff sales'!C:Q,15,)</f>
        <v>44658.26</v>
      </c>
      <c r="L390" s="81">
        <f>VLOOKUP(A:A,'staff sales'!C:T,18,)</f>
        <v>0</v>
      </c>
      <c r="M390" s="81">
        <f>VLOOKUP(A:A,'staff sales'!C:W,21,)</f>
        <v>4440</v>
      </c>
      <c r="N390" s="81">
        <f>VLOOKUP(A:A,'staff sales'!C:Z,24,)</f>
        <v>0</v>
      </c>
      <c r="O390" s="81">
        <f>VLOOKUP(A:A,'staff sales'!C:AC,27,)</f>
        <v>10</v>
      </c>
      <c r="P390" s="81">
        <f>VLOOKUP(A:A,'staff sales'!C:AF,30,)</f>
        <v>1</v>
      </c>
      <c r="Q390" s="81">
        <f>VLOOKUP(A:A,'staff sales'!C:AI,33,)</f>
        <v>35</v>
      </c>
      <c r="R390" s="81">
        <f>VLOOKUP(A:A,'staff sales'!C:AL,36,)</f>
        <v>0</v>
      </c>
      <c r="S390" s="81">
        <f>VLOOKUP(A:A,'staff sales'!C:AO,39,)</f>
        <v>3</v>
      </c>
      <c r="T390" s="81">
        <f>VLOOKUP(A:A,'staff sales'!C:AR,42,)</f>
        <v>4</v>
      </c>
      <c r="U390" s="81">
        <f>VLOOKUP(A:A,'staff sales'!C:AU,45,)</f>
        <v>2</v>
      </c>
      <c r="V390" s="81">
        <f>VLOOKUP(A:A,'staff sales'!C:AX,48,)</f>
        <v>0</v>
      </c>
      <c r="W390" s="81">
        <f>VLOOKUP(A:A,'staff sales'!C:BA,51,)</f>
        <v>1</v>
      </c>
    </row>
    <row r="391" spans="1:23" x14ac:dyDescent="0.25">
      <c r="A391" s="16">
        <v>1028825774</v>
      </c>
      <c r="B391" s="17" t="s">
        <v>567</v>
      </c>
      <c r="C391" s="18" t="s">
        <v>546</v>
      </c>
      <c r="D391" s="18" t="s">
        <v>546</v>
      </c>
      <c r="E391" s="18" t="s">
        <v>253</v>
      </c>
      <c r="F391" s="18" t="s">
        <v>254</v>
      </c>
      <c r="G391" s="18" t="s">
        <v>1218</v>
      </c>
      <c r="H391" s="18" t="s">
        <v>221</v>
      </c>
      <c r="I391" s="19" t="s">
        <v>566</v>
      </c>
      <c r="J391" s="18">
        <v>33027</v>
      </c>
      <c r="K391" s="80">
        <f>VLOOKUP(A:A,'staff sales'!C:Q,15,)</f>
        <v>120516.56</v>
      </c>
      <c r="L391" s="81">
        <f>VLOOKUP(A:A,'staff sales'!C:T,18,)</f>
        <v>11386.09</v>
      </c>
      <c r="M391" s="81">
        <f>VLOOKUP(A:A,'staff sales'!C:W,21,)</f>
        <v>18029.98</v>
      </c>
      <c r="N391" s="81">
        <f>VLOOKUP(A:A,'staff sales'!C:Z,24,)</f>
        <v>0</v>
      </c>
      <c r="O391" s="81">
        <f>VLOOKUP(A:A,'staff sales'!C:AC,27,)</f>
        <v>27</v>
      </c>
      <c r="P391" s="81">
        <f>VLOOKUP(A:A,'staff sales'!C:AF,30,)</f>
        <v>1</v>
      </c>
      <c r="Q391" s="81">
        <f>VLOOKUP(A:A,'staff sales'!C:AI,33,)</f>
        <v>20</v>
      </c>
      <c r="R391" s="81">
        <f>VLOOKUP(A:A,'staff sales'!C:AL,36,)</f>
        <v>0</v>
      </c>
      <c r="S391" s="81">
        <f>VLOOKUP(A:A,'staff sales'!C:AO,39,)</f>
        <v>4</v>
      </c>
      <c r="T391" s="81">
        <f>VLOOKUP(A:A,'staff sales'!C:AR,42,)</f>
        <v>8</v>
      </c>
      <c r="U391" s="81">
        <f>VLOOKUP(A:A,'staff sales'!C:AU,45,)</f>
        <v>8</v>
      </c>
      <c r="V391" s="81">
        <f>VLOOKUP(A:A,'staff sales'!C:AX,48,)</f>
        <v>0</v>
      </c>
      <c r="W391" s="81">
        <f>VLOOKUP(A:A,'staff sales'!C:BA,51,)</f>
        <v>2</v>
      </c>
    </row>
    <row r="392" spans="1:23" x14ac:dyDescent="0.25">
      <c r="A392" s="16">
        <v>1020548291</v>
      </c>
      <c r="B392" s="17" t="s">
        <v>569</v>
      </c>
      <c r="C392" s="18" t="s">
        <v>546</v>
      </c>
      <c r="D392" s="18" t="s">
        <v>546</v>
      </c>
      <c r="E392" s="18" t="s">
        <v>371</v>
      </c>
      <c r="F392" s="18" t="s">
        <v>371</v>
      </c>
      <c r="G392" s="18" t="s">
        <v>1218</v>
      </c>
      <c r="H392" s="18" t="s">
        <v>221</v>
      </c>
      <c r="I392" s="19" t="s">
        <v>566</v>
      </c>
      <c r="J392" s="18">
        <v>33027</v>
      </c>
      <c r="K392" s="80">
        <f>VLOOKUP(A:A,'staff sales'!C:Q,15,)</f>
        <v>32718.28</v>
      </c>
      <c r="L392" s="81">
        <f>VLOOKUP(A:A,'staff sales'!C:T,18,)</f>
        <v>0</v>
      </c>
      <c r="M392" s="81">
        <f>VLOOKUP(A:A,'staff sales'!C:W,21,)</f>
        <v>4089.5600000000004</v>
      </c>
      <c r="N392" s="81">
        <f>VLOOKUP(A:A,'staff sales'!C:Z,24,)</f>
        <v>0</v>
      </c>
      <c r="O392" s="81">
        <f>VLOOKUP(A:A,'staff sales'!C:AC,27,)</f>
        <v>4</v>
      </c>
      <c r="P392" s="81">
        <f>VLOOKUP(A:A,'staff sales'!C:AF,30,)</f>
        <v>1</v>
      </c>
      <c r="Q392" s="81">
        <f>VLOOKUP(A:A,'staff sales'!C:AI,33,)</f>
        <v>14</v>
      </c>
      <c r="R392" s="81">
        <f>VLOOKUP(A:A,'staff sales'!C:AL,36,)</f>
        <v>0</v>
      </c>
      <c r="S392" s="81">
        <f>VLOOKUP(A:A,'staff sales'!C:AO,39,)</f>
        <v>3</v>
      </c>
      <c r="T392" s="81">
        <f>VLOOKUP(A:A,'staff sales'!C:AR,42,)</f>
        <v>2</v>
      </c>
      <c r="U392" s="81">
        <f>VLOOKUP(A:A,'staff sales'!C:AU,45,)</f>
        <v>2</v>
      </c>
      <c r="V392" s="81">
        <f>VLOOKUP(A:A,'staff sales'!C:AX,48,)</f>
        <v>0</v>
      </c>
      <c r="W392" s="81">
        <f>VLOOKUP(A:A,'staff sales'!C:BA,51,)</f>
        <v>0</v>
      </c>
    </row>
    <row r="393" spans="1:23" x14ac:dyDescent="0.25">
      <c r="A393" s="16">
        <v>1015071093</v>
      </c>
      <c r="B393" s="17" t="s">
        <v>576</v>
      </c>
      <c r="C393" s="18" t="s">
        <v>546</v>
      </c>
      <c r="D393" s="18" t="s">
        <v>546</v>
      </c>
      <c r="E393" s="18" t="s">
        <v>370</v>
      </c>
      <c r="F393" s="18" t="s">
        <v>370</v>
      </c>
      <c r="G393" s="18" t="s">
        <v>1218</v>
      </c>
      <c r="H393" s="18" t="s">
        <v>221</v>
      </c>
      <c r="I393" s="19" t="s">
        <v>566</v>
      </c>
      <c r="J393" s="18">
        <v>33027</v>
      </c>
      <c r="K393" s="80">
        <f>VLOOKUP(A:A,'staff sales'!C:Q,15,)</f>
        <v>26170.46</v>
      </c>
      <c r="L393" s="81">
        <f>VLOOKUP(A:A,'staff sales'!C:T,18,)</f>
        <v>0</v>
      </c>
      <c r="M393" s="81">
        <f>VLOOKUP(A:A,'staff sales'!C:W,21,)</f>
        <v>12703.489999999996</v>
      </c>
      <c r="N393" s="81">
        <f>VLOOKUP(A:A,'staff sales'!C:Z,24,)</f>
        <v>120</v>
      </c>
      <c r="O393" s="81">
        <f>VLOOKUP(A:A,'staff sales'!C:AC,27,)</f>
        <v>7</v>
      </c>
      <c r="P393" s="81">
        <f>VLOOKUP(A:A,'staff sales'!C:AF,30,)</f>
        <v>3</v>
      </c>
      <c r="Q393" s="81">
        <f>VLOOKUP(A:A,'staff sales'!C:AI,33,)</f>
        <v>34</v>
      </c>
      <c r="R393" s="81">
        <f>VLOOKUP(A:A,'staff sales'!C:AL,36,)</f>
        <v>2</v>
      </c>
      <c r="S393" s="81">
        <f>VLOOKUP(A:A,'staff sales'!C:AO,39,)</f>
        <v>2</v>
      </c>
      <c r="T393" s="81">
        <f>VLOOKUP(A:A,'staff sales'!C:AR,42,)</f>
        <v>4</v>
      </c>
      <c r="U393" s="81">
        <f>VLOOKUP(A:A,'staff sales'!C:AU,45,)</f>
        <v>2</v>
      </c>
      <c r="V393" s="81">
        <f>VLOOKUP(A:A,'staff sales'!C:AX,48,)</f>
        <v>0</v>
      </c>
      <c r="W393" s="81">
        <f>VLOOKUP(A:A,'staff sales'!C:BA,51,)</f>
        <v>0</v>
      </c>
    </row>
    <row r="394" spans="1:23" x14ac:dyDescent="0.25">
      <c r="A394" s="16">
        <v>1075914463</v>
      </c>
      <c r="B394" s="17" t="s">
        <v>553</v>
      </c>
      <c r="C394" s="18" t="s">
        <v>541</v>
      </c>
      <c r="D394" s="18" t="s">
        <v>541</v>
      </c>
      <c r="E394" s="18" t="s">
        <v>224</v>
      </c>
      <c r="F394" s="18" t="s">
        <v>224</v>
      </c>
      <c r="G394" s="18" t="s">
        <v>1218</v>
      </c>
      <c r="H394" s="18" t="s">
        <v>221</v>
      </c>
      <c r="I394" s="19" t="s">
        <v>258</v>
      </c>
      <c r="J394" s="18">
        <v>73001</v>
      </c>
      <c r="K394" s="80">
        <f>VLOOKUP(A:A,'staff sales'!C:Q,15,)</f>
        <v>0</v>
      </c>
      <c r="L394" s="81">
        <f>VLOOKUP(A:A,'staff sales'!C:T,18,)</f>
        <v>0</v>
      </c>
      <c r="M394" s="81">
        <f>VLOOKUP(A:A,'staff sales'!C:W,21,)</f>
        <v>0</v>
      </c>
      <c r="N394" s="81">
        <f>VLOOKUP(A:A,'staff sales'!C:Z,24,)</f>
        <v>0</v>
      </c>
      <c r="O394" s="81">
        <f>VLOOKUP(A:A,'staff sales'!C:AC,27,)</f>
        <v>0</v>
      </c>
      <c r="P394" s="81">
        <f>VLOOKUP(A:A,'staff sales'!C:AF,30,)</f>
        <v>0</v>
      </c>
      <c r="Q394" s="81">
        <f>VLOOKUP(A:A,'staff sales'!C:AI,33,)</f>
        <v>0</v>
      </c>
      <c r="R394" s="81">
        <f>VLOOKUP(A:A,'staff sales'!C:AL,36,)</f>
        <v>0</v>
      </c>
      <c r="S394" s="81">
        <f>VLOOKUP(A:A,'staff sales'!C:AO,39,)</f>
        <v>0</v>
      </c>
      <c r="T394" s="81">
        <f>VLOOKUP(A:A,'staff sales'!C:AR,42,)</f>
        <v>0</v>
      </c>
      <c r="U394" s="81">
        <f>VLOOKUP(A:A,'staff sales'!C:AU,45,)</f>
        <v>0</v>
      </c>
      <c r="V394" s="81">
        <f>VLOOKUP(A:A,'staff sales'!C:AX,48,)</f>
        <v>0</v>
      </c>
      <c r="W394" s="81">
        <f>VLOOKUP(A:A,'staff sales'!C:BA,51,)</f>
        <v>0</v>
      </c>
    </row>
    <row r="395" spans="1:23" x14ac:dyDescent="0.25">
      <c r="A395" s="16">
        <v>1010012886</v>
      </c>
      <c r="B395" s="17" t="s">
        <v>621</v>
      </c>
      <c r="C395" s="18" t="s">
        <v>544</v>
      </c>
      <c r="D395" s="18" t="s">
        <v>544</v>
      </c>
      <c r="E395" s="18" t="s">
        <v>142</v>
      </c>
      <c r="F395" s="18" t="s">
        <v>143</v>
      </c>
      <c r="G395" s="18" t="s">
        <v>1218</v>
      </c>
      <c r="H395" s="18" t="s">
        <v>221</v>
      </c>
      <c r="I395" s="19" t="s">
        <v>258</v>
      </c>
      <c r="J395" s="18">
        <v>73001</v>
      </c>
      <c r="K395" s="80">
        <f>VLOOKUP(A:A,'staff sales'!C:Q,15,)</f>
        <v>0</v>
      </c>
      <c r="L395" s="81">
        <f>VLOOKUP(A:A,'staff sales'!C:T,18,)</f>
        <v>0</v>
      </c>
      <c r="M395" s="81">
        <f>VLOOKUP(A:A,'staff sales'!C:W,21,)</f>
        <v>0</v>
      </c>
      <c r="N395" s="81">
        <f>VLOOKUP(A:A,'staff sales'!C:Z,24,)</f>
        <v>0</v>
      </c>
      <c r="O395" s="81">
        <f>VLOOKUP(A:A,'staff sales'!C:AC,27,)</f>
        <v>0</v>
      </c>
      <c r="P395" s="81">
        <f>VLOOKUP(A:A,'staff sales'!C:AF,30,)</f>
        <v>0</v>
      </c>
      <c r="Q395" s="81">
        <f>VLOOKUP(A:A,'staff sales'!C:AI,33,)</f>
        <v>0</v>
      </c>
      <c r="R395" s="81">
        <f>VLOOKUP(A:A,'staff sales'!C:AL,36,)</f>
        <v>0</v>
      </c>
      <c r="S395" s="81">
        <f>VLOOKUP(A:A,'staff sales'!C:AO,39,)</f>
        <v>0</v>
      </c>
      <c r="T395" s="81">
        <f>VLOOKUP(A:A,'staff sales'!C:AR,42,)</f>
        <v>0</v>
      </c>
      <c r="U395" s="81">
        <f>VLOOKUP(A:A,'staff sales'!C:AU,45,)</f>
        <v>0</v>
      </c>
      <c r="V395" s="81">
        <f>VLOOKUP(A:A,'staff sales'!C:AX,48,)</f>
        <v>0</v>
      </c>
      <c r="W395" s="81">
        <f>VLOOKUP(A:A,'staff sales'!C:BA,51,)</f>
        <v>0</v>
      </c>
    </row>
    <row r="396" spans="1:23" x14ac:dyDescent="0.25">
      <c r="A396" s="16">
        <v>1036645156</v>
      </c>
      <c r="B396" s="17" t="s">
        <v>579</v>
      </c>
      <c r="C396" s="18" t="s">
        <v>546</v>
      </c>
      <c r="D396" s="18" t="s">
        <v>546</v>
      </c>
      <c r="E396" s="18" t="s">
        <v>268</v>
      </c>
      <c r="F396" s="18" t="s">
        <v>268</v>
      </c>
      <c r="G396" s="18" t="s">
        <v>1218</v>
      </c>
      <c r="H396" s="18" t="s">
        <v>221</v>
      </c>
      <c r="I396" s="19" t="s">
        <v>258</v>
      </c>
      <c r="J396" s="18">
        <v>73001</v>
      </c>
      <c r="K396" s="80">
        <f>VLOOKUP(A:A,'staff sales'!C:Q,15,)</f>
        <v>104334.15999999999</v>
      </c>
      <c r="L396" s="81">
        <f>VLOOKUP(A:A,'staff sales'!C:T,18,)</f>
        <v>10546.960000000001</v>
      </c>
      <c r="M396" s="81">
        <f>VLOOKUP(A:A,'staff sales'!C:W,21,)</f>
        <v>21122.939999999995</v>
      </c>
      <c r="N396" s="81">
        <f>VLOOKUP(A:A,'staff sales'!C:Z,24,)</f>
        <v>458</v>
      </c>
      <c r="O396" s="81">
        <f>VLOOKUP(A:A,'staff sales'!C:AC,27,)</f>
        <v>12</v>
      </c>
      <c r="P396" s="81">
        <f>VLOOKUP(A:A,'staff sales'!C:AF,30,)</f>
        <v>1</v>
      </c>
      <c r="Q396" s="81">
        <f>VLOOKUP(A:A,'staff sales'!C:AI,33,)</f>
        <v>69</v>
      </c>
      <c r="R396" s="81">
        <f>VLOOKUP(A:A,'staff sales'!C:AL,36,)</f>
        <v>2</v>
      </c>
      <c r="S396" s="81">
        <f>VLOOKUP(A:A,'staff sales'!C:AO,39,)</f>
        <v>2</v>
      </c>
      <c r="T396" s="81">
        <f>VLOOKUP(A:A,'staff sales'!C:AR,42,)</f>
        <v>2</v>
      </c>
      <c r="U396" s="81">
        <f>VLOOKUP(A:A,'staff sales'!C:AU,45,)</f>
        <v>4</v>
      </c>
      <c r="V396" s="81">
        <f>VLOOKUP(A:A,'staff sales'!C:AX,48,)</f>
        <v>0</v>
      </c>
      <c r="W396" s="81">
        <f>VLOOKUP(A:A,'staff sales'!C:BA,51,)</f>
        <v>3</v>
      </c>
    </row>
    <row r="397" spans="1:23" x14ac:dyDescent="0.25">
      <c r="A397" s="16">
        <v>1077080297</v>
      </c>
      <c r="B397" s="17" t="s">
        <v>583</v>
      </c>
      <c r="C397" s="18" t="s">
        <v>546</v>
      </c>
      <c r="D397" s="18" t="s">
        <v>546</v>
      </c>
      <c r="E397" s="18" t="s">
        <v>409</v>
      </c>
      <c r="F397" s="18" t="s">
        <v>410</v>
      </c>
      <c r="G397" s="18" t="s">
        <v>1218</v>
      </c>
      <c r="H397" s="18" t="s">
        <v>221</v>
      </c>
      <c r="I397" s="19" t="s">
        <v>258</v>
      </c>
      <c r="J397" s="18">
        <v>73001</v>
      </c>
      <c r="K397" s="80">
        <f>VLOOKUP(A:A,'staff sales'!C:Q,15,)</f>
        <v>98929.599999999991</v>
      </c>
      <c r="L397" s="81">
        <f>VLOOKUP(A:A,'staff sales'!C:T,18,)</f>
        <v>8572.75</v>
      </c>
      <c r="M397" s="81">
        <f>VLOOKUP(A:A,'staff sales'!C:W,21,)</f>
        <v>21012.93</v>
      </c>
      <c r="N397" s="81">
        <f>VLOOKUP(A:A,'staff sales'!C:Z,24,)</f>
        <v>476</v>
      </c>
      <c r="O397" s="81">
        <f>VLOOKUP(A:A,'staff sales'!C:AC,27,)</f>
        <v>5</v>
      </c>
      <c r="P397" s="81">
        <f>VLOOKUP(A:A,'staff sales'!C:AF,30,)</f>
        <v>1</v>
      </c>
      <c r="Q397" s="81">
        <f>VLOOKUP(A:A,'staff sales'!C:AI,33,)</f>
        <v>12</v>
      </c>
      <c r="R397" s="81">
        <f>VLOOKUP(A:A,'staff sales'!C:AL,36,)</f>
        <v>0</v>
      </c>
      <c r="S397" s="81">
        <f>VLOOKUP(A:A,'staff sales'!C:AO,39,)</f>
        <v>1</v>
      </c>
      <c r="T397" s="81">
        <f>VLOOKUP(A:A,'staff sales'!C:AR,42,)</f>
        <v>1</v>
      </c>
      <c r="U397" s="81">
        <f>VLOOKUP(A:A,'staff sales'!C:AU,45,)</f>
        <v>28</v>
      </c>
      <c r="V397" s="81">
        <f>VLOOKUP(A:A,'staff sales'!C:AX,48,)</f>
        <v>0</v>
      </c>
      <c r="W397" s="81">
        <f>VLOOKUP(A:A,'staff sales'!C:BA,51,)</f>
        <v>3</v>
      </c>
    </row>
    <row r="398" spans="1:23" x14ac:dyDescent="0.25">
      <c r="A398" s="16">
        <v>1095267108</v>
      </c>
      <c r="B398" s="17" t="s">
        <v>581</v>
      </c>
      <c r="C398" s="18" t="s">
        <v>546</v>
      </c>
      <c r="D398" s="18" t="s">
        <v>546</v>
      </c>
      <c r="E398" s="18" t="s">
        <v>412</v>
      </c>
      <c r="F398" s="18" t="s">
        <v>412</v>
      </c>
      <c r="G398" s="18" t="s">
        <v>1218</v>
      </c>
      <c r="H398" s="18" t="s">
        <v>221</v>
      </c>
      <c r="I398" s="19" t="s">
        <v>258</v>
      </c>
      <c r="J398" s="18">
        <v>73001</v>
      </c>
      <c r="K398" s="80">
        <f>VLOOKUP(A:A,'staff sales'!C:Q,15,)</f>
        <v>146648.71999999997</v>
      </c>
      <c r="L398" s="81">
        <f>VLOOKUP(A:A,'staff sales'!C:T,18,)</f>
        <v>7505.6399999999994</v>
      </c>
      <c r="M398" s="81">
        <f>VLOOKUP(A:A,'staff sales'!C:W,21,)</f>
        <v>26949.53</v>
      </c>
      <c r="N398" s="81">
        <f>VLOOKUP(A:A,'staff sales'!C:Z,24,)</f>
        <v>0</v>
      </c>
      <c r="O398" s="81">
        <f>VLOOKUP(A:A,'staff sales'!C:AC,27,)</f>
        <v>14</v>
      </c>
      <c r="P398" s="81">
        <f>VLOOKUP(A:A,'staff sales'!C:AF,30,)</f>
        <v>2</v>
      </c>
      <c r="Q398" s="81">
        <f>VLOOKUP(A:A,'staff sales'!C:AI,33,)</f>
        <v>99</v>
      </c>
      <c r="R398" s="81">
        <f>VLOOKUP(A:A,'staff sales'!C:AL,36,)</f>
        <v>1</v>
      </c>
      <c r="S398" s="81">
        <f>VLOOKUP(A:A,'staff sales'!C:AO,39,)</f>
        <v>5</v>
      </c>
      <c r="T398" s="81">
        <f>VLOOKUP(A:A,'staff sales'!C:AR,42,)</f>
        <v>5</v>
      </c>
      <c r="U398" s="81">
        <f>VLOOKUP(A:A,'staff sales'!C:AU,45,)</f>
        <v>3</v>
      </c>
      <c r="V398" s="81">
        <f>VLOOKUP(A:A,'staff sales'!C:AX,48,)</f>
        <v>0</v>
      </c>
      <c r="W398" s="81">
        <f>VLOOKUP(A:A,'staff sales'!C:BA,51,)</f>
        <v>11</v>
      </c>
    </row>
    <row r="399" spans="1:23" x14ac:dyDescent="0.25">
      <c r="A399" s="16">
        <v>1056084708</v>
      </c>
      <c r="B399" s="17" t="s">
        <v>584</v>
      </c>
      <c r="C399" s="18" t="s">
        <v>546</v>
      </c>
      <c r="D399" s="18" t="s">
        <v>546</v>
      </c>
      <c r="E399" s="18" t="s">
        <v>304</v>
      </c>
      <c r="F399" s="18" t="s">
        <v>304</v>
      </c>
      <c r="G399" s="18" t="s">
        <v>1218</v>
      </c>
      <c r="H399" s="18" t="s">
        <v>221</v>
      </c>
      <c r="I399" s="19" t="s">
        <v>258</v>
      </c>
      <c r="J399" s="18">
        <v>73001</v>
      </c>
      <c r="K399" s="80">
        <f>VLOOKUP(A:A,'staff sales'!C:Q,15,)</f>
        <v>97225.239999999991</v>
      </c>
      <c r="L399" s="81">
        <f>VLOOKUP(A:A,'staff sales'!C:T,18,)</f>
        <v>9144.7000000000007</v>
      </c>
      <c r="M399" s="81">
        <f>VLOOKUP(A:A,'staff sales'!C:W,21,)</f>
        <v>14905.299999999997</v>
      </c>
      <c r="N399" s="81">
        <f>VLOOKUP(A:A,'staff sales'!C:Z,24,)</f>
        <v>0</v>
      </c>
      <c r="O399" s="81">
        <f>VLOOKUP(A:A,'staff sales'!C:AC,27,)</f>
        <v>11</v>
      </c>
      <c r="P399" s="81">
        <f>VLOOKUP(A:A,'staff sales'!C:AF,30,)</f>
        <v>0</v>
      </c>
      <c r="Q399" s="81">
        <f>VLOOKUP(A:A,'staff sales'!C:AI,33,)</f>
        <v>41</v>
      </c>
      <c r="R399" s="81">
        <f>VLOOKUP(A:A,'staff sales'!C:AL,36,)</f>
        <v>0</v>
      </c>
      <c r="S399" s="81">
        <f>VLOOKUP(A:A,'staff sales'!C:AO,39,)</f>
        <v>0</v>
      </c>
      <c r="T399" s="81">
        <f>VLOOKUP(A:A,'staff sales'!C:AR,42,)</f>
        <v>3</v>
      </c>
      <c r="U399" s="81">
        <f>VLOOKUP(A:A,'staff sales'!C:AU,45,)</f>
        <v>2</v>
      </c>
      <c r="V399" s="81">
        <f>VLOOKUP(A:A,'staff sales'!C:AX,48,)</f>
        <v>1</v>
      </c>
      <c r="W399" s="81">
        <f>VLOOKUP(A:A,'staff sales'!C:BA,51,)</f>
        <v>6</v>
      </c>
    </row>
    <row r="400" spans="1:23" x14ac:dyDescent="0.25">
      <c r="A400" s="16">
        <v>1002767141</v>
      </c>
      <c r="B400" s="17" t="s">
        <v>582</v>
      </c>
      <c r="C400" s="18" t="s">
        <v>546</v>
      </c>
      <c r="D400" s="18" t="s">
        <v>546</v>
      </c>
      <c r="E400" s="18" t="s">
        <v>269</v>
      </c>
      <c r="F400" s="18" t="s">
        <v>269</v>
      </c>
      <c r="G400" s="18" t="s">
        <v>1218</v>
      </c>
      <c r="H400" s="18" t="s">
        <v>221</v>
      </c>
      <c r="I400" s="19" t="s">
        <v>258</v>
      </c>
      <c r="J400" s="18">
        <v>73001</v>
      </c>
      <c r="K400" s="80">
        <f>VLOOKUP(A:A,'staff sales'!C:Q,15,)</f>
        <v>135953.07</v>
      </c>
      <c r="L400" s="81">
        <f>VLOOKUP(A:A,'staff sales'!C:T,18,)</f>
        <v>14293.04</v>
      </c>
      <c r="M400" s="81">
        <f>VLOOKUP(A:A,'staff sales'!C:W,21,)</f>
        <v>12920.44</v>
      </c>
      <c r="N400" s="81">
        <f>VLOOKUP(A:A,'staff sales'!C:Z,24,)</f>
        <v>476</v>
      </c>
      <c r="O400" s="81">
        <f>VLOOKUP(A:A,'staff sales'!C:AC,27,)</f>
        <v>16</v>
      </c>
      <c r="P400" s="81">
        <f>VLOOKUP(A:A,'staff sales'!C:AF,30,)</f>
        <v>3</v>
      </c>
      <c r="Q400" s="81">
        <f>VLOOKUP(A:A,'staff sales'!C:AI,33,)</f>
        <v>111</v>
      </c>
      <c r="R400" s="81">
        <f>VLOOKUP(A:A,'staff sales'!C:AL,36,)</f>
        <v>5</v>
      </c>
      <c r="S400" s="81">
        <f>VLOOKUP(A:A,'staff sales'!C:AO,39,)</f>
        <v>1</v>
      </c>
      <c r="T400" s="81">
        <f>VLOOKUP(A:A,'staff sales'!C:AR,42,)</f>
        <v>9</v>
      </c>
      <c r="U400" s="81">
        <f>VLOOKUP(A:A,'staff sales'!C:AU,45,)</f>
        <v>6</v>
      </c>
      <c r="V400" s="81">
        <f>VLOOKUP(A:A,'staff sales'!C:AX,48,)</f>
        <v>0</v>
      </c>
      <c r="W400" s="81">
        <f>VLOOKUP(A:A,'staff sales'!C:BA,51,)</f>
        <v>4</v>
      </c>
    </row>
    <row r="401" spans="1:23" x14ac:dyDescent="0.25">
      <c r="A401" s="16">
        <v>1012742050</v>
      </c>
      <c r="B401" s="17" t="s">
        <v>580</v>
      </c>
      <c r="C401" s="18" t="s">
        <v>546</v>
      </c>
      <c r="D401" s="18" t="s">
        <v>546</v>
      </c>
      <c r="E401" s="18" t="s">
        <v>265</v>
      </c>
      <c r="F401" s="18" t="s">
        <v>266</v>
      </c>
      <c r="G401" s="18" t="s">
        <v>1218</v>
      </c>
      <c r="H401" s="18" t="s">
        <v>221</v>
      </c>
      <c r="I401" s="19" t="s">
        <v>258</v>
      </c>
      <c r="J401" s="18">
        <v>73001</v>
      </c>
      <c r="K401" s="80">
        <f>VLOOKUP(A:A,'staff sales'!C:Q,15,)</f>
        <v>22623.48</v>
      </c>
      <c r="L401" s="81">
        <f>VLOOKUP(A:A,'staff sales'!C:T,18,)</f>
        <v>1730.1100000000001</v>
      </c>
      <c r="M401" s="81">
        <f>VLOOKUP(A:A,'staff sales'!C:W,21,)</f>
        <v>11584.6</v>
      </c>
      <c r="N401" s="81">
        <f>VLOOKUP(A:A,'staff sales'!C:Z,24,)</f>
        <v>0</v>
      </c>
      <c r="O401" s="81">
        <f>VLOOKUP(A:A,'staff sales'!C:AC,27,)</f>
        <v>7</v>
      </c>
      <c r="P401" s="81">
        <f>VLOOKUP(A:A,'staff sales'!C:AF,30,)</f>
        <v>0</v>
      </c>
      <c r="Q401" s="81">
        <f>VLOOKUP(A:A,'staff sales'!C:AI,33,)</f>
        <v>29</v>
      </c>
      <c r="R401" s="81">
        <f>VLOOKUP(A:A,'staff sales'!C:AL,36,)</f>
        <v>1</v>
      </c>
      <c r="S401" s="81">
        <f>VLOOKUP(A:A,'staff sales'!C:AO,39,)</f>
        <v>0</v>
      </c>
      <c r="T401" s="81">
        <f>VLOOKUP(A:A,'staff sales'!C:AR,42,)</f>
        <v>3</v>
      </c>
      <c r="U401" s="81">
        <f>VLOOKUP(A:A,'staff sales'!C:AU,45,)</f>
        <v>0</v>
      </c>
      <c r="V401" s="81">
        <f>VLOOKUP(A:A,'staff sales'!C:AX,48,)</f>
        <v>0</v>
      </c>
      <c r="W401" s="81">
        <f>VLOOKUP(A:A,'staff sales'!C:BA,51,)</f>
        <v>2</v>
      </c>
    </row>
    <row r="402" spans="1:23" x14ac:dyDescent="0.25">
      <c r="A402" s="16">
        <v>1034936144</v>
      </c>
      <c r="B402" s="17" t="s">
        <v>588</v>
      </c>
      <c r="C402" s="18" t="s">
        <v>546</v>
      </c>
      <c r="D402" s="18" t="s">
        <v>546</v>
      </c>
      <c r="E402" s="18" t="s">
        <v>305</v>
      </c>
      <c r="F402" s="18" t="s">
        <v>306</v>
      </c>
      <c r="G402" s="18" t="s">
        <v>1218</v>
      </c>
      <c r="H402" s="18" t="s">
        <v>221</v>
      </c>
      <c r="I402" s="19" t="s">
        <v>258</v>
      </c>
      <c r="J402" s="18">
        <v>73001</v>
      </c>
      <c r="K402" s="80">
        <f>VLOOKUP(A:A,'staff sales'!C:Q,15,)</f>
        <v>57780.89</v>
      </c>
      <c r="L402" s="81">
        <f>VLOOKUP(A:A,'staff sales'!C:T,18,)</f>
        <v>11171.3</v>
      </c>
      <c r="M402" s="81">
        <f>VLOOKUP(A:A,'staff sales'!C:W,21,)</f>
        <v>36542.679999999993</v>
      </c>
      <c r="N402" s="81">
        <f>VLOOKUP(A:A,'staff sales'!C:Z,24,)</f>
        <v>389</v>
      </c>
      <c r="O402" s="81">
        <f>VLOOKUP(A:A,'staff sales'!C:AC,27,)</f>
        <v>14</v>
      </c>
      <c r="P402" s="81">
        <f>VLOOKUP(A:A,'staff sales'!C:AF,30,)</f>
        <v>1</v>
      </c>
      <c r="Q402" s="81">
        <f>VLOOKUP(A:A,'staff sales'!C:AI,33,)</f>
        <v>93</v>
      </c>
      <c r="R402" s="81">
        <f>VLOOKUP(A:A,'staff sales'!C:AL,36,)</f>
        <v>1</v>
      </c>
      <c r="S402" s="81">
        <f>VLOOKUP(A:A,'staff sales'!C:AO,39,)</f>
        <v>3</v>
      </c>
      <c r="T402" s="81">
        <f>VLOOKUP(A:A,'staff sales'!C:AR,42,)</f>
        <v>4</v>
      </c>
      <c r="U402" s="81">
        <f>VLOOKUP(A:A,'staff sales'!C:AU,45,)</f>
        <v>3</v>
      </c>
      <c r="V402" s="81">
        <f>VLOOKUP(A:A,'staff sales'!C:AX,48,)</f>
        <v>0</v>
      </c>
      <c r="W402" s="81">
        <f>VLOOKUP(A:A,'staff sales'!C:BA,51,)</f>
        <v>0</v>
      </c>
    </row>
    <row r="403" spans="1:23" x14ac:dyDescent="0.25">
      <c r="A403" s="16">
        <v>1050458908</v>
      </c>
      <c r="B403" s="17" t="s">
        <v>585</v>
      </c>
      <c r="C403" s="18" t="s">
        <v>546</v>
      </c>
      <c r="D403" s="18" t="s">
        <v>546</v>
      </c>
      <c r="E403" s="18" t="s">
        <v>259</v>
      </c>
      <c r="F403" s="18" t="s">
        <v>259</v>
      </c>
      <c r="G403" s="18" t="s">
        <v>1218</v>
      </c>
      <c r="H403" s="18" t="s">
        <v>221</v>
      </c>
      <c r="I403" s="19" t="s">
        <v>258</v>
      </c>
      <c r="J403" s="18">
        <v>73001</v>
      </c>
      <c r="K403" s="80">
        <f>VLOOKUP(A:A,'staff sales'!C:Q,15,)</f>
        <v>46080.03</v>
      </c>
      <c r="L403" s="81">
        <f>VLOOKUP(A:A,'staff sales'!C:T,18,)</f>
        <v>3216.52</v>
      </c>
      <c r="M403" s="81">
        <f>VLOOKUP(A:A,'staff sales'!C:W,21,)</f>
        <v>18994.769999999997</v>
      </c>
      <c r="N403" s="81">
        <f>VLOOKUP(A:A,'staff sales'!C:Z,24,)</f>
        <v>240</v>
      </c>
      <c r="O403" s="81">
        <f>VLOOKUP(A:A,'staff sales'!C:AC,27,)</f>
        <v>3</v>
      </c>
      <c r="P403" s="81">
        <f>VLOOKUP(A:A,'staff sales'!C:AF,30,)</f>
        <v>2</v>
      </c>
      <c r="Q403" s="81">
        <f>VLOOKUP(A:A,'staff sales'!C:AI,33,)</f>
        <v>66</v>
      </c>
      <c r="R403" s="81">
        <f>VLOOKUP(A:A,'staff sales'!C:AL,36,)</f>
        <v>0</v>
      </c>
      <c r="S403" s="81">
        <f>VLOOKUP(A:A,'staff sales'!C:AO,39,)</f>
        <v>1</v>
      </c>
      <c r="T403" s="81">
        <f>VLOOKUP(A:A,'staff sales'!C:AR,42,)</f>
        <v>7</v>
      </c>
      <c r="U403" s="81">
        <f>VLOOKUP(A:A,'staff sales'!C:AU,45,)</f>
        <v>8</v>
      </c>
      <c r="V403" s="81">
        <f>VLOOKUP(A:A,'staff sales'!C:AX,48,)</f>
        <v>0</v>
      </c>
      <c r="W403" s="81">
        <f>VLOOKUP(A:A,'staff sales'!C:BA,51,)</f>
        <v>1</v>
      </c>
    </row>
    <row r="404" spans="1:23" x14ac:dyDescent="0.25">
      <c r="A404" s="16">
        <v>1077952503</v>
      </c>
      <c r="B404" s="17" t="s">
        <v>586</v>
      </c>
      <c r="C404" s="18" t="s">
        <v>546</v>
      </c>
      <c r="D404" s="18" t="s">
        <v>546</v>
      </c>
      <c r="E404" s="18" t="s">
        <v>260</v>
      </c>
      <c r="F404" s="18" t="s">
        <v>261</v>
      </c>
      <c r="G404" s="18" t="s">
        <v>1218</v>
      </c>
      <c r="H404" s="18" t="s">
        <v>221</v>
      </c>
      <c r="I404" s="19" t="s">
        <v>258</v>
      </c>
      <c r="J404" s="18">
        <v>73001</v>
      </c>
      <c r="K404" s="80">
        <f>VLOOKUP(A:A,'staff sales'!C:Q,15,)</f>
        <v>152692.21000000002</v>
      </c>
      <c r="L404" s="81">
        <f>VLOOKUP(A:A,'staff sales'!C:T,18,)</f>
        <v>11389.990000000002</v>
      </c>
      <c r="M404" s="81">
        <f>VLOOKUP(A:A,'staff sales'!C:W,21,)</f>
        <v>19622.179999999997</v>
      </c>
      <c r="N404" s="81">
        <f>VLOOKUP(A:A,'staff sales'!C:Z,24,)</f>
        <v>779</v>
      </c>
      <c r="O404" s="81">
        <f>VLOOKUP(A:A,'staff sales'!C:AC,27,)</f>
        <v>9</v>
      </c>
      <c r="P404" s="81">
        <f>VLOOKUP(A:A,'staff sales'!C:AF,30,)</f>
        <v>1</v>
      </c>
      <c r="Q404" s="81">
        <f>VLOOKUP(A:A,'staff sales'!C:AI,33,)</f>
        <v>67</v>
      </c>
      <c r="R404" s="81">
        <f>VLOOKUP(A:A,'staff sales'!C:AL,36,)</f>
        <v>2</v>
      </c>
      <c r="S404" s="81">
        <f>VLOOKUP(A:A,'staff sales'!C:AO,39,)</f>
        <v>0</v>
      </c>
      <c r="T404" s="81">
        <f>VLOOKUP(A:A,'staff sales'!C:AR,42,)</f>
        <v>2</v>
      </c>
      <c r="U404" s="81">
        <f>VLOOKUP(A:A,'staff sales'!C:AU,45,)</f>
        <v>1</v>
      </c>
      <c r="V404" s="81">
        <f>VLOOKUP(A:A,'staff sales'!C:AX,48,)</f>
        <v>0</v>
      </c>
      <c r="W404" s="81">
        <f>VLOOKUP(A:A,'staff sales'!C:BA,51,)</f>
        <v>7</v>
      </c>
    </row>
    <row r="405" spans="1:23" x14ac:dyDescent="0.25">
      <c r="A405" s="16">
        <v>1005206576</v>
      </c>
      <c r="B405" s="17" t="s">
        <v>626</v>
      </c>
      <c r="C405" s="18" t="s">
        <v>541</v>
      </c>
      <c r="D405" s="18" t="s">
        <v>541</v>
      </c>
      <c r="E405" s="18" t="s">
        <v>277</v>
      </c>
      <c r="F405" s="18" t="s">
        <v>277</v>
      </c>
      <c r="G405" s="18" t="s">
        <v>1218</v>
      </c>
      <c r="H405" s="18" t="s">
        <v>221</v>
      </c>
      <c r="I405" s="19" t="s">
        <v>270</v>
      </c>
      <c r="J405" s="18">
        <v>73004</v>
      </c>
      <c r="K405" s="80">
        <f>VLOOKUP(A:A,'staff sales'!C:Q,15,)</f>
        <v>0</v>
      </c>
      <c r="L405" s="81">
        <f>VLOOKUP(A:A,'staff sales'!C:T,18,)</f>
        <v>0</v>
      </c>
      <c r="M405" s="81">
        <f>VLOOKUP(A:A,'staff sales'!C:W,21,)</f>
        <v>0</v>
      </c>
      <c r="N405" s="81">
        <f>VLOOKUP(A:A,'staff sales'!C:Z,24,)</f>
        <v>0</v>
      </c>
      <c r="O405" s="81">
        <f>VLOOKUP(A:A,'staff sales'!C:AC,27,)</f>
        <v>0</v>
      </c>
      <c r="P405" s="81">
        <f>VLOOKUP(A:A,'staff sales'!C:AF,30,)</f>
        <v>0</v>
      </c>
      <c r="Q405" s="81">
        <f>VLOOKUP(A:A,'staff sales'!C:AI,33,)</f>
        <v>0</v>
      </c>
      <c r="R405" s="81">
        <f>VLOOKUP(A:A,'staff sales'!C:AL,36,)</f>
        <v>0</v>
      </c>
      <c r="S405" s="81">
        <f>VLOOKUP(A:A,'staff sales'!C:AO,39,)</f>
        <v>0</v>
      </c>
      <c r="T405" s="81">
        <f>VLOOKUP(A:A,'staff sales'!C:AR,42,)</f>
        <v>0</v>
      </c>
      <c r="U405" s="81">
        <f>VLOOKUP(A:A,'staff sales'!C:AU,45,)</f>
        <v>0</v>
      </c>
      <c r="V405" s="81">
        <f>VLOOKUP(A:A,'staff sales'!C:AX,48,)</f>
        <v>0</v>
      </c>
      <c r="W405" s="81">
        <f>VLOOKUP(A:A,'staff sales'!C:BA,51,)</f>
        <v>0</v>
      </c>
    </row>
    <row r="406" spans="1:23" x14ac:dyDescent="0.25">
      <c r="A406" s="16">
        <v>1081870956</v>
      </c>
      <c r="B406" s="17" t="s">
        <v>691</v>
      </c>
      <c r="C406" s="18" t="s">
        <v>544</v>
      </c>
      <c r="D406" s="18" t="s">
        <v>544</v>
      </c>
      <c r="E406" s="18" t="s">
        <v>185</v>
      </c>
      <c r="F406" s="18" t="s">
        <v>185</v>
      </c>
      <c r="G406" s="18" t="s">
        <v>1218</v>
      </c>
      <c r="H406" s="18" t="s">
        <v>221</v>
      </c>
      <c r="I406" s="19" t="s">
        <v>270</v>
      </c>
      <c r="J406" s="18">
        <v>73004</v>
      </c>
      <c r="K406" s="80">
        <f>VLOOKUP(A:A,'staff sales'!C:Q,15,)</f>
        <v>0</v>
      </c>
      <c r="L406" s="81">
        <f>VLOOKUP(A:A,'staff sales'!C:T,18,)</f>
        <v>0</v>
      </c>
      <c r="M406" s="81">
        <f>VLOOKUP(A:A,'staff sales'!C:W,21,)</f>
        <v>0</v>
      </c>
      <c r="N406" s="81">
        <f>VLOOKUP(A:A,'staff sales'!C:Z,24,)</f>
        <v>0</v>
      </c>
      <c r="O406" s="81">
        <f>VLOOKUP(A:A,'staff sales'!C:AC,27,)</f>
        <v>4</v>
      </c>
      <c r="P406" s="81">
        <f>VLOOKUP(A:A,'staff sales'!C:AF,30,)</f>
        <v>0</v>
      </c>
      <c r="Q406" s="81">
        <f>VLOOKUP(A:A,'staff sales'!C:AI,33,)</f>
        <v>4</v>
      </c>
      <c r="R406" s="81">
        <f>VLOOKUP(A:A,'staff sales'!C:AL,36,)</f>
        <v>0</v>
      </c>
      <c r="S406" s="81">
        <f>VLOOKUP(A:A,'staff sales'!C:AO,39,)</f>
        <v>0</v>
      </c>
      <c r="T406" s="81">
        <f>VLOOKUP(A:A,'staff sales'!C:AR,42,)</f>
        <v>0</v>
      </c>
      <c r="U406" s="81">
        <f>VLOOKUP(A:A,'staff sales'!C:AU,45,)</f>
        <v>0</v>
      </c>
      <c r="V406" s="81">
        <f>VLOOKUP(A:A,'staff sales'!C:AX,48,)</f>
        <v>0</v>
      </c>
      <c r="W406" s="81">
        <f>VLOOKUP(A:A,'staff sales'!C:BA,51,)</f>
        <v>0</v>
      </c>
    </row>
    <row r="407" spans="1:23" x14ac:dyDescent="0.25">
      <c r="A407" s="16">
        <v>1016508358</v>
      </c>
      <c r="B407" s="17" t="s">
        <v>593</v>
      </c>
      <c r="C407" s="18" t="s">
        <v>546</v>
      </c>
      <c r="D407" s="18" t="s">
        <v>546</v>
      </c>
      <c r="E407" s="18" t="s">
        <v>417</v>
      </c>
      <c r="F407" s="18" t="s">
        <v>417</v>
      </c>
      <c r="G407" s="18" t="s">
        <v>1218</v>
      </c>
      <c r="H407" s="18" t="s">
        <v>221</v>
      </c>
      <c r="I407" s="19" t="s">
        <v>270</v>
      </c>
      <c r="J407" s="18">
        <v>73004</v>
      </c>
      <c r="K407" s="80">
        <f>VLOOKUP(A:A,'staff sales'!C:Q,15,)</f>
        <v>16841.739999999998</v>
      </c>
      <c r="L407" s="81">
        <f>VLOOKUP(A:A,'staff sales'!C:T,18,)</f>
        <v>3912.17</v>
      </c>
      <c r="M407" s="81">
        <f>VLOOKUP(A:A,'staff sales'!C:W,21,)</f>
        <v>3107.39</v>
      </c>
      <c r="N407" s="81">
        <f>VLOOKUP(A:A,'staff sales'!C:Z,24,)</f>
        <v>0</v>
      </c>
      <c r="O407" s="81">
        <f>VLOOKUP(A:A,'staff sales'!C:AC,27,)</f>
        <v>0</v>
      </c>
      <c r="P407" s="81">
        <f>VLOOKUP(A:A,'staff sales'!C:AF,30,)</f>
        <v>0</v>
      </c>
      <c r="Q407" s="81">
        <f>VLOOKUP(A:A,'staff sales'!C:AI,33,)</f>
        <v>0</v>
      </c>
      <c r="R407" s="81">
        <f>VLOOKUP(A:A,'staff sales'!C:AL,36,)</f>
        <v>0</v>
      </c>
      <c r="S407" s="81">
        <f>VLOOKUP(A:A,'staff sales'!C:AO,39,)</f>
        <v>0</v>
      </c>
      <c r="T407" s="81">
        <f>VLOOKUP(A:A,'staff sales'!C:AR,42,)</f>
        <v>1</v>
      </c>
      <c r="U407" s="81">
        <f>VLOOKUP(A:A,'staff sales'!C:AU,45,)</f>
        <v>1</v>
      </c>
      <c r="V407" s="81">
        <f>VLOOKUP(A:A,'staff sales'!C:AX,48,)</f>
        <v>0</v>
      </c>
      <c r="W407" s="81">
        <f>VLOOKUP(A:A,'staff sales'!C:BA,51,)</f>
        <v>3</v>
      </c>
    </row>
    <row r="408" spans="1:23" x14ac:dyDescent="0.25">
      <c r="A408" s="16">
        <v>1073381533</v>
      </c>
      <c r="B408" s="17" t="s">
        <v>594</v>
      </c>
      <c r="C408" s="18" t="s">
        <v>546</v>
      </c>
      <c r="D408" s="18" t="s">
        <v>546</v>
      </c>
      <c r="E408" s="18" t="s">
        <v>272</v>
      </c>
      <c r="F408" s="18" t="s">
        <v>272</v>
      </c>
      <c r="G408" s="18" t="s">
        <v>1218</v>
      </c>
      <c r="H408" s="18" t="s">
        <v>221</v>
      </c>
      <c r="I408" s="19" t="s">
        <v>270</v>
      </c>
      <c r="J408" s="18">
        <v>73004</v>
      </c>
      <c r="K408" s="80">
        <f>VLOOKUP(A:A,'staff sales'!C:Q,15,)</f>
        <v>0</v>
      </c>
      <c r="L408" s="81">
        <f>VLOOKUP(A:A,'staff sales'!C:T,18,)</f>
        <v>564.35</v>
      </c>
      <c r="M408" s="81">
        <f>VLOOKUP(A:A,'staff sales'!C:W,21,)</f>
        <v>2610</v>
      </c>
      <c r="N408" s="81">
        <f>VLOOKUP(A:A,'staff sales'!C:Z,24,)</f>
        <v>149</v>
      </c>
      <c r="O408" s="81">
        <f>VLOOKUP(A:A,'staff sales'!C:AC,27,)</f>
        <v>4</v>
      </c>
      <c r="P408" s="81">
        <f>VLOOKUP(A:A,'staff sales'!C:AF,30,)</f>
        <v>1</v>
      </c>
      <c r="Q408" s="81">
        <f>VLOOKUP(A:A,'staff sales'!C:AI,33,)</f>
        <v>0</v>
      </c>
      <c r="R408" s="81">
        <f>VLOOKUP(A:A,'staff sales'!C:AL,36,)</f>
        <v>0</v>
      </c>
      <c r="S408" s="81">
        <f>VLOOKUP(A:A,'staff sales'!C:AO,39,)</f>
        <v>0</v>
      </c>
      <c r="T408" s="81">
        <f>VLOOKUP(A:A,'staff sales'!C:AR,42,)</f>
        <v>4</v>
      </c>
      <c r="U408" s="81">
        <f>VLOOKUP(A:A,'staff sales'!C:AU,45,)</f>
        <v>0</v>
      </c>
      <c r="V408" s="81">
        <f>VLOOKUP(A:A,'staff sales'!C:AX,48,)</f>
        <v>0</v>
      </c>
      <c r="W408" s="81">
        <f>VLOOKUP(A:A,'staff sales'!C:BA,51,)</f>
        <v>0</v>
      </c>
    </row>
    <row r="409" spans="1:23" x14ac:dyDescent="0.25">
      <c r="A409" s="16">
        <v>1067976447</v>
      </c>
      <c r="B409" s="17" t="s">
        <v>578</v>
      </c>
      <c r="C409" s="18" t="s">
        <v>544</v>
      </c>
      <c r="D409" s="18" t="s">
        <v>544</v>
      </c>
      <c r="E409" s="18" t="s">
        <v>267</v>
      </c>
      <c r="F409" s="18" t="s">
        <v>267</v>
      </c>
      <c r="G409" s="18" t="s">
        <v>1218</v>
      </c>
      <c r="H409" s="18" t="s">
        <v>221</v>
      </c>
      <c r="I409" s="19" t="s">
        <v>270</v>
      </c>
      <c r="J409" s="18">
        <v>73004</v>
      </c>
      <c r="K409" s="80">
        <f>VLOOKUP(A:A,'staff sales'!C:Q,15,)</f>
        <v>0</v>
      </c>
      <c r="L409" s="81">
        <f>VLOOKUP(A:A,'staff sales'!C:T,18,)</f>
        <v>3738.26</v>
      </c>
      <c r="M409" s="81">
        <f>VLOOKUP(A:A,'staff sales'!C:W,21,)</f>
        <v>2382.17</v>
      </c>
      <c r="N409" s="81">
        <f>VLOOKUP(A:A,'staff sales'!C:Z,24,)</f>
        <v>0</v>
      </c>
      <c r="O409" s="81">
        <f>VLOOKUP(A:A,'staff sales'!C:AC,27,)</f>
        <v>11</v>
      </c>
      <c r="P409" s="81">
        <f>VLOOKUP(A:A,'staff sales'!C:AF,30,)</f>
        <v>1</v>
      </c>
      <c r="Q409" s="81">
        <f>VLOOKUP(A:A,'staff sales'!C:AI,33,)</f>
        <v>0</v>
      </c>
      <c r="R409" s="81">
        <f>VLOOKUP(A:A,'staff sales'!C:AL,36,)</f>
        <v>0</v>
      </c>
      <c r="S409" s="81">
        <f>VLOOKUP(A:A,'staff sales'!C:AO,39,)</f>
        <v>0</v>
      </c>
      <c r="T409" s="81">
        <f>VLOOKUP(A:A,'staff sales'!C:AR,42,)</f>
        <v>1</v>
      </c>
      <c r="U409" s="81">
        <f>VLOOKUP(A:A,'staff sales'!C:AU,45,)</f>
        <v>0</v>
      </c>
      <c r="V409" s="81">
        <f>VLOOKUP(A:A,'staff sales'!C:AX,48,)</f>
        <v>0</v>
      </c>
      <c r="W409" s="81">
        <f>VLOOKUP(A:A,'staff sales'!C:BA,51,)</f>
        <v>0</v>
      </c>
    </row>
    <row r="410" spans="1:23" x14ac:dyDescent="0.25">
      <c r="A410" s="16">
        <v>1078994207</v>
      </c>
      <c r="B410" s="17" t="s">
        <v>596</v>
      </c>
      <c r="C410" s="18" t="s">
        <v>546</v>
      </c>
      <c r="D410" s="18" t="s">
        <v>546</v>
      </c>
      <c r="E410" s="18" t="s">
        <v>415</v>
      </c>
      <c r="F410" s="18" t="s">
        <v>416</v>
      </c>
      <c r="G410" s="18" t="s">
        <v>1218</v>
      </c>
      <c r="H410" s="18" t="s">
        <v>221</v>
      </c>
      <c r="I410" s="19" t="s">
        <v>270</v>
      </c>
      <c r="J410" s="18">
        <v>73004</v>
      </c>
      <c r="K410" s="80">
        <f>VLOOKUP(A:A,'staff sales'!C:Q,15,)</f>
        <v>86903.5</v>
      </c>
      <c r="L410" s="81">
        <f>VLOOKUP(A:A,'staff sales'!C:T,18,)</f>
        <v>12134.77</v>
      </c>
      <c r="M410" s="81">
        <f>VLOOKUP(A:A,'staff sales'!C:W,21,)</f>
        <v>20942.21</v>
      </c>
      <c r="N410" s="81">
        <f>VLOOKUP(A:A,'staff sales'!C:Z,24,)</f>
        <v>0</v>
      </c>
      <c r="O410" s="81">
        <f>VLOOKUP(A:A,'staff sales'!C:AC,27,)</f>
        <v>4</v>
      </c>
      <c r="P410" s="81">
        <f>VLOOKUP(A:A,'staff sales'!C:AF,30,)</f>
        <v>1</v>
      </c>
      <c r="Q410" s="81">
        <f>VLOOKUP(A:A,'staff sales'!C:AI,33,)</f>
        <v>3</v>
      </c>
      <c r="R410" s="81">
        <f>VLOOKUP(A:A,'staff sales'!C:AL,36,)</f>
        <v>0</v>
      </c>
      <c r="S410" s="81">
        <f>VLOOKUP(A:A,'staff sales'!C:AO,39,)</f>
        <v>0</v>
      </c>
      <c r="T410" s="81">
        <f>VLOOKUP(A:A,'staff sales'!C:AR,42,)</f>
        <v>6</v>
      </c>
      <c r="U410" s="81">
        <f>VLOOKUP(A:A,'staff sales'!C:AU,45,)</f>
        <v>3</v>
      </c>
      <c r="V410" s="81">
        <f>VLOOKUP(A:A,'staff sales'!C:AX,48,)</f>
        <v>0</v>
      </c>
      <c r="W410" s="81">
        <f>VLOOKUP(A:A,'staff sales'!C:BA,51,)</f>
        <v>1</v>
      </c>
    </row>
    <row r="411" spans="1:23" x14ac:dyDescent="0.25">
      <c r="A411" s="16">
        <v>1073315655</v>
      </c>
      <c r="B411" s="17" t="s">
        <v>587</v>
      </c>
      <c r="C411" s="18" t="s">
        <v>546</v>
      </c>
      <c r="D411" s="18" t="s">
        <v>546</v>
      </c>
      <c r="E411" s="18" t="s">
        <v>262</v>
      </c>
      <c r="F411" s="18" t="s">
        <v>262</v>
      </c>
      <c r="G411" s="18" t="s">
        <v>1218</v>
      </c>
      <c r="H411" s="18" t="s">
        <v>221</v>
      </c>
      <c r="I411" s="19" t="s">
        <v>270</v>
      </c>
      <c r="J411" s="18">
        <v>73004</v>
      </c>
      <c r="K411" s="80">
        <f>VLOOKUP(A:A,'staff sales'!C:Q,15,)</f>
        <v>36167.839999999997</v>
      </c>
      <c r="L411" s="81">
        <f>VLOOKUP(A:A,'staff sales'!C:T,18,)</f>
        <v>3042.61</v>
      </c>
      <c r="M411" s="81">
        <f>VLOOKUP(A:A,'staff sales'!C:W,21,)</f>
        <v>8453.0399999999991</v>
      </c>
      <c r="N411" s="81">
        <f>VLOOKUP(A:A,'staff sales'!C:Z,24,)</f>
        <v>2380</v>
      </c>
      <c r="O411" s="81">
        <f>VLOOKUP(A:A,'staff sales'!C:AC,27,)</f>
        <v>12</v>
      </c>
      <c r="P411" s="81">
        <f>VLOOKUP(A:A,'staff sales'!C:AF,30,)</f>
        <v>1</v>
      </c>
      <c r="Q411" s="81">
        <f>VLOOKUP(A:A,'staff sales'!C:AI,33,)</f>
        <v>17</v>
      </c>
      <c r="R411" s="81">
        <f>VLOOKUP(A:A,'staff sales'!C:AL,36,)</f>
        <v>0</v>
      </c>
      <c r="S411" s="81">
        <f>VLOOKUP(A:A,'staff sales'!C:AO,39,)</f>
        <v>0</v>
      </c>
      <c r="T411" s="81">
        <f>VLOOKUP(A:A,'staff sales'!C:AR,42,)</f>
        <v>6</v>
      </c>
      <c r="U411" s="81">
        <f>VLOOKUP(A:A,'staff sales'!C:AU,45,)</f>
        <v>3</v>
      </c>
      <c r="V411" s="81">
        <f>VLOOKUP(A:A,'staff sales'!C:AX,48,)</f>
        <v>0</v>
      </c>
      <c r="W411" s="81">
        <f>VLOOKUP(A:A,'staff sales'!C:BA,51,)</f>
        <v>0</v>
      </c>
    </row>
    <row r="412" spans="1:23" x14ac:dyDescent="0.25">
      <c r="A412" s="16" t="s">
        <v>972</v>
      </c>
      <c r="B412" s="17" t="s">
        <v>973</v>
      </c>
      <c r="C412" s="18" t="s">
        <v>541</v>
      </c>
      <c r="D412" s="18" t="s">
        <v>541</v>
      </c>
      <c r="E412" s="18">
        <v>0</v>
      </c>
      <c r="F412" s="18">
        <v>0</v>
      </c>
      <c r="G412" s="18" t="s">
        <v>1218</v>
      </c>
      <c r="H412" s="18" t="s">
        <v>221</v>
      </c>
      <c r="I412" s="19" t="s">
        <v>278</v>
      </c>
      <c r="J412" s="18">
        <v>73030</v>
      </c>
      <c r="K412" s="80">
        <f>VLOOKUP(A:A,'staff sales'!C:Q,15,)</f>
        <v>0</v>
      </c>
      <c r="L412" s="81">
        <f>VLOOKUP(A:A,'staff sales'!C:T,18,)</f>
        <v>0</v>
      </c>
      <c r="M412" s="81">
        <f>VLOOKUP(A:A,'staff sales'!C:W,21,)</f>
        <v>0</v>
      </c>
      <c r="N412" s="81">
        <f>VLOOKUP(A:A,'staff sales'!C:Z,24,)</f>
        <v>0</v>
      </c>
      <c r="O412" s="81">
        <f>VLOOKUP(A:A,'staff sales'!C:AC,27,)</f>
        <v>0</v>
      </c>
      <c r="P412" s="81">
        <f>VLOOKUP(A:A,'staff sales'!C:AF,30,)</f>
        <v>0</v>
      </c>
      <c r="Q412" s="81">
        <f>VLOOKUP(A:A,'staff sales'!C:AI,33,)</f>
        <v>0</v>
      </c>
      <c r="R412" s="81">
        <f>VLOOKUP(A:A,'staff sales'!C:AL,36,)</f>
        <v>0</v>
      </c>
      <c r="S412" s="81">
        <f>VLOOKUP(A:A,'staff sales'!C:AO,39,)</f>
        <v>0</v>
      </c>
      <c r="T412" s="81">
        <f>VLOOKUP(A:A,'staff sales'!C:AR,42,)</f>
        <v>0</v>
      </c>
      <c r="U412" s="81">
        <f>VLOOKUP(A:A,'staff sales'!C:AU,45,)</f>
        <v>0</v>
      </c>
      <c r="V412" s="81">
        <f>VLOOKUP(A:A,'staff sales'!C:AX,48,)</f>
        <v>0</v>
      </c>
      <c r="W412" s="81">
        <f>VLOOKUP(A:A,'staff sales'!C:BA,51,)</f>
        <v>0</v>
      </c>
    </row>
    <row r="413" spans="1:23" x14ac:dyDescent="0.25">
      <c r="A413" s="16">
        <v>1063514036</v>
      </c>
      <c r="B413" s="17" t="s">
        <v>597</v>
      </c>
      <c r="C413" s="18" t="s">
        <v>544</v>
      </c>
      <c r="D413" s="18" t="s">
        <v>541</v>
      </c>
      <c r="E413" s="18" t="s">
        <v>252</v>
      </c>
      <c r="F413" s="18" t="s">
        <v>252</v>
      </c>
      <c r="G413" s="18" t="s">
        <v>1218</v>
      </c>
      <c r="H413" s="18" t="s">
        <v>221</v>
      </c>
      <c r="I413" s="19" t="s">
        <v>278</v>
      </c>
      <c r="J413" s="18">
        <v>73030</v>
      </c>
      <c r="K413" s="80">
        <f>VLOOKUP(A:A,'staff sales'!C:Q,15,)</f>
        <v>0</v>
      </c>
      <c r="L413" s="81">
        <f>VLOOKUP(A:A,'staff sales'!C:T,18,)</f>
        <v>0</v>
      </c>
      <c r="M413" s="81">
        <f>VLOOKUP(A:A,'staff sales'!C:W,21,)</f>
        <v>0</v>
      </c>
      <c r="N413" s="81">
        <f>VLOOKUP(A:A,'staff sales'!C:Z,24,)</f>
        <v>0</v>
      </c>
      <c r="O413" s="81">
        <f>VLOOKUP(A:A,'staff sales'!C:AC,27,)</f>
        <v>0</v>
      </c>
      <c r="P413" s="81">
        <f>VLOOKUP(A:A,'staff sales'!C:AF,30,)</f>
        <v>0</v>
      </c>
      <c r="Q413" s="81">
        <f>VLOOKUP(A:A,'staff sales'!C:AI,33,)</f>
        <v>0</v>
      </c>
      <c r="R413" s="81">
        <f>VLOOKUP(A:A,'staff sales'!C:AL,36,)</f>
        <v>0</v>
      </c>
      <c r="S413" s="81">
        <f>VLOOKUP(A:A,'staff sales'!C:AO,39,)</f>
        <v>0</v>
      </c>
      <c r="T413" s="81">
        <f>VLOOKUP(A:A,'staff sales'!C:AR,42,)</f>
        <v>0</v>
      </c>
      <c r="U413" s="81">
        <f>VLOOKUP(A:A,'staff sales'!C:AU,45,)</f>
        <v>0</v>
      </c>
      <c r="V413" s="81">
        <f>VLOOKUP(A:A,'staff sales'!C:AX,48,)</f>
        <v>0</v>
      </c>
      <c r="W413" s="81">
        <f>VLOOKUP(A:A,'staff sales'!C:BA,51,)</f>
        <v>0</v>
      </c>
    </row>
    <row r="414" spans="1:23" x14ac:dyDescent="0.25">
      <c r="A414" s="16">
        <v>1085887683</v>
      </c>
      <c r="B414" s="17" t="s">
        <v>598</v>
      </c>
      <c r="C414" s="18" t="s">
        <v>546</v>
      </c>
      <c r="D414" s="18" t="s">
        <v>546</v>
      </c>
      <c r="E414" s="18" t="s">
        <v>279</v>
      </c>
      <c r="F414" s="18" t="s">
        <v>280</v>
      </c>
      <c r="G414" s="18" t="s">
        <v>1218</v>
      </c>
      <c r="H414" s="18" t="s">
        <v>221</v>
      </c>
      <c r="I414" s="19" t="s">
        <v>278</v>
      </c>
      <c r="J414" s="18">
        <v>73030</v>
      </c>
      <c r="K414" s="80">
        <f>VLOOKUP(A:A,'staff sales'!C:Q,15,)</f>
        <v>10200</v>
      </c>
      <c r="L414" s="81">
        <f>VLOOKUP(A:A,'staff sales'!C:T,18,)</f>
        <v>0</v>
      </c>
      <c r="M414" s="81">
        <f>VLOOKUP(A:A,'staff sales'!C:W,21,)</f>
        <v>870</v>
      </c>
      <c r="N414" s="81">
        <f>VLOOKUP(A:A,'staff sales'!C:Z,24,)</f>
        <v>0</v>
      </c>
      <c r="O414" s="81">
        <f>VLOOKUP(A:A,'staff sales'!C:AC,27,)</f>
        <v>0</v>
      </c>
      <c r="P414" s="81">
        <f>VLOOKUP(A:A,'staff sales'!C:AF,30,)</f>
        <v>0</v>
      </c>
      <c r="Q414" s="81">
        <f>VLOOKUP(A:A,'staff sales'!C:AI,33,)</f>
        <v>56</v>
      </c>
      <c r="R414" s="81">
        <f>VLOOKUP(A:A,'staff sales'!C:AL,36,)</f>
        <v>4</v>
      </c>
      <c r="S414" s="81">
        <f>VLOOKUP(A:A,'staff sales'!C:AO,39,)</f>
        <v>28</v>
      </c>
      <c r="T414" s="81">
        <f>VLOOKUP(A:A,'staff sales'!C:AR,42,)</f>
        <v>1</v>
      </c>
      <c r="U414" s="81">
        <f>VLOOKUP(A:A,'staff sales'!C:AU,45,)</f>
        <v>1</v>
      </c>
      <c r="V414" s="81">
        <f>VLOOKUP(A:A,'staff sales'!C:AX,48,)</f>
        <v>0</v>
      </c>
      <c r="W414" s="81">
        <f>VLOOKUP(A:A,'staff sales'!C:BA,51,)</f>
        <v>0</v>
      </c>
    </row>
    <row r="415" spans="1:23" x14ac:dyDescent="0.25">
      <c r="A415" s="16">
        <v>1060037437</v>
      </c>
      <c r="B415" s="17" t="s">
        <v>599</v>
      </c>
      <c r="C415" s="18" t="s">
        <v>546</v>
      </c>
      <c r="D415" s="18" t="s">
        <v>546</v>
      </c>
      <c r="E415" s="18" t="s">
        <v>281</v>
      </c>
      <c r="F415" s="18" t="s">
        <v>281</v>
      </c>
      <c r="G415" s="18" t="s">
        <v>1218</v>
      </c>
      <c r="H415" s="18" t="s">
        <v>221</v>
      </c>
      <c r="I415" s="19" t="s">
        <v>278</v>
      </c>
      <c r="J415" s="18">
        <v>73030</v>
      </c>
      <c r="K415" s="80">
        <f>VLOOKUP(A:A,'staff sales'!C:Q,15,)</f>
        <v>34867.83</v>
      </c>
      <c r="L415" s="81">
        <f>VLOOKUP(A:A,'staff sales'!C:T,18,)</f>
        <v>0</v>
      </c>
      <c r="M415" s="81">
        <f>VLOOKUP(A:A,'staff sales'!C:W,21,)</f>
        <v>1310.4299999999998</v>
      </c>
      <c r="N415" s="81">
        <f>VLOOKUP(A:A,'staff sales'!C:Z,24,)</f>
        <v>0</v>
      </c>
      <c r="O415" s="81">
        <f>VLOOKUP(A:A,'staff sales'!C:AC,27,)</f>
        <v>7</v>
      </c>
      <c r="P415" s="81">
        <f>VLOOKUP(A:A,'staff sales'!C:AF,30,)</f>
        <v>2</v>
      </c>
      <c r="Q415" s="81">
        <f>VLOOKUP(A:A,'staff sales'!C:AI,33,)</f>
        <v>113</v>
      </c>
      <c r="R415" s="81">
        <f>VLOOKUP(A:A,'staff sales'!C:AL,36,)</f>
        <v>3</v>
      </c>
      <c r="S415" s="81">
        <f>VLOOKUP(A:A,'staff sales'!C:AO,39,)</f>
        <v>51</v>
      </c>
      <c r="T415" s="81">
        <f>VLOOKUP(A:A,'staff sales'!C:AR,42,)</f>
        <v>0</v>
      </c>
      <c r="U415" s="81">
        <f>VLOOKUP(A:A,'staff sales'!C:AU,45,)</f>
        <v>9</v>
      </c>
      <c r="V415" s="81">
        <f>VLOOKUP(A:A,'staff sales'!C:AX,48,)</f>
        <v>0</v>
      </c>
      <c r="W415" s="81">
        <f>VLOOKUP(A:A,'staff sales'!C:BA,51,)</f>
        <v>0</v>
      </c>
    </row>
    <row r="416" spans="1:23" x14ac:dyDescent="0.25">
      <c r="A416" s="16">
        <v>1056862608</v>
      </c>
      <c r="B416" s="17" t="s">
        <v>600</v>
      </c>
      <c r="C416" s="18" t="s">
        <v>546</v>
      </c>
      <c r="D416" s="18" t="s">
        <v>546</v>
      </c>
      <c r="E416" s="18" t="s">
        <v>282</v>
      </c>
      <c r="F416" s="18" t="s">
        <v>283</v>
      </c>
      <c r="G416" s="18" t="s">
        <v>1218</v>
      </c>
      <c r="H416" s="18" t="s">
        <v>221</v>
      </c>
      <c r="I416" s="19" t="s">
        <v>278</v>
      </c>
      <c r="J416" s="18">
        <v>73030</v>
      </c>
      <c r="K416" s="80">
        <f>VLOOKUP(A:A,'staff sales'!C:Q,15,)</f>
        <v>11128.7</v>
      </c>
      <c r="L416" s="81">
        <f>VLOOKUP(A:A,'staff sales'!C:T,18,)</f>
        <v>1724.35</v>
      </c>
      <c r="M416" s="81">
        <f>VLOOKUP(A:A,'staff sales'!C:W,21,)</f>
        <v>1017.8199999999999</v>
      </c>
      <c r="N416" s="81">
        <f>VLOOKUP(A:A,'staff sales'!C:Z,24,)</f>
        <v>0</v>
      </c>
      <c r="O416" s="81">
        <f>VLOOKUP(A:A,'staff sales'!C:AC,27,)</f>
        <v>4</v>
      </c>
      <c r="P416" s="81">
        <f>VLOOKUP(A:A,'staff sales'!C:AF,30,)</f>
        <v>0</v>
      </c>
      <c r="Q416" s="81">
        <f>VLOOKUP(A:A,'staff sales'!C:AI,33,)</f>
        <v>77</v>
      </c>
      <c r="R416" s="81">
        <f>VLOOKUP(A:A,'staff sales'!C:AL,36,)</f>
        <v>1</v>
      </c>
      <c r="S416" s="81">
        <f>VLOOKUP(A:A,'staff sales'!C:AO,39,)</f>
        <v>0</v>
      </c>
      <c r="T416" s="81">
        <f>VLOOKUP(A:A,'staff sales'!C:AR,42,)</f>
        <v>1</v>
      </c>
      <c r="U416" s="81">
        <f>VLOOKUP(A:A,'staff sales'!C:AU,45,)</f>
        <v>17</v>
      </c>
      <c r="V416" s="81">
        <f>VLOOKUP(A:A,'staff sales'!C:AX,48,)</f>
        <v>0</v>
      </c>
      <c r="W416" s="81">
        <f>VLOOKUP(A:A,'staff sales'!C:BA,51,)</f>
        <v>0</v>
      </c>
    </row>
    <row r="417" spans="1:23" x14ac:dyDescent="0.25">
      <c r="A417" s="16">
        <v>1073356626</v>
      </c>
      <c r="B417" s="17" t="s">
        <v>601</v>
      </c>
      <c r="C417" s="18" t="s">
        <v>546</v>
      </c>
      <c r="D417" s="18" t="s">
        <v>546</v>
      </c>
      <c r="E417" s="18" t="s">
        <v>284</v>
      </c>
      <c r="F417" s="18" t="s">
        <v>285</v>
      </c>
      <c r="G417" s="18" t="s">
        <v>1218</v>
      </c>
      <c r="H417" s="18" t="s">
        <v>221</v>
      </c>
      <c r="I417" s="19" t="s">
        <v>278</v>
      </c>
      <c r="J417" s="18">
        <v>73030</v>
      </c>
      <c r="K417" s="80">
        <f>VLOOKUP(A:A,'staff sales'!C:Q,15,)</f>
        <v>3825.22</v>
      </c>
      <c r="L417" s="81">
        <f>VLOOKUP(A:A,'staff sales'!C:T,18,)</f>
        <v>0</v>
      </c>
      <c r="M417" s="81">
        <f>VLOOKUP(A:A,'staff sales'!C:W,21,)</f>
        <v>68.7</v>
      </c>
      <c r="N417" s="81">
        <f>VLOOKUP(A:A,'staff sales'!C:Z,24,)</f>
        <v>0</v>
      </c>
      <c r="O417" s="81">
        <f>VLOOKUP(A:A,'staff sales'!C:AC,27,)</f>
        <v>1</v>
      </c>
      <c r="P417" s="81">
        <f>VLOOKUP(A:A,'staff sales'!C:AF,30,)</f>
        <v>0</v>
      </c>
      <c r="Q417" s="81">
        <f>VLOOKUP(A:A,'staff sales'!C:AI,33,)</f>
        <v>39</v>
      </c>
      <c r="R417" s="81">
        <f>VLOOKUP(A:A,'staff sales'!C:AL,36,)</f>
        <v>4</v>
      </c>
      <c r="S417" s="81">
        <f>VLOOKUP(A:A,'staff sales'!C:AO,39,)</f>
        <v>29</v>
      </c>
      <c r="T417" s="81">
        <f>VLOOKUP(A:A,'staff sales'!C:AR,42,)</f>
        <v>0</v>
      </c>
      <c r="U417" s="81">
        <f>VLOOKUP(A:A,'staff sales'!C:AU,45,)</f>
        <v>17</v>
      </c>
      <c r="V417" s="81">
        <f>VLOOKUP(A:A,'staff sales'!C:AX,48,)</f>
        <v>0</v>
      </c>
      <c r="W417" s="81">
        <f>VLOOKUP(A:A,'staff sales'!C:BA,51,)</f>
        <v>0</v>
      </c>
    </row>
    <row r="418" spans="1:23" x14ac:dyDescent="0.25">
      <c r="A418" s="16">
        <v>1077980843</v>
      </c>
      <c r="B418" s="17" t="s">
        <v>602</v>
      </c>
      <c r="C418" s="18" t="s">
        <v>546</v>
      </c>
      <c r="D418" s="18" t="s">
        <v>546</v>
      </c>
      <c r="E418" s="18" t="s">
        <v>286</v>
      </c>
      <c r="F418" s="18" t="s">
        <v>287</v>
      </c>
      <c r="G418" s="18" t="s">
        <v>1218</v>
      </c>
      <c r="H418" s="18" t="s">
        <v>221</v>
      </c>
      <c r="I418" s="19" t="s">
        <v>278</v>
      </c>
      <c r="J418" s="18">
        <v>73030</v>
      </c>
      <c r="K418" s="80">
        <f>VLOOKUP(A:A,'staff sales'!C:Q,15,)</f>
        <v>17511.309999999998</v>
      </c>
      <c r="L418" s="81">
        <f>VLOOKUP(A:A,'staff sales'!C:T,18,)</f>
        <v>0</v>
      </c>
      <c r="M418" s="81">
        <f>VLOOKUP(A:A,'staff sales'!C:W,21,)</f>
        <v>589.57000000000005</v>
      </c>
      <c r="N418" s="81">
        <f>VLOOKUP(A:A,'staff sales'!C:Z,24,)</f>
        <v>0</v>
      </c>
      <c r="O418" s="81">
        <f>VLOOKUP(A:A,'staff sales'!C:AC,27,)</f>
        <v>9</v>
      </c>
      <c r="P418" s="81">
        <f>VLOOKUP(A:A,'staff sales'!C:AF,30,)</f>
        <v>0</v>
      </c>
      <c r="Q418" s="81">
        <f>VLOOKUP(A:A,'staff sales'!C:AI,33,)</f>
        <v>112</v>
      </c>
      <c r="R418" s="81">
        <f>VLOOKUP(A:A,'staff sales'!C:AL,36,)</f>
        <v>3</v>
      </c>
      <c r="S418" s="81">
        <f>VLOOKUP(A:A,'staff sales'!C:AO,39,)</f>
        <v>14</v>
      </c>
      <c r="T418" s="81">
        <f>VLOOKUP(A:A,'staff sales'!C:AR,42,)</f>
        <v>0</v>
      </c>
      <c r="U418" s="81">
        <f>VLOOKUP(A:A,'staff sales'!C:AU,45,)</f>
        <v>5</v>
      </c>
      <c r="V418" s="81">
        <f>VLOOKUP(A:A,'staff sales'!C:AX,48,)</f>
        <v>0</v>
      </c>
      <c r="W418" s="81">
        <f>VLOOKUP(A:A,'staff sales'!C:BA,51,)</f>
        <v>0</v>
      </c>
    </row>
    <row r="419" spans="1:23" x14ac:dyDescent="0.25">
      <c r="A419" s="16">
        <v>1052165170</v>
      </c>
      <c r="B419" s="17" t="s">
        <v>603</v>
      </c>
      <c r="C419" s="18" t="s">
        <v>546</v>
      </c>
      <c r="D419" s="18" t="s">
        <v>546</v>
      </c>
      <c r="E419" s="18" t="s">
        <v>288</v>
      </c>
      <c r="F419" s="18" t="s">
        <v>288</v>
      </c>
      <c r="G419" s="18" t="s">
        <v>1218</v>
      </c>
      <c r="H419" s="18" t="s">
        <v>221</v>
      </c>
      <c r="I419" s="19" t="s">
        <v>278</v>
      </c>
      <c r="J419" s="18">
        <v>73030</v>
      </c>
      <c r="K419" s="80">
        <f>VLOOKUP(A:A,'staff sales'!C:Q,15,)</f>
        <v>21667.83</v>
      </c>
      <c r="L419" s="81">
        <f>VLOOKUP(A:A,'staff sales'!C:T,18,)</f>
        <v>0</v>
      </c>
      <c r="M419" s="81">
        <f>VLOOKUP(A:A,'staff sales'!C:W,21,)</f>
        <v>0</v>
      </c>
      <c r="N419" s="81">
        <f>VLOOKUP(A:A,'staff sales'!C:Z,24,)</f>
        <v>0</v>
      </c>
      <c r="O419" s="81">
        <f>VLOOKUP(A:A,'staff sales'!C:AC,27,)</f>
        <v>0</v>
      </c>
      <c r="P419" s="81">
        <f>VLOOKUP(A:A,'staff sales'!C:AF,30,)</f>
        <v>0</v>
      </c>
      <c r="Q419" s="81">
        <f>VLOOKUP(A:A,'staff sales'!C:AI,33,)</f>
        <v>21</v>
      </c>
      <c r="R419" s="81">
        <f>VLOOKUP(A:A,'staff sales'!C:AL,36,)</f>
        <v>1</v>
      </c>
      <c r="S419" s="81">
        <f>VLOOKUP(A:A,'staff sales'!C:AO,39,)</f>
        <v>34</v>
      </c>
      <c r="T419" s="81">
        <f>VLOOKUP(A:A,'staff sales'!C:AR,42,)</f>
        <v>0</v>
      </c>
      <c r="U419" s="81">
        <f>VLOOKUP(A:A,'staff sales'!C:AU,45,)</f>
        <v>5</v>
      </c>
      <c r="V419" s="81">
        <f>VLOOKUP(A:A,'staff sales'!C:AX,48,)</f>
        <v>0</v>
      </c>
      <c r="W419" s="81">
        <f>VLOOKUP(A:A,'staff sales'!C:BA,51,)</f>
        <v>0</v>
      </c>
    </row>
    <row r="420" spans="1:23" x14ac:dyDescent="0.25">
      <c r="A420" s="16">
        <v>1068661113</v>
      </c>
      <c r="B420" s="17" t="s">
        <v>604</v>
      </c>
      <c r="C420" s="18" t="s">
        <v>546</v>
      </c>
      <c r="D420" s="18" t="s">
        <v>546</v>
      </c>
      <c r="E420" s="18" t="s">
        <v>418</v>
      </c>
      <c r="F420" s="18" t="s">
        <v>419</v>
      </c>
      <c r="G420" s="18" t="s">
        <v>1218</v>
      </c>
      <c r="H420" s="18" t="s">
        <v>221</v>
      </c>
      <c r="I420" s="19" t="s">
        <v>278</v>
      </c>
      <c r="J420" s="18">
        <v>73030</v>
      </c>
      <c r="K420" s="80">
        <f>VLOOKUP(A:A,'staff sales'!C:Q,15,)</f>
        <v>20643.48</v>
      </c>
      <c r="L420" s="81">
        <f>VLOOKUP(A:A,'staff sales'!C:T,18,)</f>
        <v>0</v>
      </c>
      <c r="M420" s="81">
        <f>VLOOKUP(A:A,'staff sales'!C:W,21,)</f>
        <v>520.87</v>
      </c>
      <c r="N420" s="81">
        <f>VLOOKUP(A:A,'staff sales'!C:Z,24,)</f>
        <v>0</v>
      </c>
      <c r="O420" s="81">
        <f>VLOOKUP(A:A,'staff sales'!C:AC,27,)</f>
        <v>3</v>
      </c>
      <c r="P420" s="81">
        <f>VLOOKUP(A:A,'staff sales'!C:AF,30,)</f>
        <v>0</v>
      </c>
      <c r="Q420" s="81">
        <f>VLOOKUP(A:A,'staff sales'!C:AI,33,)</f>
        <v>110</v>
      </c>
      <c r="R420" s="81">
        <f>VLOOKUP(A:A,'staff sales'!C:AL,36,)</f>
        <v>0</v>
      </c>
      <c r="S420" s="81">
        <f>VLOOKUP(A:A,'staff sales'!C:AO,39,)</f>
        <v>9</v>
      </c>
      <c r="T420" s="81">
        <f>VLOOKUP(A:A,'staff sales'!C:AR,42,)</f>
        <v>0</v>
      </c>
      <c r="U420" s="81">
        <f>VLOOKUP(A:A,'staff sales'!C:AU,45,)</f>
        <v>19</v>
      </c>
      <c r="V420" s="81">
        <f>VLOOKUP(A:A,'staff sales'!C:AX,48,)</f>
        <v>0</v>
      </c>
      <c r="W420" s="81">
        <f>VLOOKUP(A:A,'staff sales'!C:BA,51,)</f>
        <v>0</v>
      </c>
    </row>
    <row r="421" spans="1:23" x14ac:dyDescent="0.25">
      <c r="A421" s="16">
        <v>1003003223</v>
      </c>
      <c r="B421" s="17" t="s">
        <v>611</v>
      </c>
      <c r="C421" s="18" t="s">
        <v>541</v>
      </c>
      <c r="D421" s="18" t="s">
        <v>541</v>
      </c>
      <c r="E421" s="18" t="s">
        <v>302</v>
      </c>
      <c r="F421" s="18" t="s">
        <v>302</v>
      </c>
      <c r="G421" s="18" t="s">
        <v>1218</v>
      </c>
      <c r="H421" s="18" t="s">
        <v>221</v>
      </c>
      <c r="I421" s="19" t="s">
        <v>605</v>
      </c>
      <c r="J421" s="18">
        <v>13014</v>
      </c>
      <c r="K421" s="80">
        <f>VLOOKUP(A:A,'staff sales'!C:Q,15,)</f>
        <v>0</v>
      </c>
      <c r="L421" s="81">
        <f>VLOOKUP(A:A,'staff sales'!C:T,18,)</f>
        <v>0</v>
      </c>
      <c r="M421" s="81">
        <f>VLOOKUP(A:A,'staff sales'!C:W,21,)</f>
        <v>0</v>
      </c>
      <c r="N421" s="81">
        <f>VLOOKUP(A:A,'staff sales'!C:Z,24,)</f>
        <v>0</v>
      </c>
      <c r="O421" s="81">
        <f>VLOOKUP(A:A,'staff sales'!C:AC,27,)</f>
        <v>0</v>
      </c>
      <c r="P421" s="81">
        <f>VLOOKUP(A:A,'staff sales'!C:AF,30,)</f>
        <v>0</v>
      </c>
      <c r="Q421" s="81">
        <f>VLOOKUP(A:A,'staff sales'!C:AI,33,)</f>
        <v>0</v>
      </c>
      <c r="R421" s="81">
        <f>VLOOKUP(A:A,'staff sales'!C:AL,36,)</f>
        <v>0</v>
      </c>
      <c r="S421" s="81">
        <f>VLOOKUP(A:A,'staff sales'!C:AO,39,)</f>
        <v>0</v>
      </c>
      <c r="T421" s="81">
        <f>VLOOKUP(A:A,'staff sales'!C:AR,42,)</f>
        <v>0</v>
      </c>
      <c r="U421" s="81">
        <f>VLOOKUP(A:A,'staff sales'!C:AU,45,)</f>
        <v>0</v>
      </c>
      <c r="V421" s="81">
        <f>VLOOKUP(A:A,'staff sales'!C:AX,48,)</f>
        <v>0</v>
      </c>
      <c r="W421" s="81">
        <f>VLOOKUP(A:A,'staff sales'!C:BA,51,)</f>
        <v>0</v>
      </c>
    </row>
    <row r="422" spans="1:23" x14ac:dyDescent="0.25">
      <c r="A422" s="16">
        <v>1044273173</v>
      </c>
      <c r="B422" s="17" t="s">
        <v>606</v>
      </c>
      <c r="C422" s="18" t="s">
        <v>544</v>
      </c>
      <c r="D422" s="18" t="s">
        <v>544</v>
      </c>
      <c r="E422" s="18" t="s">
        <v>292</v>
      </c>
      <c r="F422" s="18" t="s">
        <v>292</v>
      </c>
      <c r="G422" s="18" t="s">
        <v>1218</v>
      </c>
      <c r="H422" s="18" t="s">
        <v>221</v>
      </c>
      <c r="I422" s="19" t="s">
        <v>605</v>
      </c>
      <c r="J422" s="18">
        <v>13014</v>
      </c>
      <c r="K422" s="80">
        <f>VLOOKUP(A:A,'staff sales'!C:Q,15,)</f>
        <v>0</v>
      </c>
      <c r="L422" s="81">
        <f>VLOOKUP(A:A,'staff sales'!C:T,18,)</f>
        <v>0</v>
      </c>
      <c r="M422" s="81">
        <f>VLOOKUP(A:A,'staff sales'!C:W,21,)</f>
        <v>0</v>
      </c>
      <c r="N422" s="81">
        <f>VLOOKUP(A:A,'staff sales'!C:Z,24,)</f>
        <v>0</v>
      </c>
      <c r="O422" s="81">
        <f>VLOOKUP(A:A,'staff sales'!C:AC,27,)</f>
        <v>0</v>
      </c>
      <c r="P422" s="81">
        <f>VLOOKUP(A:A,'staff sales'!C:AF,30,)</f>
        <v>0</v>
      </c>
      <c r="Q422" s="81">
        <f>VLOOKUP(A:A,'staff sales'!C:AI,33,)</f>
        <v>0</v>
      </c>
      <c r="R422" s="81">
        <f>VLOOKUP(A:A,'staff sales'!C:AL,36,)</f>
        <v>0</v>
      </c>
      <c r="S422" s="81">
        <f>VLOOKUP(A:A,'staff sales'!C:AO,39,)</f>
        <v>0</v>
      </c>
      <c r="T422" s="81">
        <f>VLOOKUP(A:A,'staff sales'!C:AR,42,)</f>
        <v>0</v>
      </c>
      <c r="U422" s="81">
        <f>VLOOKUP(A:A,'staff sales'!C:AU,45,)</f>
        <v>0</v>
      </c>
      <c r="V422" s="81">
        <f>VLOOKUP(A:A,'staff sales'!C:AX,48,)</f>
        <v>0</v>
      </c>
      <c r="W422" s="81">
        <f>VLOOKUP(A:A,'staff sales'!C:BA,51,)</f>
        <v>0</v>
      </c>
    </row>
    <row r="423" spans="1:23" x14ac:dyDescent="0.25">
      <c r="A423" s="16">
        <v>1029719430</v>
      </c>
      <c r="B423" s="17" t="s">
        <v>608</v>
      </c>
      <c r="C423" s="18" t="s">
        <v>546</v>
      </c>
      <c r="D423" s="18" t="s">
        <v>546</v>
      </c>
      <c r="E423" s="18" t="s">
        <v>295</v>
      </c>
      <c r="F423" s="18" t="s">
        <v>296</v>
      </c>
      <c r="G423" s="18" t="s">
        <v>1218</v>
      </c>
      <c r="H423" s="18" t="s">
        <v>221</v>
      </c>
      <c r="I423" s="19" t="s">
        <v>605</v>
      </c>
      <c r="J423" s="18">
        <v>13014</v>
      </c>
      <c r="K423" s="80">
        <f>VLOOKUP(A:A,'staff sales'!C:Q,15,)</f>
        <v>94292.19</v>
      </c>
      <c r="L423" s="81">
        <f>VLOOKUP(A:A,'staff sales'!C:T,18,)</f>
        <v>3216.52</v>
      </c>
      <c r="M423" s="81">
        <f>VLOOKUP(A:A,'staff sales'!C:W,21,)</f>
        <v>16391.73</v>
      </c>
      <c r="N423" s="81">
        <f>VLOOKUP(A:A,'staff sales'!C:Z,24,)</f>
        <v>0</v>
      </c>
      <c r="O423" s="81">
        <f>VLOOKUP(A:A,'staff sales'!C:AC,27,)</f>
        <v>12</v>
      </c>
      <c r="P423" s="81">
        <f>VLOOKUP(A:A,'staff sales'!C:AF,30,)</f>
        <v>3</v>
      </c>
      <c r="Q423" s="81">
        <f>VLOOKUP(A:A,'staff sales'!C:AI,33,)</f>
        <v>25</v>
      </c>
      <c r="R423" s="81">
        <f>VLOOKUP(A:A,'staff sales'!C:AL,36,)</f>
        <v>3</v>
      </c>
      <c r="S423" s="81">
        <f>VLOOKUP(A:A,'staff sales'!C:AO,39,)</f>
        <v>0</v>
      </c>
      <c r="T423" s="81">
        <f>VLOOKUP(A:A,'staff sales'!C:AR,42,)</f>
        <v>3</v>
      </c>
      <c r="U423" s="81">
        <f>VLOOKUP(A:A,'staff sales'!C:AU,45,)</f>
        <v>4</v>
      </c>
      <c r="V423" s="81">
        <f>VLOOKUP(A:A,'staff sales'!C:AX,48,)</f>
        <v>1</v>
      </c>
      <c r="W423" s="81">
        <f>VLOOKUP(A:A,'staff sales'!C:BA,51,)</f>
        <v>4</v>
      </c>
    </row>
    <row r="424" spans="1:23" x14ac:dyDescent="0.25">
      <c r="A424" s="16">
        <v>1062044688</v>
      </c>
      <c r="B424" s="17" t="s">
        <v>610</v>
      </c>
      <c r="C424" s="18" t="s">
        <v>546</v>
      </c>
      <c r="D424" s="18" t="s">
        <v>546</v>
      </c>
      <c r="E424" s="18" t="s">
        <v>293</v>
      </c>
      <c r="F424" s="18" t="s">
        <v>294</v>
      </c>
      <c r="G424" s="18" t="s">
        <v>1218</v>
      </c>
      <c r="H424" s="18" t="s">
        <v>221</v>
      </c>
      <c r="I424" s="19" t="s">
        <v>605</v>
      </c>
      <c r="J424" s="18">
        <v>13014</v>
      </c>
      <c r="K424" s="80">
        <f>VLOOKUP(A:A,'staff sales'!C:Q,15,)</f>
        <v>41440.020000000004</v>
      </c>
      <c r="L424" s="81">
        <f>VLOOKUP(A:A,'staff sales'!C:T,18,)</f>
        <v>6047.04</v>
      </c>
      <c r="M424" s="81">
        <f>VLOOKUP(A:A,'staff sales'!C:W,21,)</f>
        <v>12493.4</v>
      </c>
      <c r="N424" s="81">
        <f>VLOOKUP(A:A,'staff sales'!C:Z,24,)</f>
        <v>0</v>
      </c>
      <c r="O424" s="81">
        <f>VLOOKUP(A:A,'staff sales'!C:AC,27,)</f>
        <v>7</v>
      </c>
      <c r="P424" s="81">
        <f>VLOOKUP(A:A,'staff sales'!C:AF,30,)</f>
        <v>3</v>
      </c>
      <c r="Q424" s="81">
        <f>VLOOKUP(A:A,'staff sales'!C:AI,33,)</f>
        <v>22</v>
      </c>
      <c r="R424" s="81">
        <f>VLOOKUP(A:A,'staff sales'!C:AL,36,)</f>
        <v>1</v>
      </c>
      <c r="S424" s="81">
        <f>VLOOKUP(A:A,'staff sales'!C:AO,39,)</f>
        <v>2</v>
      </c>
      <c r="T424" s="81">
        <f>VLOOKUP(A:A,'staff sales'!C:AR,42,)</f>
        <v>2</v>
      </c>
      <c r="U424" s="81">
        <f>VLOOKUP(A:A,'staff sales'!C:AU,45,)</f>
        <v>1</v>
      </c>
      <c r="V424" s="81">
        <f>VLOOKUP(A:A,'staff sales'!C:AX,48,)</f>
        <v>0</v>
      </c>
      <c r="W424" s="81">
        <f>VLOOKUP(A:A,'staff sales'!C:BA,51,)</f>
        <v>1</v>
      </c>
    </row>
    <row r="425" spans="1:23" x14ac:dyDescent="0.25">
      <c r="A425" s="16">
        <v>1008876987</v>
      </c>
      <c r="B425" s="17" t="s">
        <v>623</v>
      </c>
      <c r="C425" s="18" t="s">
        <v>546</v>
      </c>
      <c r="D425" s="18" t="s">
        <v>546</v>
      </c>
      <c r="E425" s="18" t="s">
        <v>308</v>
      </c>
      <c r="F425" s="18" t="s">
        <v>308</v>
      </c>
      <c r="G425" s="18" t="s">
        <v>1218</v>
      </c>
      <c r="H425" s="18" t="s">
        <v>221</v>
      </c>
      <c r="I425" s="19" t="s">
        <v>605</v>
      </c>
      <c r="J425" s="18">
        <v>13014</v>
      </c>
      <c r="K425" s="80">
        <f>VLOOKUP(A:A,'staff sales'!C:Q,15,)</f>
        <v>33864.370000000003</v>
      </c>
      <c r="L425" s="81">
        <f>VLOOKUP(A:A,'staff sales'!C:T,18,)</f>
        <v>0</v>
      </c>
      <c r="M425" s="81">
        <f>VLOOKUP(A:A,'staff sales'!C:W,21,)</f>
        <v>2387.8199999999997</v>
      </c>
      <c r="N425" s="81">
        <f>VLOOKUP(A:A,'staff sales'!C:Z,24,)</f>
        <v>0</v>
      </c>
      <c r="O425" s="81">
        <f>VLOOKUP(A:A,'staff sales'!C:AC,27,)</f>
        <v>9</v>
      </c>
      <c r="P425" s="81">
        <f>VLOOKUP(A:A,'staff sales'!C:AF,30,)</f>
        <v>0</v>
      </c>
      <c r="Q425" s="81">
        <f>VLOOKUP(A:A,'staff sales'!C:AI,33,)</f>
        <v>37</v>
      </c>
      <c r="R425" s="81">
        <f>VLOOKUP(A:A,'staff sales'!C:AL,36,)</f>
        <v>0</v>
      </c>
      <c r="S425" s="81">
        <f>VLOOKUP(A:A,'staff sales'!C:AO,39,)</f>
        <v>0</v>
      </c>
      <c r="T425" s="81">
        <f>VLOOKUP(A:A,'staff sales'!C:AR,42,)</f>
        <v>0</v>
      </c>
      <c r="U425" s="81">
        <f>VLOOKUP(A:A,'staff sales'!C:AU,45,)</f>
        <v>2</v>
      </c>
      <c r="V425" s="81">
        <f>VLOOKUP(A:A,'staff sales'!C:AX,48,)</f>
        <v>0</v>
      </c>
      <c r="W425" s="81">
        <f>VLOOKUP(A:A,'staff sales'!C:BA,51,)</f>
        <v>3</v>
      </c>
    </row>
    <row r="426" spans="1:23" x14ac:dyDescent="0.25">
      <c r="A426" s="16">
        <v>1028815189</v>
      </c>
      <c r="B426" s="17" t="s">
        <v>612</v>
      </c>
      <c r="C426" s="18" t="s">
        <v>546</v>
      </c>
      <c r="D426" s="18" t="s">
        <v>546</v>
      </c>
      <c r="E426" s="18" t="s">
        <v>298</v>
      </c>
      <c r="F426" s="18" t="s">
        <v>298</v>
      </c>
      <c r="G426" s="18" t="s">
        <v>1218</v>
      </c>
      <c r="H426" s="18" t="s">
        <v>221</v>
      </c>
      <c r="I426" s="19" t="s">
        <v>605</v>
      </c>
      <c r="J426" s="18">
        <v>13014</v>
      </c>
      <c r="K426" s="80">
        <f>VLOOKUP(A:A,'staff sales'!C:Q,15,)</f>
        <v>46446.979999999996</v>
      </c>
      <c r="L426" s="81">
        <f>VLOOKUP(A:A,'staff sales'!C:T,18,)</f>
        <v>3651.3</v>
      </c>
      <c r="M426" s="81">
        <f>VLOOKUP(A:A,'staff sales'!C:W,21,)</f>
        <v>4686.5200000000004</v>
      </c>
      <c r="N426" s="81">
        <f>VLOOKUP(A:A,'staff sales'!C:Z,24,)</f>
        <v>0</v>
      </c>
      <c r="O426" s="81">
        <f>VLOOKUP(A:A,'staff sales'!C:AC,27,)</f>
        <v>4</v>
      </c>
      <c r="P426" s="81">
        <f>VLOOKUP(A:A,'staff sales'!C:AF,30,)</f>
        <v>1</v>
      </c>
      <c r="Q426" s="81">
        <f>VLOOKUP(A:A,'staff sales'!C:AI,33,)</f>
        <v>62</v>
      </c>
      <c r="R426" s="81">
        <f>VLOOKUP(A:A,'staff sales'!C:AL,36,)</f>
        <v>5</v>
      </c>
      <c r="S426" s="81">
        <f>VLOOKUP(A:A,'staff sales'!C:AO,39,)</f>
        <v>2</v>
      </c>
      <c r="T426" s="81">
        <f>VLOOKUP(A:A,'staff sales'!C:AR,42,)</f>
        <v>1</v>
      </c>
      <c r="U426" s="81">
        <f>VLOOKUP(A:A,'staff sales'!C:AU,45,)</f>
        <v>2</v>
      </c>
      <c r="V426" s="81">
        <f>VLOOKUP(A:A,'staff sales'!C:AX,48,)</f>
        <v>0</v>
      </c>
      <c r="W426" s="81">
        <f>VLOOKUP(A:A,'staff sales'!C:BA,51,)</f>
        <v>1</v>
      </c>
    </row>
    <row r="427" spans="1:23" x14ac:dyDescent="0.25">
      <c r="A427" s="16">
        <v>1058450527</v>
      </c>
      <c r="B427" s="17" t="s">
        <v>607</v>
      </c>
      <c r="C427" s="18" t="s">
        <v>544</v>
      </c>
      <c r="D427" s="18" t="s">
        <v>544</v>
      </c>
      <c r="E427" s="18" t="s">
        <v>289</v>
      </c>
      <c r="F427" s="18" t="s">
        <v>290</v>
      </c>
      <c r="G427" s="18" t="s">
        <v>1218</v>
      </c>
      <c r="H427" s="18" t="s">
        <v>221</v>
      </c>
      <c r="I427" s="19" t="s">
        <v>605</v>
      </c>
      <c r="J427" s="18">
        <v>13014</v>
      </c>
      <c r="K427" s="80">
        <f>VLOOKUP(A:A,'staff sales'!C:Q,15,)</f>
        <v>0</v>
      </c>
      <c r="L427" s="81">
        <f>VLOOKUP(A:A,'staff sales'!C:T,18,)</f>
        <v>0</v>
      </c>
      <c r="M427" s="81">
        <f>VLOOKUP(A:A,'staff sales'!C:W,21,)</f>
        <v>0</v>
      </c>
      <c r="N427" s="81">
        <f>VLOOKUP(A:A,'staff sales'!C:Z,24,)</f>
        <v>0</v>
      </c>
      <c r="O427" s="81">
        <f>VLOOKUP(A:A,'staff sales'!C:AC,27,)</f>
        <v>0</v>
      </c>
      <c r="P427" s="81">
        <f>VLOOKUP(A:A,'staff sales'!C:AF,30,)</f>
        <v>0</v>
      </c>
      <c r="Q427" s="81">
        <f>VLOOKUP(A:A,'staff sales'!C:AI,33,)</f>
        <v>0</v>
      </c>
      <c r="R427" s="81">
        <f>VLOOKUP(A:A,'staff sales'!C:AL,36,)</f>
        <v>0</v>
      </c>
      <c r="S427" s="81">
        <f>VLOOKUP(A:A,'staff sales'!C:AO,39,)</f>
        <v>0</v>
      </c>
      <c r="T427" s="81">
        <f>VLOOKUP(A:A,'staff sales'!C:AR,42,)</f>
        <v>0</v>
      </c>
      <c r="U427" s="81">
        <f>VLOOKUP(A:A,'staff sales'!C:AU,45,)</f>
        <v>0</v>
      </c>
      <c r="V427" s="81">
        <f>VLOOKUP(A:A,'staff sales'!C:AX,48,)</f>
        <v>0</v>
      </c>
      <c r="W427" s="81">
        <f>VLOOKUP(A:A,'staff sales'!C:BA,51,)</f>
        <v>0</v>
      </c>
    </row>
    <row r="428" spans="1:23" x14ac:dyDescent="0.25">
      <c r="A428" s="16">
        <v>1037982392</v>
      </c>
      <c r="B428" s="17" t="s">
        <v>613</v>
      </c>
      <c r="C428" s="18" t="s">
        <v>546</v>
      </c>
      <c r="D428" s="18" t="s">
        <v>546</v>
      </c>
      <c r="E428" s="18" t="s">
        <v>291</v>
      </c>
      <c r="F428" s="18" t="s">
        <v>291</v>
      </c>
      <c r="G428" s="18" t="s">
        <v>1218</v>
      </c>
      <c r="H428" s="18" t="s">
        <v>221</v>
      </c>
      <c r="I428" s="19" t="s">
        <v>605</v>
      </c>
      <c r="J428" s="18">
        <v>13014</v>
      </c>
      <c r="K428" s="80">
        <f>VLOOKUP(A:A,'staff sales'!C:Q,15,)</f>
        <v>43295.71</v>
      </c>
      <c r="L428" s="81">
        <f>VLOOKUP(A:A,'staff sales'!C:T,18,)</f>
        <v>630.4</v>
      </c>
      <c r="M428" s="81">
        <f>VLOOKUP(A:A,'staff sales'!C:W,21,)</f>
        <v>28771.770000000004</v>
      </c>
      <c r="N428" s="81">
        <f>VLOOKUP(A:A,'staff sales'!C:Z,24,)</f>
        <v>1777</v>
      </c>
      <c r="O428" s="81">
        <f>VLOOKUP(A:A,'staff sales'!C:AC,27,)</f>
        <v>15</v>
      </c>
      <c r="P428" s="81">
        <f>VLOOKUP(A:A,'staff sales'!C:AF,30,)</f>
        <v>1</v>
      </c>
      <c r="Q428" s="81">
        <f>VLOOKUP(A:A,'staff sales'!C:AI,33,)</f>
        <v>88</v>
      </c>
      <c r="R428" s="81">
        <f>VLOOKUP(A:A,'staff sales'!C:AL,36,)</f>
        <v>1</v>
      </c>
      <c r="S428" s="81">
        <f>VLOOKUP(A:A,'staff sales'!C:AO,39,)</f>
        <v>1</v>
      </c>
      <c r="T428" s="81">
        <f>VLOOKUP(A:A,'staff sales'!C:AR,42,)</f>
        <v>3</v>
      </c>
      <c r="U428" s="81">
        <f>VLOOKUP(A:A,'staff sales'!C:AU,45,)</f>
        <v>1</v>
      </c>
      <c r="V428" s="81">
        <f>VLOOKUP(A:A,'staff sales'!C:AX,48,)</f>
        <v>0</v>
      </c>
      <c r="W428" s="81">
        <f>VLOOKUP(A:A,'staff sales'!C:BA,51,)</f>
        <v>2</v>
      </c>
    </row>
    <row r="429" spans="1:23" x14ac:dyDescent="0.25">
      <c r="A429" s="16">
        <v>1053893002</v>
      </c>
      <c r="B429" s="17" t="s">
        <v>614</v>
      </c>
      <c r="C429" s="18" t="s">
        <v>546</v>
      </c>
      <c r="D429" s="18" t="s">
        <v>546</v>
      </c>
      <c r="E429" s="18" t="s">
        <v>529</v>
      </c>
      <c r="F429" s="18" t="s">
        <v>530</v>
      </c>
      <c r="G429" s="18" t="s">
        <v>1218</v>
      </c>
      <c r="H429" s="18" t="s">
        <v>221</v>
      </c>
      <c r="I429" s="19" t="s">
        <v>605</v>
      </c>
      <c r="J429" s="18">
        <v>13014</v>
      </c>
      <c r="K429" s="80">
        <f>VLOOKUP(A:A,'staff sales'!C:Q,15,)</f>
        <v>101409.64</v>
      </c>
      <c r="L429" s="81">
        <f>VLOOKUP(A:A,'staff sales'!C:T,18,)</f>
        <v>8983.0300000000007</v>
      </c>
      <c r="M429" s="81">
        <f>VLOOKUP(A:A,'staff sales'!C:W,21,)</f>
        <v>10693.029999999999</v>
      </c>
      <c r="N429" s="81">
        <f>VLOOKUP(A:A,'staff sales'!C:Z,24,)</f>
        <v>0</v>
      </c>
      <c r="O429" s="81">
        <f>VLOOKUP(A:A,'staff sales'!C:AC,27,)</f>
        <v>9</v>
      </c>
      <c r="P429" s="81">
        <f>VLOOKUP(A:A,'staff sales'!C:AF,30,)</f>
        <v>1</v>
      </c>
      <c r="Q429" s="81">
        <f>VLOOKUP(A:A,'staff sales'!C:AI,33,)</f>
        <v>29</v>
      </c>
      <c r="R429" s="81">
        <f>VLOOKUP(A:A,'staff sales'!C:AL,36,)</f>
        <v>2</v>
      </c>
      <c r="S429" s="81">
        <f>VLOOKUP(A:A,'staff sales'!C:AO,39,)</f>
        <v>0</v>
      </c>
      <c r="T429" s="81">
        <f>VLOOKUP(A:A,'staff sales'!C:AR,42,)</f>
        <v>5</v>
      </c>
      <c r="U429" s="81">
        <f>VLOOKUP(A:A,'staff sales'!C:AU,45,)</f>
        <v>6</v>
      </c>
      <c r="V429" s="81">
        <f>VLOOKUP(A:A,'staff sales'!C:AX,48,)</f>
        <v>0</v>
      </c>
      <c r="W429" s="81">
        <f>VLOOKUP(A:A,'staff sales'!C:BA,51,)</f>
        <v>0</v>
      </c>
    </row>
    <row r="430" spans="1:23" x14ac:dyDescent="0.25">
      <c r="A430" s="16">
        <v>1036431722</v>
      </c>
      <c r="B430" s="17" t="s">
        <v>609</v>
      </c>
      <c r="C430" s="18" t="s">
        <v>546</v>
      </c>
      <c r="D430" s="18" t="s">
        <v>546</v>
      </c>
      <c r="E430" s="18" t="s">
        <v>297</v>
      </c>
      <c r="F430" s="18" t="s">
        <v>297</v>
      </c>
      <c r="G430" s="18" t="s">
        <v>1218</v>
      </c>
      <c r="H430" s="18" t="s">
        <v>221</v>
      </c>
      <c r="I430" s="19" t="s">
        <v>605</v>
      </c>
      <c r="J430" s="18">
        <v>13014</v>
      </c>
      <c r="K430" s="80">
        <f>VLOOKUP(A:A,'staff sales'!C:Q,15,)</f>
        <v>28962.62</v>
      </c>
      <c r="L430" s="81">
        <f>VLOOKUP(A:A,'staff sales'!C:T,18,)</f>
        <v>0</v>
      </c>
      <c r="M430" s="81">
        <f>VLOOKUP(A:A,'staff sales'!C:W,21,)</f>
        <v>3888.69</v>
      </c>
      <c r="N430" s="81">
        <f>VLOOKUP(A:A,'staff sales'!C:Z,24,)</f>
        <v>0</v>
      </c>
      <c r="O430" s="81">
        <f>VLOOKUP(A:A,'staff sales'!C:AC,27,)</f>
        <v>4</v>
      </c>
      <c r="P430" s="81">
        <f>VLOOKUP(A:A,'staff sales'!C:AF,30,)</f>
        <v>1</v>
      </c>
      <c r="Q430" s="81">
        <f>VLOOKUP(A:A,'staff sales'!C:AI,33,)</f>
        <v>31</v>
      </c>
      <c r="R430" s="81">
        <f>VLOOKUP(A:A,'staff sales'!C:AL,36,)</f>
        <v>0</v>
      </c>
      <c r="S430" s="81">
        <f>VLOOKUP(A:A,'staff sales'!C:AO,39,)</f>
        <v>2</v>
      </c>
      <c r="T430" s="81">
        <f>VLOOKUP(A:A,'staff sales'!C:AR,42,)</f>
        <v>2</v>
      </c>
      <c r="U430" s="81">
        <f>VLOOKUP(A:A,'staff sales'!C:AU,45,)</f>
        <v>3</v>
      </c>
      <c r="V430" s="81">
        <f>VLOOKUP(A:A,'staff sales'!C:AX,48,)</f>
        <v>0</v>
      </c>
      <c r="W430" s="81">
        <f>VLOOKUP(A:A,'staff sales'!C:BA,51,)</f>
        <v>2</v>
      </c>
    </row>
    <row r="431" spans="1:23" x14ac:dyDescent="0.25">
      <c r="A431" s="16">
        <v>1061145775</v>
      </c>
      <c r="B431" s="17" t="s">
        <v>616</v>
      </c>
      <c r="C431" s="18" t="s">
        <v>546</v>
      </c>
      <c r="D431" s="18" t="s">
        <v>546</v>
      </c>
      <c r="E431" s="18" t="s">
        <v>422</v>
      </c>
      <c r="F431" s="18" t="s">
        <v>423</v>
      </c>
      <c r="G431" s="18" t="s">
        <v>1218</v>
      </c>
      <c r="H431" s="18" t="s">
        <v>221</v>
      </c>
      <c r="I431" s="19" t="s">
        <v>605</v>
      </c>
      <c r="J431" s="18">
        <v>13014</v>
      </c>
      <c r="K431" s="80">
        <f>VLOOKUP(A:A,'staff sales'!C:Q,15,)</f>
        <v>48254.820000000007</v>
      </c>
      <c r="L431" s="81">
        <f>VLOOKUP(A:A,'staff sales'!C:T,18,)</f>
        <v>0</v>
      </c>
      <c r="M431" s="81">
        <f>VLOOKUP(A:A,'staff sales'!C:W,21,)</f>
        <v>6730.8600000000006</v>
      </c>
      <c r="N431" s="81">
        <f>VLOOKUP(A:A,'staff sales'!C:Z,24,)</f>
        <v>0</v>
      </c>
      <c r="O431" s="81">
        <f>VLOOKUP(A:A,'staff sales'!C:AC,27,)</f>
        <v>6</v>
      </c>
      <c r="P431" s="81">
        <f>VLOOKUP(A:A,'staff sales'!C:AF,30,)</f>
        <v>1</v>
      </c>
      <c r="Q431" s="81">
        <f>VLOOKUP(A:A,'staff sales'!C:AI,33,)</f>
        <v>32</v>
      </c>
      <c r="R431" s="81">
        <f>VLOOKUP(A:A,'staff sales'!C:AL,36,)</f>
        <v>0</v>
      </c>
      <c r="S431" s="81">
        <f>VLOOKUP(A:A,'staff sales'!C:AO,39,)</f>
        <v>3</v>
      </c>
      <c r="T431" s="81">
        <f>VLOOKUP(A:A,'staff sales'!C:AR,42,)</f>
        <v>3</v>
      </c>
      <c r="U431" s="81">
        <f>VLOOKUP(A:A,'staff sales'!C:AU,45,)</f>
        <v>2</v>
      </c>
      <c r="V431" s="81">
        <f>VLOOKUP(A:A,'staff sales'!C:AX,48,)</f>
        <v>0</v>
      </c>
      <c r="W431" s="81">
        <f>VLOOKUP(A:A,'staff sales'!C:BA,51,)</f>
        <v>1</v>
      </c>
    </row>
    <row r="432" spans="1:23" x14ac:dyDescent="0.25">
      <c r="A432" s="16">
        <v>1005732514</v>
      </c>
      <c r="B432" s="17" t="s">
        <v>803</v>
      </c>
      <c r="C432" s="18" t="s">
        <v>541</v>
      </c>
      <c r="D432" s="18" t="s">
        <v>541</v>
      </c>
      <c r="E432" s="18" t="s">
        <v>89</v>
      </c>
      <c r="F432" s="18" t="s">
        <v>89</v>
      </c>
      <c r="G432" s="18" t="s">
        <v>1218</v>
      </c>
      <c r="H432" s="18" t="s">
        <v>221</v>
      </c>
      <c r="I432" s="19" t="s">
        <v>528</v>
      </c>
      <c r="J432" s="18">
        <v>13016</v>
      </c>
      <c r="K432" s="80">
        <f>VLOOKUP(A:A,'staff sales'!C:Q,15,)</f>
        <v>0</v>
      </c>
      <c r="L432" s="81">
        <f>VLOOKUP(A:A,'staff sales'!C:T,18,)</f>
        <v>0</v>
      </c>
      <c r="M432" s="81">
        <f>VLOOKUP(A:A,'staff sales'!C:W,21,)</f>
        <v>0</v>
      </c>
      <c r="N432" s="81">
        <f>VLOOKUP(A:A,'staff sales'!C:Z,24,)</f>
        <v>0</v>
      </c>
      <c r="O432" s="81">
        <f>VLOOKUP(A:A,'staff sales'!C:AC,27,)</f>
        <v>0</v>
      </c>
      <c r="P432" s="81">
        <f>VLOOKUP(A:A,'staff sales'!C:AF,30,)</f>
        <v>0</v>
      </c>
      <c r="Q432" s="81">
        <f>VLOOKUP(A:A,'staff sales'!C:AI,33,)</f>
        <v>0</v>
      </c>
      <c r="R432" s="81">
        <f>VLOOKUP(A:A,'staff sales'!C:AL,36,)</f>
        <v>0</v>
      </c>
      <c r="S432" s="81">
        <f>VLOOKUP(A:A,'staff sales'!C:AO,39,)</f>
        <v>0</v>
      </c>
      <c r="T432" s="81">
        <f>VLOOKUP(A:A,'staff sales'!C:AR,42,)</f>
        <v>0</v>
      </c>
      <c r="U432" s="81">
        <f>VLOOKUP(A:A,'staff sales'!C:AU,45,)</f>
        <v>0</v>
      </c>
      <c r="V432" s="81">
        <f>VLOOKUP(A:A,'staff sales'!C:AX,48,)</f>
        <v>0</v>
      </c>
      <c r="W432" s="81">
        <f>VLOOKUP(A:A,'staff sales'!C:BA,51,)</f>
        <v>0</v>
      </c>
    </row>
    <row r="433" spans="1:23" x14ac:dyDescent="0.25">
      <c r="A433" s="16">
        <v>1020043509</v>
      </c>
      <c r="B433" s="17" t="s">
        <v>617</v>
      </c>
      <c r="C433" s="18" t="s">
        <v>544</v>
      </c>
      <c r="D433" s="18" t="s">
        <v>544</v>
      </c>
      <c r="E433" s="18" t="s">
        <v>236</v>
      </c>
      <c r="F433" s="18" t="s">
        <v>236</v>
      </c>
      <c r="G433" s="18" t="s">
        <v>1218</v>
      </c>
      <c r="H433" s="18" t="s">
        <v>221</v>
      </c>
      <c r="I433" s="19" t="s">
        <v>528</v>
      </c>
      <c r="J433" s="18">
        <v>13016</v>
      </c>
      <c r="K433" s="80">
        <f>VLOOKUP(A:A,'staff sales'!C:Q,15,)</f>
        <v>0</v>
      </c>
      <c r="L433" s="81">
        <f>VLOOKUP(A:A,'staff sales'!C:T,18,)</f>
        <v>0</v>
      </c>
      <c r="M433" s="81">
        <f>VLOOKUP(A:A,'staff sales'!C:W,21,)</f>
        <v>0</v>
      </c>
      <c r="N433" s="81">
        <f>VLOOKUP(A:A,'staff sales'!C:Z,24,)</f>
        <v>0</v>
      </c>
      <c r="O433" s="81">
        <f>VLOOKUP(A:A,'staff sales'!C:AC,27,)</f>
        <v>0</v>
      </c>
      <c r="P433" s="81">
        <f>VLOOKUP(A:A,'staff sales'!C:AF,30,)</f>
        <v>0</v>
      </c>
      <c r="Q433" s="81">
        <f>VLOOKUP(A:A,'staff sales'!C:AI,33,)</f>
        <v>0</v>
      </c>
      <c r="R433" s="81">
        <f>VLOOKUP(A:A,'staff sales'!C:AL,36,)</f>
        <v>0</v>
      </c>
      <c r="S433" s="81">
        <f>VLOOKUP(A:A,'staff sales'!C:AO,39,)</f>
        <v>0</v>
      </c>
      <c r="T433" s="81">
        <f>VLOOKUP(A:A,'staff sales'!C:AR,42,)</f>
        <v>0</v>
      </c>
      <c r="U433" s="81">
        <f>VLOOKUP(A:A,'staff sales'!C:AU,45,)</f>
        <v>0</v>
      </c>
      <c r="V433" s="81">
        <f>VLOOKUP(A:A,'staff sales'!C:AX,48,)</f>
        <v>0</v>
      </c>
      <c r="W433" s="81">
        <f>VLOOKUP(A:A,'staff sales'!C:BA,51,)</f>
        <v>0</v>
      </c>
    </row>
    <row r="434" spans="1:23" x14ac:dyDescent="0.25">
      <c r="A434" s="16">
        <v>1082871888</v>
      </c>
      <c r="B434" s="17" t="s">
        <v>592</v>
      </c>
      <c r="C434" s="18" t="s">
        <v>546</v>
      </c>
      <c r="D434" s="18" t="s">
        <v>546</v>
      </c>
      <c r="E434" s="18" t="s">
        <v>276</v>
      </c>
      <c r="F434" s="18" t="s">
        <v>276</v>
      </c>
      <c r="G434" s="18" t="s">
        <v>1218</v>
      </c>
      <c r="H434" s="18" t="s">
        <v>221</v>
      </c>
      <c r="I434" s="19" t="s">
        <v>528</v>
      </c>
      <c r="J434" s="18">
        <v>13016</v>
      </c>
      <c r="K434" s="80">
        <f>VLOOKUP(A:A,'staff sales'!C:Q,15,)</f>
        <v>156785.31</v>
      </c>
      <c r="L434" s="81">
        <f>VLOOKUP(A:A,'staff sales'!C:T,18,)</f>
        <v>3071.73</v>
      </c>
      <c r="M434" s="81">
        <f>VLOOKUP(A:A,'staff sales'!C:W,21,)</f>
        <v>34644.69999999999</v>
      </c>
      <c r="N434" s="81">
        <f>VLOOKUP(A:A,'staff sales'!C:Z,24,)</f>
        <v>0</v>
      </c>
      <c r="O434" s="81">
        <f>VLOOKUP(A:A,'staff sales'!C:AC,27,)</f>
        <v>4</v>
      </c>
      <c r="P434" s="81">
        <f>VLOOKUP(A:A,'staff sales'!C:AF,30,)</f>
        <v>2</v>
      </c>
      <c r="Q434" s="81">
        <f>VLOOKUP(A:A,'staff sales'!C:AI,33,)</f>
        <v>5</v>
      </c>
      <c r="R434" s="81">
        <f>VLOOKUP(A:A,'staff sales'!C:AL,36,)</f>
        <v>1</v>
      </c>
      <c r="S434" s="81">
        <f>VLOOKUP(A:A,'staff sales'!C:AO,39,)</f>
        <v>0</v>
      </c>
      <c r="T434" s="81">
        <f>VLOOKUP(A:A,'staff sales'!C:AR,42,)</f>
        <v>7</v>
      </c>
      <c r="U434" s="81">
        <f>VLOOKUP(A:A,'staff sales'!C:AU,45,)</f>
        <v>2</v>
      </c>
      <c r="V434" s="81">
        <f>VLOOKUP(A:A,'staff sales'!C:AX,48,)</f>
        <v>0</v>
      </c>
      <c r="W434" s="81">
        <f>VLOOKUP(A:A,'staff sales'!C:BA,51,)</f>
        <v>17</v>
      </c>
    </row>
    <row r="435" spans="1:23" x14ac:dyDescent="0.25">
      <c r="A435" s="16">
        <v>1053396931</v>
      </c>
      <c r="B435" s="17" t="s">
        <v>622</v>
      </c>
      <c r="C435" s="18" t="s">
        <v>546</v>
      </c>
      <c r="D435" s="18" t="s">
        <v>546</v>
      </c>
      <c r="E435" s="18" t="s">
        <v>312</v>
      </c>
      <c r="F435" s="18" t="s">
        <v>312</v>
      </c>
      <c r="G435" s="18" t="s">
        <v>1218</v>
      </c>
      <c r="H435" s="18" t="s">
        <v>221</v>
      </c>
      <c r="I435" s="19" t="s">
        <v>528</v>
      </c>
      <c r="J435" s="18">
        <v>13016</v>
      </c>
      <c r="K435" s="80">
        <f>VLOOKUP(A:A,'staff sales'!C:Q,15,)</f>
        <v>81140.02</v>
      </c>
      <c r="L435" s="81">
        <f>VLOOKUP(A:A,'staff sales'!C:T,18,)</f>
        <v>10346.09</v>
      </c>
      <c r="M435" s="81">
        <f>VLOOKUP(A:A,'staff sales'!C:W,21,)</f>
        <v>13014.349999999999</v>
      </c>
      <c r="N435" s="81">
        <f>VLOOKUP(A:A,'staff sales'!C:Z,24,)</f>
        <v>350</v>
      </c>
      <c r="O435" s="81">
        <f>VLOOKUP(A:A,'staff sales'!C:AC,27,)</f>
        <v>27</v>
      </c>
      <c r="P435" s="81">
        <f>VLOOKUP(A:A,'staff sales'!C:AF,30,)</f>
        <v>5</v>
      </c>
      <c r="Q435" s="81">
        <f>VLOOKUP(A:A,'staff sales'!C:AI,33,)</f>
        <v>86</v>
      </c>
      <c r="R435" s="81">
        <f>VLOOKUP(A:A,'staff sales'!C:AL,36,)</f>
        <v>2</v>
      </c>
      <c r="S435" s="81">
        <f>VLOOKUP(A:A,'staff sales'!C:AO,39,)</f>
        <v>2</v>
      </c>
      <c r="T435" s="81">
        <f>VLOOKUP(A:A,'staff sales'!C:AR,42,)</f>
        <v>5</v>
      </c>
      <c r="U435" s="81">
        <f>VLOOKUP(A:A,'staff sales'!C:AU,45,)</f>
        <v>6</v>
      </c>
      <c r="V435" s="81">
        <f>VLOOKUP(A:A,'staff sales'!C:AX,48,)</f>
        <v>0</v>
      </c>
      <c r="W435" s="81">
        <f>VLOOKUP(A:A,'staff sales'!C:BA,51,)</f>
        <v>4</v>
      </c>
    </row>
    <row r="436" spans="1:23" x14ac:dyDescent="0.25">
      <c r="A436" s="16">
        <v>1049619107</v>
      </c>
      <c r="B436" s="17" t="s">
        <v>625</v>
      </c>
      <c r="C436" s="18" t="s">
        <v>546</v>
      </c>
      <c r="D436" s="18" t="s">
        <v>546</v>
      </c>
      <c r="E436" s="18" t="s">
        <v>309</v>
      </c>
      <c r="F436" s="18" t="s">
        <v>309</v>
      </c>
      <c r="G436" s="18" t="s">
        <v>1218</v>
      </c>
      <c r="H436" s="18" t="s">
        <v>221</v>
      </c>
      <c r="I436" s="19" t="s">
        <v>528</v>
      </c>
      <c r="J436" s="18">
        <v>13016</v>
      </c>
      <c r="K436" s="80">
        <f>VLOOKUP(A:A,'staff sales'!C:Q,15,)</f>
        <v>125368.94999999998</v>
      </c>
      <c r="L436" s="81">
        <f>VLOOKUP(A:A,'staff sales'!C:T,18,)</f>
        <v>3803.18</v>
      </c>
      <c r="M436" s="81">
        <f>VLOOKUP(A:A,'staff sales'!C:W,21,)</f>
        <v>19601.349999999999</v>
      </c>
      <c r="N436" s="81">
        <f>VLOOKUP(A:A,'staff sales'!C:Z,24,)</f>
        <v>0</v>
      </c>
      <c r="O436" s="81">
        <f>VLOOKUP(A:A,'staff sales'!C:AC,27,)</f>
        <v>9</v>
      </c>
      <c r="P436" s="81">
        <f>VLOOKUP(A:A,'staff sales'!C:AF,30,)</f>
        <v>1</v>
      </c>
      <c r="Q436" s="81">
        <f>VLOOKUP(A:A,'staff sales'!C:AI,33,)</f>
        <v>43</v>
      </c>
      <c r="R436" s="81">
        <f>VLOOKUP(A:A,'staff sales'!C:AL,36,)</f>
        <v>1</v>
      </c>
      <c r="S436" s="81">
        <f>VLOOKUP(A:A,'staff sales'!C:AO,39,)</f>
        <v>0</v>
      </c>
      <c r="T436" s="81">
        <f>VLOOKUP(A:A,'staff sales'!C:AR,42,)</f>
        <v>5</v>
      </c>
      <c r="U436" s="81">
        <f>VLOOKUP(A:A,'staff sales'!C:AU,45,)</f>
        <v>4</v>
      </c>
      <c r="V436" s="81">
        <f>VLOOKUP(A:A,'staff sales'!C:AX,48,)</f>
        <v>0</v>
      </c>
      <c r="W436" s="81">
        <f>VLOOKUP(A:A,'staff sales'!C:BA,51,)</f>
        <v>4</v>
      </c>
    </row>
    <row r="437" spans="1:23" x14ac:dyDescent="0.25">
      <c r="A437" s="16">
        <v>1002668026</v>
      </c>
      <c r="B437" s="17" t="s">
        <v>620</v>
      </c>
      <c r="C437" s="18" t="s">
        <v>546</v>
      </c>
      <c r="D437" s="18" t="s">
        <v>546</v>
      </c>
      <c r="E437" s="18" t="s">
        <v>235</v>
      </c>
      <c r="F437" s="18" t="s">
        <v>235</v>
      </c>
      <c r="G437" s="18" t="s">
        <v>1218</v>
      </c>
      <c r="H437" s="18" t="s">
        <v>221</v>
      </c>
      <c r="I437" s="19" t="s">
        <v>528</v>
      </c>
      <c r="J437" s="18">
        <v>13016</v>
      </c>
      <c r="K437" s="80">
        <f>VLOOKUP(A:A,'staff sales'!C:Q,15,)</f>
        <v>57678.270000000004</v>
      </c>
      <c r="L437" s="81">
        <f>VLOOKUP(A:A,'staff sales'!C:T,18,)</f>
        <v>0</v>
      </c>
      <c r="M437" s="81">
        <f>VLOOKUP(A:A,'staff sales'!C:W,21,)</f>
        <v>2905.2200000000003</v>
      </c>
      <c r="N437" s="81">
        <f>VLOOKUP(A:A,'staff sales'!C:Z,24,)</f>
        <v>0</v>
      </c>
      <c r="O437" s="81">
        <f>VLOOKUP(A:A,'staff sales'!C:AC,27,)</f>
        <v>15</v>
      </c>
      <c r="P437" s="81">
        <f>VLOOKUP(A:A,'staff sales'!C:AF,30,)</f>
        <v>1</v>
      </c>
      <c r="Q437" s="81">
        <f>VLOOKUP(A:A,'staff sales'!C:AI,33,)</f>
        <v>26</v>
      </c>
      <c r="R437" s="81">
        <f>VLOOKUP(A:A,'staff sales'!C:AL,36,)</f>
        <v>1</v>
      </c>
      <c r="S437" s="81">
        <f>VLOOKUP(A:A,'staff sales'!C:AO,39,)</f>
        <v>0</v>
      </c>
      <c r="T437" s="81">
        <f>VLOOKUP(A:A,'staff sales'!C:AR,42,)</f>
        <v>2</v>
      </c>
      <c r="U437" s="81">
        <f>VLOOKUP(A:A,'staff sales'!C:AU,45,)</f>
        <v>0</v>
      </c>
      <c r="V437" s="81">
        <f>VLOOKUP(A:A,'staff sales'!C:AX,48,)</f>
        <v>0</v>
      </c>
      <c r="W437" s="81">
        <f>VLOOKUP(A:A,'staff sales'!C:BA,51,)</f>
        <v>1</v>
      </c>
    </row>
    <row r="438" spans="1:23" x14ac:dyDescent="0.25">
      <c r="A438" s="16">
        <v>1049816349</v>
      </c>
      <c r="B438" s="17" t="s">
        <v>591</v>
      </c>
      <c r="C438" s="18" t="s">
        <v>544</v>
      </c>
      <c r="D438" s="18" t="s">
        <v>544</v>
      </c>
      <c r="E438" s="18" t="s">
        <v>273</v>
      </c>
      <c r="F438" s="18" t="s">
        <v>274</v>
      </c>
      <c r="G438" s="18" t="s">
        <v>1218</v>
      </c>
      <c r="H438" s="18" t="s">
        <v>221</v>
      </c>
      <c r="I438" s="19" t="s">
        <v>528</v>
      </c>
      <c r="J438" s="18">
        <v>13016</v>
      </c>
      <c r="K438" s="80">
        <f>VLOOKUP(A:A,'staff sales'!C:Q,15,)</f>
        <v>0</v>
      </c>
      <c r="L438" s="81">
        <f>VLOOKUP(A:A,'staff sales'!C:T,18,)</f>
        <v>0</v>
      </c>
      <c r="M438" s="81">
        <f>VLOOKUP(A:A,'staff sales'!C:W,21,)</f>
        <v>0</v>
      </c>
      <c r="N438" s="81">
        <f>VLOOKUP(A:A,'staff sales'!C:Z,24,)</f>
        <v>0</v>
      </c>
      <c r="O438" s="81">
        <f>VLOOKUP(A:A,'staff sales'!C:AC,27,)</f>
        <v>0</v>
      </c>
      <c r="P438" s="81">
        <f>VLOOKUP(A:A,'staff sales'!C:AF,30,)</f>
        <v>0</v>
      </c>
      <c r="Q438" s="81">
        <f>VLOOKUP(A:A,'staff sales'!C:AI,33,)</f>
        <v>0</v>
      </c>
      <c r="R438" s="81">
        <f>VLOOKUP(A:A,'staff sales'!C:AL,36,)</f>
        <v>0</v>
      </c>
      <c r="S438" s="81">
        <f>VLOOKUP(A:A,'staff sales'!C:AO,39,)</f>
        <v>1</v>
      </c>
      <c r="T438" s="81">
        <f>VLOOKUP(A:A,'staff sales'!C:AR,42,)</f>
        <v>0</v>
      </c>
      <c r="U438" s="81">
        <f>VLOOKUP(A:A,'staff sales'!C:AU,45,)</f>
        <v>0</v>
      </c>
      <c r="V438" s="81">
        <f>VLOOKUP(A:A,'staff sales'!C:AX,48,)</f>
        <v>0</v>
      </c>
      <c r="W438" s="81">
        <f>VLOOKUP(A:A,'staff sales'!C:BA,51,)</f>
        <v>0</v>
      </c>
    </row>
    <row r="439" spans="1:23" x14ac:dyDescent="0.25">
      <c r="A439" s="16">
        <v>1064784570</v>
      </c>
      <c r="B439" s="17" t="s">
        <v>624</v>
      </c>
      <c r="C439" s="18" t="s">
        <v>546</v>
      </c>
      <c r="D439" s="18" t="s">
        <v>546</v>
      </c>
      <c r="E439" s="18" t="s">
        <v>399</v>
      </c>
      <c r="F439" s="18" t="s">
        <v>399</v>
      </c>
      <c r="G439" s="18" t="s">
        <v>1218</v>
      </c>
      <c r="H439" s="18" t="s">
        <v>221</v>
      </c>
      <c r="I439" s="19" t="s">
        <v>528</v>
      </c>
      <c r="J439" s="18">
        <v>13016</v>
      </c>
      <c r="K439" s="80">
        <f>VLOOKUP(A:A,'staff sales'!C:Q,15,)</f>
        <v>62323.490000000005</v>
      </c>
      <c r="L439" s="81">
        <f>VLOOKUP(A:A,'staff sales'!C:T,18,)</f>
        <v>0</v>
      </c>
      <c r="M439" s="81">
        <f>VLOOKUP(A:A,'staff sales'!C:W,21,)</f>
        <v>3909.54</v>
      </c>
      <c r="N439" s="81">
        <f>VLOOKUP(A:A,'staff sales'!C:Z,24,)</f>
        <v>0</v>
      </c>
      <c r="O439" s="81">
        <f>VLOOKUP(A:A,'staff sales'!C:AC,27,)</f>
        <v>11</v>
      </c>
      <c r="P439" s="81">
        <f>VLOOKUP(A:A,'staff sales'!C:AF,30,)</f>
        <v>6</v>
      </c>
      <c r="Q439" s="81">
        <f>VLOOKUP(A:A,'staff sales'!C:AI,33,)</f>
        <v>31</v>
      </c>
      <c r="R439" s="81">
        <f>VLOOKUP(A:A,'staff sales'!C:AL,36,)</f>
        <v>2</v>
      </c>
      <c r="S439" s="81">
        <f>VLOOKUP(A:A,'staff sales'!C:AO,39,)</f>
        <v>0</v>
      </c>
      <c r="T439" s="81">
        <f>VLOOKUP(A:A,'staff sales'!C:AR,42,)</f>
        <v>0</v>
      </c>
      <c r="U439" s="81">
        <f>VLOOKUP(A:A,'staff sales'!C:AU,45,)</f>
        <v>13</v>
      </c>
      <c r="V439" s="81">
        <f>VLOOKUP(A:A,'staff sales'!C:AX,48,)</f>
        <v>0</v>
      </c>
      <c r="W439" s="81">
        <f>VLOOKUP(A:A,'staff sales'!C:BA,51,)</f>
        <v>2</v>
      </c>
    </row>
    <row r="440" spans="1:23" x14ac:dyDescent="0.25">
      <c r="A440" s="16">
        <v>1074663806</v>
      </c>
      <c r="B440" s="17" t="s">
        <v>615</v>
      </c>
      <c r="C440" s="18" t="s">
        <v>546</v>
      </c>
      <c r="D440" s="18" t="s">
        <v>546</v>
      </c>
      <c r="E440" s="18" t="s">
        <v>420</v>
      </c>
      <c r="F440" s="18" t="s">
        <v>421</v>
      </c>
      <c r="G440" s="18" t="s">
        <v>1218</v>
      </c>
      <c r="H440" s="18" t="s">
        <v>221</v>
      </c>
      <c r="I440" s="19" t="s">
        <v>528</v>
      </c>
      <c r="J440" s="18">
        <v>13016</v>
      </c>
      <c r="K440" s="80">
        <f>VLOOKUP(A:A,'staff sales'!C:Q,15,)</f>
        <v>120737.43999999999</v>
      </c>
      <c r="L440" s="81">
        <f>VLOOKUP(A:A,'staff sales'!C:T,18,)</f>
        <v>0</v>
      </c>
      <c r="M440" s="81">
        <f>VLOOKUP(A:A,'staff sales'!C:W,21,)</f>
        <v>14365.629999999997</v>
      </c>
      <c r="N440" s="81">
        <f>VLOOKUP(A:A,'staff sales'!C:Z,24,)</f>
        <v>0</v>
      </c>
      <c r="O440" s="81">
        <f>VLOOKUP(A:A,'staff sales'!C:AC,27,)</f>
        <v>2</v>
      </c>
      <c r="P440" s="81">
        <f>VLOOKUP(A:A,'staff sales'!C:AF,30,)</f>
        <v>0</v>
      </c>
      <c r="Q440" s="81">
        <f>VLOOKUP(A:A,'staff sales'!C:AI,33,)</f>
        <v>14</v>
      </c>
      <c r="R440" s="81">
        <f>VLOOKUP(A:A,'staff sales'!C:AL,36,)</f>
        <v>1</v>
      </c>
      <c r="S440" s="81">
        <f>VLOOKUP(A:A,'staff sales'!C:AO,39,)</f>
        <v>0</v>
      </c>
      <c r="T440" s="81">
        <f>VLOOKUP(A:A,'staff sales'!C:AR,42,)</f>
        <v>1</v>
      </c>
      <c r="U440" s="81">
        <f>VLOOKUP(A:A,'staff sales'!C:AU,45,)</f>
        <v>2</v>
      </c>
      <c r="V440" s="81">
        <f>VLOOKUP(A:A,'staff sales'!C:AX,48,)</f>
        <v>0</v>
      </c>
      <c r="W440" s="81">
        <f>VLOOKUP(A:A,'staff sales'!C:BA,51,)</f>
        <v>2</v>
      </c>
    </row>
    <row r="441" spans="1:23" x14ac:dyDescent="0.25">
      <c r="A441" s="16">
        <v>1093770830</v>
      </c>
      <c r="B441" s="17" t="s">
        <v>618</v>
      </c>
      <c r="C441" s="18" t="s">
        <v>546</v>
      </c>
      <c r="D441" s="18" t="s">
        <v>546</v>
      </c>
      <c r="E441" s="18" t="s">
        <v>398</v>
      </c>
      <c r="F441" s="18" t="s">
        <v>398</v>
      </c>
      <c r="G441" s="18" t="s">
        <v>1218</v>
      </c>
      <c r="H441" s="18" t="s">
        <v>221</v>
      </c>
      <c r="I441" s="19" t="s">
        <v>528</v>
      </c>
      <c r="J441" s="18">
        <v>13016</v>
      </c>
      <c r="K441" s="80">
        <f>VLOOKUP(A:A,'staff sales'!C:Q,15,)</f>
        <v>35020.89</v>
      </c>
      <c r="L441" s="81">
        <f>VLOOKUP(A:A,'staff sales'!C:T,18,)</f>
        <v>7324.32</v>
      </c>
      <c r="M441" s="81">
        <f>VLOOKUP(A:A,'staff sales'!C:W,21,)</f>
        <v>1309.56</v>
      </c>
      <c r="N441" s="81">
        <f>VLOOKUP(A:A,'staff sales'!C:Z,24,)</f>
        <v>0</v>
      </c>
      <c r="O441" s="81">
        <f>VLOOKUP(A:A,'staff sales'!C:AC,27,)</f>
        <v>4</v>
      </c>
      <c r="P441" s="81">
        <f>VLOOKUP(A:A,'staff sales'!C:AF,30,)</f>
        <v>0</v>
      </c>
      <c r="Q441" s="81">
        <f>VLOOKUP(A:A,'staff sales'!C:AI,33,)</f>
        <v>26</v>
      </c>
      <c r="R441" s="81">
        <f>VLOOKUP(A:A,'staff sales'!C:AL,36,)</f>
        <v>0</v>
      </c>
      <c r="S441" s="81">
        <f>VLOOKUP(A:A,'staff sales'!C:AO,39,)</f>
        <v>0</v>
      </c>
      <c r="T441" s="81">
        <f>VLOOKUP(A:A,'staff sales'!C:AR,42,)</f>
        <v>0</v>
      </c>
      <c r="U441" s="81">
        <f>VLOOKUP(A:A,'staff sales'!C:AU,45,)</f>
        <v>4</v>
      </c>
      <c r="V441" s="81">
        <f>VLOOKUP(A:A,'staff sales'!C:AX,48,)</f>
        <v>0</v>
      </c>
      <c r="W441" s="81">
        <f>VLOOKUP(A:A,'staff sales'!C:BA,51,)</f>
        <v>1</v>
      </c>
    </row>
    <row r="442" spans="1:23" x14ac:dyDescent="0.25">
      <c r="A442" s="16">
        <v>1033108224</v>
      </c>
      <c r="B442" s="17" t="s">
        <v>619</v>
      </c>
      <c r="C442" s="18" t="s">
        <v>546</v>
      </c>
      <c r="D442" s="18" t="s">
        <v>546</v>
      </c>
      <c r="E442" s="18" t="s">
        <v>275</v>
      </c>
      <c r="F442" s="18" t="s">
        <v>275</v>
      </c>
      <c r="G442" s="18" t="s">
        <v>1218</v>
      </c>
      <c r="H442" s="18" t="s">
        <v>221</v>
      </c>
      <c r="I442" s="19" t="s">
        <v>528</v>
      </c>
      <c r="J442" s="18">
        <v>13016</v>
      </c>
      <c r="K442" s="80">
        <f>VLOOKUP(A:A,'staff sales'!C:Q,15,)</f>
        <v>115742.63</v>
      </c>
      <c r="L442" s="81">
        <f>VLOOKUP(A:A,'staff sales'!C:T,18,)</f>
        <v>3042.61</v>
      </c>
      <c r="M442" s="81">
        <f>VLOOKUP(A:A,'staff sales'!C:W,21,)</f>
        <v>17884.77</v>
      </c>
      <c r="N442" s="81">
        <f>VLOOKUP(A:A,'staff sales'!C:Z,24,)</f>
        <v>0</v>
      </c>
      <c r="O442" s="81">
        <f>VLOOKUP(A:A,'staff sales'!C:AC,27,)</f>
        <v>9</v>
      </c>
      <c r="P442" s="81">
        <f>VLOOKUP(A:A,'staff sales'!C:AF,30,)</f>
        <v>0</v>
      </c>
      <c r="Q442" s="81">
        <f>VLOOKUP(A:A,'staff sales'!C:AI,33,)</f>
        <v>38</v>
      </c>
      <c r="R442" s="81">
        <f>VLOOKUP(A:A,'staff sales'!C:AL,36,)</f>
        <v>0</v>
      </c>
      <c r="S442" s="81">
        <f>VLOOKUP(A:A,'staff sales'!C:AO,39,)</f>
        <v>0</v>
      </c>
      <c r="T442" s="81">
        <f>VLOOKUP(A:A,'staff sales'!C:AR,42,)</f>
        <v>5</v>
      </c>
      <c r="U442" s="81">
        <f>VLOOKUP(A:A,'staff sales'!C:AU,45,)</f>
        <v>4</v>
      </c>
      <c r="V442" s="81">
        <f>VLOOKUP(A:A,'staff sales'!C:AX,48,)</f>
        <v>0</v>
      </c>
      <c r="W442" s="81">
        <f>VLOOKUP(A:A,'staff sales'!C:BA,51,)</f>
        <v>8</v>
      </c>
    </row>
    <row r="443" spans="1:23" x14ac:dyDescent="0.25">
      <c r="A443" s="16">
        <v>1006984684</v>
      </c>
      <c r="B443" s="17" t="s">
        <v>669</v>
      </c>
      <c r="C443" s="18" t="s">
        <v>541</v>
      </c>
      <c r="D443" s="18" t="s">
        <v>541</v>
      </c>
      <c r="E443" s="18" t="s">
        <v>165</v>
      </c>
      <c r="F443" s="18" t="s">
        <v>165</v>
      </c>
      <c r="G443" s="18" t="s">
        <v>1218</v>
      </c>
      <c r="H443" s="18" t="s">
        <v>221</v>
      </c>
      <c r="I443" s="19" t="s">
        <v>307</v>
      </c>
      <c r="J443" s="18">
        <v>13012</v>
      </c>
      <c r="K443" s="80">
        <f>VLOOKUP(A:A,'staff sales'!C:Q,15,)</f>
        <v>0</v>
      </c>
      <c r="L443" s="81">
        <f>VLOOKUP(A:A,'staff sales'!C:T,18,)</f>
        <v>0</v>
      </c>
      <c r="M443" s="81">
        <f>VLOOKUP(A:A,'staff sales'!C:W,21,)</f>
        <v>0</v>
      </c>
      <c r="N443" s="81">
        <f>VLOOKUP(A:A,'staff sales'!C:Z,24,)</f>
        <v>0</v>
      </c>
      <c r="O443" s="81">
        <f>VLOOKUP(A:A,'staff sales'!C:AC,27,)</f>
        <v>1</v>
      </c>
      <c r="P443" s="81">
        <f>VLOOKUP(A:A,'staff sales'!C:AF,30,)</f>
        <v>0</v>
      </c>
      <c r="Q443" s="81">
        <f>VLOOKUP(A:A,'staff sales'!C:AI,33,)</f>
        <v>16</v>
      </c>
      <c r="R443" s="81">
        <f>VLOOKUP(A:A,'staff sales'!C:AL,36,)</f>
        <v>0</v>
      </c>
      <c r="S443" s="81">
        <f>VLOOKUP(A:A,'staff sales'!C:AO,39,)</f>
        <v>0</v>
      </c>
      <c r="T443" s="81">
        <f>VLOOKUP(A:A,'staff sales'!C:AR,42,)</f>
        <v>0</v>
      </c>
      <c r="U443" s="81">
        <f>VLOOKUP(A:A,'staff sales'!C:AU,45,)</f>
        <v>2</v>
      </c>
      <c r="V443" s="81">
        <f>VLOOKUP(A:A,'staff sales'!C:AX,48,)</f>
        <v>0</v>
      </c>
      <c r="W443" s="81">
        <f>VLOOKUP(A:A,'staff sales'!C:BA,51,)</f>
        <v>0</v>
      </c>
    </row>
    <row r="444" spans="1:23" x14ac:dyDescent="0.25">
      <c r="A444" s="16">
        <v>1075861979</v>
      </c>
      <c r="B444" s="17" t="s">
        <v>766</v>
      </c>
      <c r="C444" s="18" t="s">
        <v>546</v>
      </c>
      <c r="D444" s="18" t="s">
        <v>546</v>
      </c>
      <c r="E444" s="18" t="s">
        <v>62</v>
      </c>
      <c r="F444" s="18" t="s">
        <v>62</v>
      </c>
      <c r="G444" s="18" t="s">
        <v>1218</v>
      </c>
      <c r="H444" s="18" t="s">
        <v>221</v>
      </c>
      <c r="I444" s="19" t="s">
        <v>307</v>
      </c>
      <c r="J444" s="18">
        <v>13012</v>
      </c>
      <c r="K444" s="80">
        <f>VLOOKUP(A:A,'staff sales'!C:Q,15,)</f>
        <v>99059.19</v>
      </c>
      <c r="L444" s="81">
        <f>VLOOKUP(A:A,'staff sales'!C:T,18,)</f>
        <v>3216.52</v>
      </c>
      <c r="M444" s="81">
        <f>VLOOKUP(A:A,'staff sales'!C:W,21,)</f>
        <v>32597.27</v>
      </c>
      <c r="N444" s="81">
        <f>VLOOKUP(A:A,'staff sales'!C:Z,24,)</f>
        <v>0</v>
      </c>
      <c r="O444" s="81">
        <f>VLOOKUP(A:A,'staff sales'!C:AC,27,)</f>
        <v>11</v>
      </c>
      <c r="P444" s="81">
        <f>VLOOKUP(A:A,'staff sales'!C:AF,30,)</f>
        <v>1</v>
      </c>
      <c r="Q444" s="81">
        <f>VLOOKUP(A:A,'staff sales'!C:AI,33,)</f>
        <v>99</v>
      </c>
      <c r="R444" s="81">
        <f>VLOOKUP(A:A,'staff sales'!C:AL,36,)</f>
        <v>1</v>
      </c>
      <c r="S444" s="81">
        <f>VLOOKUP(A:A,'staff sales'!C:AO,39,)</f>
        <v>4</v>
      </c>
      <c r="T444" s="81">
        <f>VLOOKUP(A:A,'staff sales'!C:AR,42,)</f>
        <v>2</v>
      </c>
      <c r="U444" s="81">
        <f>VLOOKUP(A:A,'staff sales'!C:AU,45,)</f>
        <v>1</v>
      </c>
      <c r="V444" s="81">
        <f>VLOOKUP(A:A,'staff sales'!C:AX,48,)</f>
        <v>0</v>
      </c>
      <c r="W444" s="81">
        <f>VLOOKUP(A:A,'staff sales'!C:BA,51,)</f>
        <v>9</v>
      </c>
    </row>
    <row r="445" spans="1:23" x14ac:dyDescent="0.25">
      <c r="A445" s="16">
        <v>1078230370</v>
      </c>
      <c r="B445" s="17" t="s">
        <v>627</v>
      </c>
      <c r="C445" s="18" t="s">
        <v>546</v>
      </c>
      <c r="D445" s="18" t="s">
        <v>546</v>
      </c>
      <c r="E445" s="18" t="s">
        <v>411</v>
      </c>
      <c r="F445" s="18" t="s">
        <v>411</v>
      </c>
      <c r="G445" s="18" t="s">
        <v>1218</v>
      </c>
      <c r="H445" s="18" t="s">
        <v>221</v>
      </c>
      <c r="I445" s="19" t="s">
        <v>307</v>
      </c>
      <c r="J445" s="18">
        <v>13012</v>
      </c>
      <c r="K445" s="80">
        <f>VLOOKUP(A:A,'staff sales'!C:Q,15,)</f>
        <v>20084.36</v>
      </c>
      <c r="L445" s="81">
        <f>VLOOKUP(A:A,'staff sales'!C:T,18,)</f>
        <v>0</v>
      </c>
      <c r="M445" s="81">
        <f>VLOOKUP(A:A,'staff sales'!C:W,21,)</f>
        <v>3637.79</v>
      </c>
      <c r="N445" s="81">
        <f>VLOOKUP(A:A,'staff sales'!C:Z,24,)</f>
        <v>120</v>
      </c>
      <c r="O445" s="81">
        <f>VLOOKUP(A:A,'staff sales'!C:AC,27,)</f>
        <v>2</v>
      </c>
      <c r="P445" s="81">
        <f>VLOOKUP(A:A,'staff sales'!C:AF,30,)</f>
        <v>0</v>
      </c>
      <c r="Q445" s="81">
        <f>VLOOKUP(A:A,'staff sales'!C:AI,33,)</f>
        <v>24</v>
      </c>
      <c r="R445" s="81">
        <f>VLOOKUP(A:A,'staff sales'!C:AL,36,)</f>
        <v>0</v>
      </c>
      <c r="S445" s="81">
        <f>VLOOKUP(A:A,'staff sales'!C:AO,39,)</f>
        <v>2</v>
      </c>
      <c r="T445" s="81">
        <f>VLOOKUP(A:A,'staff sales'!C:AR,42,)</f>
        <v>0</v>
      </c>
      <c r="U445" s="81">
        <f>VLOOKUP(A:A,'staff sales'!C:AU,45,)</f>
        <v>2</v>
      </c>
      <c r="V445" s="81">
        <f>VLOOKUP(A:A,'staff sales'!C:AX,48,)</f>
        <v>0</v>
      </c>
      <c r="W445" s="81">
        <f>VLOOKUP(A:A,'staff sales'!C:BA,51,)</f>
        <v>0</v>
      </c>
    </row>
    <row r="446" spans="1:23" x14ac:dyDescent="0.25">
      <c r="A446" s="16">
        <v>1009361062</v>
      </c>
      <c r="B446" s="17" t="s">
        <v>628</v>
      </c>
      <c r="C446" s="18" t="s">
        <v>546</v>
      </c>
      <c r="D446" s="18" t="s">
        <v>546</v>
      </c>
      <c r="E446" s="18" t="s">
        <v>413</v>
      </c>
      <c r="F446" s="18" t="s">
        <v>414</v>
      </c>
      <c r="G446" s="18" t="s">
        <v>1218</v>
      </c>
      <c r="H446" s="18" t="s">
        <v>221</v>
      </c>
      <c r="I446" s="19" t="s">
        <v>307</v>
      </c>
      <c r="J446" s="18">
        <v>13012</v>
      </c>
      <c r="K446" s="80">
        <f>VLOOKUP(A:A,'staff sales'!C:Q,15,)</f>
        <v>107938.32</v>
      </c>
      <c r="L446" s="81">
        <f>VLOOKUP(A:A,'staff sales'!C:T,18,)</f>
        <v>8228.4000000000015</v>
      </c>
      <c r="M446" s="81">
        <f>VLOOKUP(A:A,'staff sales'!C:W,21,)</f>
        <v>30678.16</v>
      </c>
      <c r="N446" s="81">
        <f>VLOOKUP(A:A,'staff sales'!C:Z,24,)</f>
        <v>0</v>
      </c>
      <c r="O446" s="81">
        <f>VLOOKUP(A:A,'staff sales'!C:AC,27,)</f>
        <v>3</v>
      </c>
      <c r="P446" s="81">
        <f>VLOOKUP(A:A,'staff sales'!C:AF,30,)</f>
        <v>1</v>
      </c>
      <c r="Q446" s="81">
        <f>VLOOKUP(A:A,'staff sales'!C:AI,33,)</f>
        <v>68</v>
      </c>
      <c r="R446" s="81">
        <f>VLOOKUP(A:A,'staff sales'!C:AL,36,)</f>
        <v>0</v>
      </c>
      <c r="S446" s="81">
        <f>VLOOKUP(A:A,'staff sales'!C:AO,39,)</f>
        <v>3</v>
      </c>
      <c r="T446" s="81">
        <f>VLOOKUP(A:A,'staff sales'!C:AR,42,)</f>
        <v>5</v>
      </c>
      <c r="U446" s="81">
        <f>VLOOKUP(A:A,'staff sales'!C:AU,45,)</f>
        <v>2</v>
      </c>
      <c r="V446" s="81">
        <f>VLOOKUP(A:A,'staff sales'!C:AX,48,)</f>
        <v>0</v>
      </c>
      <c r="W446" s="81">
        <f>VLOOKUP(A:A,'staff sales'!C:BA,51,)</f>
        <v>3</v>
      </c>
    </row>
    <row r="447" spans="1:23" x14ac:dyDescent="0.25">
      <c r="A447" s="16">
        <v>1076380581</v>
      </c>
      <c r="B447" s="17" t="s">
        <v>1196</v>
      </c>
      <c r="C447" s="18" t="s">
        <v>546</v>
      </c>
      <c r="D447" s="18" t="s">
        <v>546</v>
      </c>
      <c r="E447" s="18" t="s">
        <v>299</v>
      </c>
      <c r="F447" s="18" t="s">
        <v>300</v>
      </c>
      <c r="G447" s="18" t="s">
        <v>1218</v>
      </c>
      <c r="H447" s="18" t="s">
        <v>221</v>
      </c>
      <c r="I447" s="19" t="s">
        <v>307</v>
      </c>
      <c r="J447" s="18">
        <v>13012</v>
      </c>
      <c r="K447" s="80">
        <f>VLOOKUP(A:A,'staff sales'!C:Q,15,)</f>
        <v>132311.35</v>
      </c>
      <c r="L447" s="81">
        <f>VLOOKUP(A:A,'staff sales'!C:T,18,)</f>
        <v>5998.26</v>
      </c>
      <c r="M447" s="81">
        <f>VLOOKUP(A:A,'staff sales'!C:W,21,)</f>
        <v>21358.3</v>
      </c>
      <c r="N447" s="81">
        <f>VLOOKUP(A:A,'staff sales'!C:Z,24,)</f>
        <v>0</v>
      </c>
      <c r="O447" s="81">
        <f>VLOOKUP(A:A,'staff sales'!C:AC,27,)</f>
        <v>14</v>
      </c>
      <c r="P447" s="81">
        <f>VLOOKUP(A:A,'staff sales'!C:AF,30,)</f>
        <v>5</v>
      </c>
      <c r="Q447" s="81">
        <f>VLOOKUP(A:A,'staff sales'!C:AI,33,)</f>
        <v>118</v>
      </c>
      <c r="R447" s="81">
        <f>VLOOKUP(A:A,'staff sales'!C:AL,36,)</f>
        <v>3</v>
      </c>
      <c r="S447" s="81">
        <f>VLOOKUP(A:A,'staff sales'!C:AO,39,)</f>
        <v>0</v>
      </c>
      <c r="T447" s="81">
        <f>VLOOKUP(A:A,'staff sales'!C:AR,42,)</f>
        <v>0</v>
      </c>
      <c r="U447" s="81">
        <f>VLOOKUP(A:A,'staff sales'!C:AU,45,)</f>
        <v>4</v>
      </c>
      <c r="V447" s="81">
        <f>VLOOKUP(A:A,'staff sales'!C:AX,48,)</f>
        <v>0</v>
      </c>
      <c r="W447" s="81">
        <f>VLOOKUP(A:A,'staff sales'!C:BA,51,)</f>
        <v>5</v>
      </c>
    </row>
    <row r="448" spans="1:23" x14ac:dyDescent="0.25">
      <c r="A448" s="16"/>
      <c r="B448" s="17"/>
      <c r="C448" s="18"/>
      <c r="D448" s="18"/>
      <c r="E448" s="18"/>
      <c r="F448" s="18"/>
      <c r="G448" s="18"/>
      <c r="H448" s="18"/>
      <c r="I448" s="19"/>
      <c r="J448" s="18"/>
      <c r="K448" s="80">
        <f>VLOOKUP(A:A,'staff sales'!C:Q,15,)</f>
        <v>0</v>
      </c>
      <c r="L448" s="81">
        <f>VLOOKUP(A:A,'staff sales'!C:T,18,)</f>
        <v>0</v>
      </c>
      <c r="M448" s="81">
        <f>VLOOKUP(A:A,'staff sales'!C:W,21,)</f>
        <v>0</v>
      </c>
      <c r="N448" s="81">
        <f>VLOOKUP(A:A,'staff sales'!C:Z,24,)</f>
        <v>0</v>
      </c>
      <c r="O448" s="81">
        <f>VLOOKUP(A:A,'staff sales'!C:AC,27,)</f>
        <v>0</v>
      </c>
      <c r="P448" s="81">
        <f>VLOOKUP(A:A,'staff sales'!C:AF,30,)</f>
        <v>0</v>
      </c>
      <c r="Q448" s="81">
        <f>VLOOKUP(A:A,'staff sales'!C:AI,33,)</f>
        <v>0</v>
      </c>
      <c r="R448" s="81">
        <f>VLOOKUP(A:A,'staff sales'!C:AL,36,)</f>
        <v>0</v>
      </c>
      <c r="S448" s="81">
        <f>VLOOKUP(A:A,'staff sales'!C:AO,39,)</f>
        <v>0</v>
      </c>
      <c r="T448" s="81">
        <f>VLOOKUP(A:A,'staff sales'!C:AR,42,)</f>
        <v>0</v>
      </c>
      <c r="U448" s="81">
        <f>VLOOKUP(A:A,'staff sales'!C:AU,45,)</f>
        <v>0</v>
      </c>
      <c r="V448" s="81">
        <f>VLOOKUP(A:A,'staff sales'!C:AX,48,)</f>
        <v>0</v>
      </c>
      <c r="W448" s="81">
        <f>VLOOKUP(A:A,'staff sales'!C:BA,51,)</f>
        <v>0</v>
      </c>
    </row>
    <row r="449" spans="1:23" x14ac:dyDescent="0.25">
      <c r="A449" s="16"/>
      <c r="B449" s="17"/>
      <c r="C449" s="18"/>
      <c r="D449" s="18"/>
      <c r="E449" s="18"/>
      <c r="F449" s="18"/>
      <c r="G449" s="18"/>
      <c r="H449" s="18"/>
      <c r="I449" s="19"/>
      <c r="J449" s="18"/>
      <c r="K449" s="80">
        <f>VLOOKUP(A:A,'staff sales'!C:Q,15,)</f>
        <v>0</v>
      </c>
      <c r="L449" s="81">
        <f>VLOOKUP(A:A,'staff sales'!C:T,18,)</f>
        <v>0</v>
      </c>
      <c r="M449" s="81">
        <f>VLOOKUP(A:A,'staff sales'!C:W,21,)</f>
        <v>0</v>
      </c>
      <c r="N449" s="81">
        <f>VLOOKUP(A:A,'staff sales'!C:Z,24,)</f>
        <v>0</v>
      </c>
      <c r="O449" s="81">
        <f>VLOOKUP(A:A,'staff sales'!C:AC,27,)</f>
        <v>0</v>
      </c>
      <c r="P449" s="81">
        <f>VLOOKUP(A:A,'staff sales'!C:AF,30,)</f>
        <v>0</v>
      </c>
      <c r="Q449" s="81">
        <f>VLOOKUP(A:A,'staff sales'!C:AI,33,)</f>
        <v>0</v>
      </c>
      <c r="R449" s="81">
        <f>VLOOKUP(A:A,'staff sales'!C:AL,36,)</f>
        <v>0</v>
      </c>
      <c r="S449" s="81">
        <f>VLOOKUP(A:A,'staff sales'!C:AO,39,)</f>
        <v>0</v>
      </c>
      <c r="T449" s="81">
        <f>VLOOKUP(A:A,'staff sales'!C:AR,42,)</f>
        <v>0</v>
      </c>
      <c r="U449" s="81">
        <f>VLOOKUP(A:A,'staff sales'!C:AU,45,)</f>
        <v>0</v>
      </c>
      <c r="V449" s="81">
        <f>VLOOKUP(A:A,'staff sales'!C:AX,48,)</f>
        <v>0</v>
      </c>
      <c r="W449" s="81">
        <f>VLOOKUP(A:A,'staff sales'!C:BA,51,)</f>
        <v>0</v>
      </c>
    </row>
    <row r="450" spans="1:23" x14ac:dyDescent="0.25">
      <c r="A450"/>
      <c r="B450"/>
      <c r="C450"/>
      <c r="D450"/>
      <c r="E450"/>
      <c r="F450"/>
      <c r="G450"/>
      <c r="H450"/>
      <c r="I450"/>
      <c r="J450"/>
    </row>
    <row r="451" spans="1:23" x14ac:dyDescent="0.25">
      <c r="A451"/>
      <c r="B451"/>
      <c r="C451"/>
      <c r="D451"/>
      <c r="E451"/>
      <c r="F451"/>
      <c r="G451"/>
      <c r="H451"/>
      <c r="I451"/>
      <c r="J451"/>
    </row>
    <row r="452" spans="1:23" x14ac:dyDescent="0.25">
      <c r="A452"/>
      <c r="B452"/>
      <c r="C452"/>
      <c r="D452"/>
      <c r="E452"/>
      <c r="F452"/>
      <c r="G452"/>
      <c r="H452"/>
      <c r="I452"/>
      <c r="J452"/>
    </row>
    <row r="453" spans="1:23" x14ac:dyDescent="0.25">
      <c r="A453"/>
      <c r="B453"/>
      <c r="C453"/>
      <c r="D453"/>
      <c r="E453"/>
      <c r="F453"/>
      <c r="G453"/>
      <c r="H453"/>
      <c r="I453"/>
      <c r="J453"/>
    </row>
    <row r="454" spans="1:23" x14ac:dyDescent="0.25">
      <c r="A454"/>
      <c r="B454"/>
      <c r="C454"/>
      <c r="D454"/>
      <c r="E454"/>
      <c r="F454"/>
      <c r="G454"/>
      <c r="H454"/>
      <c r="I454"/>
      <c r="J454"/>
    </row>
    <row r="455" spans="1:23" x14ac:dyDescent="0.25">
      <c r="A455"/>
      <c r="B455"/>
      <c r="C455"/>
      <c r="D455"/>
      <c r="E455"/>
      <c r="F455"/>
      <c r="G455"/>
      <c r="H455"/>
      <c r="I455"/>
      <c r="J455"/>
    </row>
    <row r="456" spans="1:23" x14ac:dyDescent="0.25">
      <c r="A456"/>
      <c r="B456"/>
      <c r="C456"/>
      <c r="D456"/>
      <c r="E456"/>
      <c r="F456"/>
      <c r="G456"/>
      <c r="H456"/>
      <c r="I456"/>
      <c r="J456"/>
    </row>
    <row r="457" spans="1:23" x14ac:dyDescent="0.25">
      <c r="A457"/>
      <c r="B457"/>
      <c r="C457"/>
      <c r="D457"/>
      <c r="E457"/>
      <c r="F457"/>
      <c r="G457"/>
      <c r="H457"/>
      <c r="I457"/>
      <c r="J457"/>
    </row>
    <row r="458" spans="1:23" x14ac:dyDescent="0.25">
      <c r="A458"/>
      <c r="B458"/>
      <c r="C458"/>
      <c r="D458"/>
      <c r="E458"/>
      <c r="F458"/>
      <c r="G458"/>
      <c r="H458"/>
      <c r="I458"/>
      <c r="J458"/>
    </row>
    <row r="459" spans="1:23" x14ac:dyDescent="0.25">
      <c r="A459"/>
      <c r="B459"/>
      <c r="C459"/>
      <c r="D459"/>
      <c r="E459"/>
      <c r="F459"/>
      <c r="G459"/>
      <c r="H459"/>
      <c r="I459"/>
      <c r="J459"/>
    </row>
    <row r="460" spans="1:23" x14ac:dyDescent="0.25">
      <c r="A460"/>
      <c r="B460"/>
      <c r="C460"/>
      <c r="D460"/>
      <c r="E460"/>
      <c r="F460"/>
      <c r="G460"/>
      <c r="H460"/>
      <c r="I460"/>
      <c r="J460"/>
    </row>
    <row r="461" spans="1:23" x14ac:dyDescent="0.25">
      <c r="A461"/>
      <c r="B461"/>
      <c r="C461"/>
      <c r="D461"/>
      <c r="E461"/>
      <c r="F461"/>
      <c r="G461"/>
      <c r="H461"/>
      <c r="I461"/>
      <c r="J461"/>
    </row>
    <row r="462" spans="1:23" x14ac:dyDescent="0.25">
      <c r="A462"/>
      <c r="B462"/>
      <c r="C462"/>
      <c r="D462"/>
      <c r="E462"/>
      <c r="F462"/>
      <c r="G462"/>
      <c r="H462"/>
      <c r="I462"/>
      <c r="J462"/>
    </row>
    <row r="463" spans="1:23" x14ac:dyDescent="0.25">
      <c r="A463"/>
      <c r="B463"/>
      <c r="C463"/>
      <c r="D463"/>
      <c r="E463"/>
      <c r="F463"/>
      <c r="G463"/>
      <c r="H463"/>
      <c r="I463"/>
      <c r="J463"/>
    </row>
    <row r="464" spans="1:23" x14ac:dyDescent="0.25">
      <c r="A464"/>
      <c r="B464"/>
      <c r="C464"/>
      <c r="D464"/>
      <c r="E464"/>
      <c r="F464"/>
      <c r="G464"/>
      <c r="H464"/>
      <c r="I464"/>
      <c r="J464"/>
    </row>
    <row r="465" spans="1:10" x14ac:dyDescent="0.25">
      <c r="A465"/>
      <c r="B465"/>
      <c r="C465"/>
      <c r="D465"/>
      <c r="E465"/>
      <c r="F465"/>
      <c r="G465"/>
      <c r="H465"/>
      <c r="I465"/>
      <c r="J465"/>
    </row>
    <row r="466" spans="1:10" x14ac:dyDescent="0.25">
      <c r="A466"/>
      <c r="B466"/>
      <c r="C466"/>
      <c r="D466"/>
      <c r="E466"/>
      <c r="F466"/>
      <c r="G466"/>
      <c r="H466"/>
      <c r="I466"/>
      <c r="J466"/>
    </row>
    <row r="467" spans="1:10" x14ac:dyDescent="0.25">
      <c r="A467"/>
      <c r="B467"/>
      <c r="C467"/>
      <c r="D467"/>
      <c r="E467"/>
      <c r="F467"/>
      <c r="G467"/>
      <c r="H467"/>
      <c r="I467"/>
      <c r="J467"/>
    </row>
    <row r="468" spans="1:10" x14ac:dyDescent="0.25">
      <c r="A468"/>
      <c r="B468"/>
      <c r="C468"/>
      <c r="D468"/>
      <c r="E468"/>
      <c r="F468"/>
      <c r="G468"/>
      <c r="H468"/>
      <c r="I468"/>
      <c r="J468"/>
    </row>
    <row r="469" spans="1:10" x14ac:dyDescent="0.25">
      <c r="A469"/>
      <c r="B469"/>
      <c r="C469"/>
      <c r="D469"/>
      <c r="E469"/>
      <c r="F469"/>
      <c r="G469"/>
      <c r="H469"/>
      <c r="I469"/>
      <c r="J469"/>
    </row>
    <row r="470" spans="1:10" x14ac:dyDescent="0.25">
      <c r="A470"/>
      <c r="B470"/>
      <c r="C470"/>
      <c r="D470"/>
      <c r="E470"/>
      <c r="F470"/>
      <c r="G470"/>
      <c r="H470"/>
      <c r="I470"/>
      <c r="J470"/>
    </row>
    <row r="471" spans="1:10" x14ac:dyDescent="0.25">
      <c r="A471"/>
      <c r="B471"/>
      <c r="C471"/>
      <c r="D471"/>
      <c r="E471"/>
      <c r="F471"/>
      <c r="G471"/>
      <c r="H471"/>
      <c r="I471"/>
      <c r="J471"/>
    </row>
    <row r="472" spans="1:10" x14ac:dyDescent="0.25">
      <c r="A472"/>
      <c r="B472"/>
      <c r="C472"/>
      <c r="D472"/>
      <c r="E472"/>
      <c r="F472"/>
      <c r="G472"/>
      <c r="H472"/>
      <c r="I472"/>
      <c r="J472"/>
    </row>
    <row r="473" spans="1:10" x14ac:dyDescent="0.25">
      <c r="A473"/>
      <c r="B473"/>
      <c r="C473"/>
      <c r="D473"/>
      <c r="E473"/>
      <c r="F473"/>
      <c r="G473"/>
      <c r="H473"/>
      <c r="I473"/>
      <c r="J473"/>
    </row>
    <row r="474" spans="1:10" x14ac:dyDescent="0.25">
      <c r="A474"/>
      <c r="B474"/>
      <c r="C474"/>
      <c r="D474"/>
      <c r="E474"/>
      <c r="F474"/>
      <c r="G474"/>
      <c r="H474"/>
      <c r="I474"/>
      <c r="J474"/>
    </row>
    <row r="475" spans="1:10" x14ac:dyDescent="0.25">
      <c r="A475"/>
      <c r="B475"/>
      <c r="C475"/>
      <c r="D475"/>
      <c r="E475"/>
      <c r="F475"/>
      <c r="G475"/>
      <c r="H475"/>
      <c r="I475"/>
      <c r="J475"/>
    </row>
    <row r="476" spans="1:10" x14ac:dyDescent="0.25">
      <c r="A476"/>
      <c r="B476"/>
      <c r="C476"/>
      <c r="D476"/>
      <c r="E476"/>
      <c r="F476"/>
      <c r="G476"/>
      <c r="H476"/>
      <c r="I476"/>
      <c r="J476"/>
    </row>
    <row r="477" spans="1:10" x14ac:dyDescent="0.25">
      <c r="A477"/>
      <c r="B477"/>
      <c r="C477"/>
      <c r="D477"/>
      <c r="E477"/>
      <c r="F477"/>
      <c r="G477"/>
      <c r="H477"/>
      <c r="I477"/>
      <c r="J477"/>
    </row>
    <row r="478" spans="1:10" x14ac:dyDescent="0.25">
      <c r="A478"/>
      <c r="B478"/>
      <c r="C478"/>
      <c r="D478"/>
      <c r="E478"/>
      <c r="F478"/>
      <c r="G478"/>
      <c r="H478"/>
      <c r="I478"/>
      <c r="J478"/>
    </row>
    <row r="479" spans="1:10" x14ac:dyDescent="0.25">
      <c r="A479"/>
      <c r="B479"/>
      <c r="C479"/>
      <c r="D479"/>
      <c r="E479"/>
      <c r="F479"/>
      <c r="G479"/>
      <c r="H479"/>
      <c r="I479"/>
      <c r="J479"/>
    </row>
    <row r="480" spans="1:10" x14ac:dyDescent="0.25">
      <c r="A480"/>
      <c r="B480"/>
      <c r="C480"/>
      <c r="D480"/>
      <c r="E480"/>
      <c r="F480"/>
      <c r="G480"/>
      <c r="H480"/>
      <c r="I480"/>
      <c r="J480"/>
    </row>
    <row r="481" spans="1:10" x14ac:dyDescent="0.25">
      <c r="A481"/>
      <c r="B481"/>
      <c r="C481"/>
      <c r="D481"/>
      <c r="E481"/>
      <c r="F481"/>
      <c r="G481"/>
      <c r="H481"/>
      <c r="I481"/>
      <c r="J481"/>
    </row>
    <row r="482" spans="1:10" x14ac:dyDescent="0.25">
      <c r="A482"/>
      <c r="B482"/>
      <c r="C482"/>
      <c r="D482"/>
      <c r="E482"/>
      <c r="F482"/>
      <c r="G482"/>
      <c r="H482"/>
      <c r="I482"/>
      <c r="J482"/>
    </row>
    <row r="483" spans="1:10" x14ac:dyDescent="0.25">
      <c r="A483"/>
      <c r="B483"/>
      <c r="C483"/>
      <c r="D483"/>
      <c r="E483"/>
      <c r="F483"/>
      <c r="G483"/>
      <c r="H483"/>
      <c r="I483"/>
      <c r="J483"/>
    </row>
    <row r="484" spans="1:10" x14ac:dyDescent="0.25">
      <c r="A484"/>
      <c r="B484"/>
      <c r="C484"/>
      <c r="D484"/>
      <c r="E484"/>
      <c r="F484"/>
      <c r="G484"/>
      <c r="H484"/>
      <c r="I484"/>
      <c r="J484"/>
    </row>
    <row r="485" spans="1:10" x14ac:dyDescent="0.25">
      <c r="A485"/>
      <c r="B485"/>
      <c r="C485"/>
      <c r="D485"/>
      <c r="E485"/>
      <c r="F485"/>
      <c r="G485"/>
      <c r="H485"/>
      <c r="I485"/>
      <c r="J485"/>
    </row>
    <row r="486" spans="1:10" x14ac:dyDescent="0.25">
      <c r="A486"/>
      <c r="B486"/>
      <c r="C486"/>
      <c r="D486"/>
      <c r="E486"/>
      <c r="F486"/>
      <c r="G486"/>
      <c r="H486"/>
      <c r="I486"/>
      <c r="J486"/>
    </row>
    <row r="487" spans="1:10" x14ac:dyDescent="0.25">
      <c r="A487"/>
      <c r="B487"/>
      <c r="C487"/>
      <c r="D487"/>
      <c r="E487"/>
      <c r="F487"/>
      <c r="G487"/>
      <c r="H487"/>
      <c r="I487"/>
      <c r="J487"/>
    </row>
    <row r="488" spans="1:10" x14ac:dyDescent="0.25">
      <c r="A488"/>
      <c r="B488"/>
      <c r="C488"/>
      <c r="D488"/>
      <c r="E488"/>
      <c r="F488"/>
      <c r="G488"/>
      <c r="H488"/>
      <c r="I488"/>
      <c r="J488"/>
    </row>
    <row r="489" spans="1:10" x14ac:dyDescent="0.25">
      <c r="A489"/>
      <c r="B489"/>
      <c r="C489"/>
      <c r="D489"/>
      <c r="E489"/>
      <c r="F489"/>
      <c r="G489"/>
      <c r="H489"/>
      <c r="I489"/>
      <c r="J489"/>
    </row>
    <row r="490" spans="1:10" x14ac:dyDescent="0.25">
      <c r="A490"/>
      <c r="B490"/>
      <c r="C490"/>
      <c r="D490"/>
      <c r="E490"/>
      <c r="F490"/>
      <c r="G490"/>
      <c r="H490"/>
      <c r="I490"/>
      <c r="J490"/>
    </row>
    <row r="491" spans="1:10" x14ac:dyDescent="0.25">
      <c r="A491"/>
      <c r="B491"/>
      <c r="C491"/>
      <c r="D491"/>
      <c r="E491"/>
      <c r="F491"/>
      <c r="G491"/>
      <c r="H491"/>
      <c r="I491"/>
      <c r="J491"/>
    </row>
    <row r="492" spans="1:10" x14ac:dyDescent="0.25">
      <c r="A492"/>
      <c r="B492"/>
      <c r="C492"/>
      <c r="D492"/>
      <c r="E492"/>
      <c r="F492"/>
      <c r="G492"/>
      <c r="H492"/>
      <c r="I492"/>
      <c r="J492"/>
    </row>
    <row r="493" spans="1:10" x14ac:dyDescent="0.25">
      <c r="A493"/>
      <c r="B493"/>
      <c r="C493"/>
      <c r="D493"/>
      <c r="E493"/>
      <c r="F493"/>
      <c r="G493"/>
      <c r="H493"/>
      <c r="I493"/>
      <c r="J493"/>
    </row>
    <row r="494" spans="1:10" x14ac:dyDescent="0.25">
      <c r="A494"/>
      <c r="B494"/>
      <c r="C494"/>
      <c r="D494"/>
      <c r="E494"/>
      <c r="F494"/>
      <c r="G494"/>
      <c r="H494"/>
      <c r="I494"/>
      <c r="J494"/>
    </row>
    <row r="495" spans="1:10" x14ac:dyDescent="0.25">
      <c r="A495"/>
      <c r="B495"/>
      <c r="C495"/>
      <c r="D495"/>
      <c r="E495"/>
      <c r="F495"/>
      <c r="G495"/>
      <c r="H495"/>
      <c r="I495"/>
      <c r="J495"/>
    </row>
    <row r="496" spans="1:10" x14ac:dyDescent="0.25">
      <c r="A496"/>
      <c r="B496"/>
      <c r="C496"/>
      <c r="D496"/>
      <c r="E496"/>
      <c r="F496"/>
      <c r="G496"/>
      <c r="H496"/>
      <c r="I496"/>
      <c r="J496"/>
    </row>
    <row r="497" spans="1:10" x14ac:dyDescent="0.25">
      <c r="A497"/>
      <c r="B497"/>
      <c r="C497"/>
      <c r="D497"/>
      <c r="E497"/>
      <c r="F497"/>
      <c r="G497"/>
      <c r="H497"/>
      <c r="I497"/>
      <c r="J497"/>
    </row>
    <row r="498" spans="1:10" x14ac:dyDescent="0.25">
      <c r="A498"/>
      <c r="B498"/>
      <c r="C498"/>
      <c r="D498"/>
      <c r="E498"/>
      <c r="F498"/>
      <c r="G498"/>
      <c r="H498"/>
      <c r="I498"/>
      <c r="J498"/>
    </row>
    <row r="499" spans="1:10" x14ac:dyDescent="0.25">
      <c r="A499"/>
      <c r="B499"/>
      <c r="C499"/>
      <c r="D499"/>
      <c r="E499"/>
      <c r="F499"/>
      <c r="G499"/>
      <c r="H499"/>
      <c r="I499"/>
      <c r="J499"/>
    </row>
    <row r="500" spans="1:10" x14ac:dyDescent="0.25">
      <c r="A500"/>
      <c r="B500"/>
      <c r="C500"/>
      <c r="D500"/>
      <c r="E500"/>
      <c r="F500"/>
      <c r="G500"/>
      <c r="H500"/>
      <c r="I500"/>
      <c r="J500"/>
    </row>
    <row r="501" spans="1:10" x14ac:dyDescent="0.25">
      <c r="A501"/>
      <c r="B501"/>
      <c r="C501"/>
      <c r="D501"/>
      <c r="E501"/>
      <c r="F501"/>
      <c r="G501"/>
      <c r="H501"/>
      <c r="I501"/>
      <c r="J501"/>
    </row>
    <row r="502" spans="1:10" x14ac:dyDescent="0.25">
      <c r="A502"/>
      <c r="B502"/>
      <c r="C502"/>
      <c r="D502"/>
      <c r="E502"/>
      <c r="F502"/>
      <c r="G502"/>
      <c r="H502"/>
      <c r="I502"/>
      <c r="J502"/>
    </row>
    <row r="503" spans="1:10" x14ac:dyDescent="0.25">
      <c r="A503"/>
      <c r="B503"/>
      <c r="C503"/>
      <c r="D503"/>
      <c r="E503"/>
      <c r="F503"/>
      <c r="G503"/>
      <c r="H503"/>
      <c r="I503"/>
      <c r="J503"/>
    </row>
    <row r="504" spans="1:10" x14ac:dyDescent="0.25">
      <c r="A504"/>
      <c r="B504"/>
      <c r="C504"/>
      <c r="D504"/>
      <c r="E504"/>
      <c r="F504"/>
      <c r="G504"/>
      <c r="H504"/>
      <c r="I504"/>
      <c r="J504"/>
    </row>
    <row r="505" spans="1:10" x14ac:dyDescent="0.25">
      <c r="A505"/>
      <c r="B505"/>
      <c r="C505"/>
      <c r="D505"/>
      <c r="E505"/>
      <c r="F505"/>
      <c r="G505"/>
      <c r="H505"/>
      <c r="I505"/>
      <c r="J505"/>
    </row>
    <row r="506" spans="1:10" x14ac:dyDescent="0.25">
      <c r="A506"/>
      <c r="B506"/>
      <c r="C506"/>
      <c r="D506"/>
      <c r="E506"/>
      <c r="F506"/>
      <c r="G506"/>
      <c r="H506"/>
      <c r="I506"/>
      <c r="J506"/>
    </row>
    <row r="507" spans="1:10" x14ac:dyDescent="0.25">
      <c r="A507"/>
      <c r="B507"/>
      <c r="C507"/>
      <c r="D507"/>
      <c r="E507"/>
      <c r="F507"/>
      <c r="G507"/>
      <c r="H507"/>
      <c r="I507"/>
      <c r="J507"/>
    </row>
    <row r="508" spans="1:10" x14ac:dyDescent="0.25">
      <c r="A508"/>
      <c r="B508"/>
      <c r="C508"/>
      <c r="D508"/>
      <c r="E508"/>
      <c r="F508"/>
      <c r="G508"/>
      <c r="H508"/>
      <c r="I508"/>
      <c r="J508"/>
    </row>
    <row r="509" spans="1:10" x14ac:dyDescent="0.25">
      <c r="A509"/>
      <c r="B509"/>
      <c r="C509"/>
      <c r="D509"/>
      <c r="E509"/>
      <c r="F509"/>
      <c r="G509"/>
      <c r="H509"/>
      <c r="I509"/>
      <c r="J509"/>
    </row>
    <row r="510" spans="1:10" x14ac:dyDescent="0.25">
      <c r="A510"/>
      <c r="B510"/>
      <c r="C510"/>
      <c r="D510"/>
      <c r="E510"/>
      <c r="F510"/>
      <c r="G510"/>
      <c r="H510"/>
      <c r="I510"/>
      <c r="J510"/>
    </row>
    <row r="511" spans="1:10" x14ac:dyDescent="0.25">
      <c r="A511"/>
      <c r="B511"/>
      <c r="C511"/>
      <c r="D511"/>
      <c r="E511"/>
      <c r="F511"/>
      <c r="G511"/>
      <c r="H511"/>
      <c r="I511"/>
      <c r="J511"/>
    </row>
    <row r="512" spans="1:10" x14ac:dyDescent="0.25">
      <c r="A512"/>
      <c r="B512"/>
      <c r="C512"/>
      <c r="D512"/>
      <c r="E512"/>
      <c r="F512"/>
      <c r="G512"/>
      <c r="H512"/>
      <c r="I512"/>
      <c r="J512"/>
    </row>
    <row r="513" spans="1:10" x14ac:dyDescent="0.25">
      <c r="A513"/>
      <c r="B513"/>
      <c r="C513"/>
      <c r="D513"/>
      <c r="E513"/>
      <c r="F513"/>
      <c r="G513"/>
      <c r="H513"/>
      <c r="I513"/>
      <c r="J513"/>
    </row>
    <row r="514" spans="1:10" x14ac:dyDescent="0.25">
      <c r="A514"/>
      <c r="B514"/>
      <c r="C514"/>
      <c r="D514"/>
      <c r="E514"/>
      <c r="F514"/>
      <c r="G514"/>
      <c r="H514"/>
      <c r="I514"/>
      <c r="J514"/>
    </row>
    <row r="515" spans="1:10" x14ac:dyDescent="0.25">
      <c r="A515"/>
      <c r="B515"/>
      <c r="C515"/>
      <c r="D515"/>
      <c r="E515"/>
      <c r="F515"/>
      <c r="G515"/>
      <c r="H515"/>
      <c r="I515"/>
      <c r="J515"/>
    </row>
    <row r="516" spans="1:10" x14ac:dyDescent="0.25">
      <c r="A516"/>
      <c r="B516"/>
      <c r="C516"/>
      <c r="D516"/>
      <c r="E516"/>
      <c r="F516"/>
      <c r="G516"/>
      <c r="H516"/>
      <c r="I516"/>
      <c r="J516"/>
    </row>
    <row r="517" spans="1:10" x14ac:dyDescent="0.25">
      <c r="A517"/>
      <c r="B517"/>
      <c r="C517"/>
      <c r="D517"/>
      <c r="E517"/>
      <c r="F517"/>
      <c r="G517"/>
      <c r="H517"/>
      <c r="I517"/>
      <c r="J517"/>
    </row>
    <row r="518" spans="1:10" x14ac:dyDescent="0.25">
      <c r="A518"/>
      <c r="B518"/>
      <c r="C518"/>
      <c r="D518"/>
      <c r="E518"/>
      <c r="F518"/>
      <c r="G518"/>
      <c r="H518"/>
      <c r="I518"/>
      <c r="J518"/>
    </row>
    <row r="519" spans="1:10" x14ac:dyDescent="0.25">
      <c r="A519"/>
      <c r="B519"/>
      <c r="C519"/>
      <c r="D519"/>
      <c r="E519"/>
      <c r="F519"/>
      <c r="G519"/>
      <c r="H519"/>
      <c r="I519"/>
      <c r="J519"/>
    </row>
    <row r="520" spans="1:10" x14ac:dyDescent="0.25">
      <c r="A520"/>
      <c r="B520"/>
      <c r="C520"/>
      <c r="D520"/>
      <c r="E520"/>
      <c r="F520"/>
      <c r="G520"/>
      <c r="H520"/>
      <c r="I520"/>
      <c r="J520"/>
    </row>
    <row r="521" spans="1:10" x14ac:dyDescent="0.25">
      <c r="A521"/>
      <c r="B521"/>
      <c r="C521"/>
      <c r="D521"/>
      <c r="E521"/>
      <c r="F521"/>
      <c r="G521"/>
      <c r="H521"/>
      <c r="I521"/>
      <c r="J521"/>
    </row>
    <row r="522" spans="1:10" x14ac:dyDescent="0.25">
      <c r="A522"/>
      <c r="B522"/>
      <c r="C522"/>
      <c r="D522"/>
      <c r="E522"/>
      <c r="F522"/>
      <c r="G522"/>
      <c r="H522"/>
      <c r="I522"/>
      <c r="J522"/>
    </row>
    <row r="523" spans="1:10" x14ac:dyDescent="0.25">
      <c r="A523"/>
      <c r="B523"/>
      <c r="C523"/>
      <c r="D523"/>
      <c r="E523"/>
      <c r="F523"/>
      <c r="G523"/>
      <c r="H523"/>
      <c r="I523"/>
      <c r="J523"/>
    </row>
    <row r="524" spans="1:10" x14ac:dyDescent="0.25">
      <c r="A524"/>
      <c r="B524"/>
      <c r="C524"/>
      <c r="D524"/>
      <c r="E524"/>
      <c r="F524"/>
      <c r="G524"/>
      <c r="H524"/>
      <c r="I524"/>
      <c r="J524"/>
    </row>
    <row r="525" spans="1:10" x14ac:dyDescent="0.25">
      <c r="A525"/>
      <c r="B525"/>
      <c r="C525"/>
      <c r="D525"/>
      <c r="E525"/>
      <c r="F525"/>
      <c r="G525"/>
      <c r="H525"/>
      <c r="I525"/>
      <c r="J525"/>
    </row>
    <row r="526" spans="1:10" x14ac:dyDescent="0.25">
      <c r="A526"/>
      <c r="B526"/>
      <c r="C526"/>
      <c r="D526"/>
      <c r="E526"/>
      <c r="F526"/>
      <c r="G526"/>
      <c r="H526"/>
      <c r="I526"/>
      <c r="J526"/>
    </row>
    <row r="527" spans="1:10" x14ac:dyDescent="0.25">
      <c r="A527"/>
      <c r="B527"/>
      <c r="C527"/>
      <c r="D527"/>
      <c r="E527"/>
      <c r="F527"/>
      <c r="G527"/>
      <c r="H527"/>
      <c r="I527"/>
      <c r="J527"/>
    </row>
    <row r="528" spans="1:10" x14ac:dyDescent="0.25">
      <c r="A528"/>
      <c r="B528"/>
      <c r="C528"/>
      <c r="D528"/>
      <c r="E528"/>
      <c r="F528"/>
      <c r="G528"/>
      <c r="H528"/>
      <c r="I528"/>
      <c r="J528"/>
    </row>
    <row r="529" spans="1:10" x14ac:dyDescent="0.25">
      <c r="A529"/>
      <c r="B529"/>
      <c r="C529"/>
      <c r="D529"/>
      <c r="E529"/>
      <c r="F529"/>
      <c r="G529"/>
      <c r="H529"/>
      <c r="I529"/>
      <c r="J529"/>
    </row>
    <row r="530" spans="1:10" x14ac:dyDescent="0.25">
      <c r="A530"/>
      <c r="B530"/>
      <c r="C530"/>
      <c r="D530"/>
      <c r="E530"/>
      <c r="F530"/>
      <c r="G530"/>
      <c r="H530"/>
      <c r="I530"/>
      <c r="J530"/>
    </row>
    <row r="531" spans="1:10" x14ac:dyDescent="0.25">
      <c r="A531"/>
      <c r="B531"/>
      <c r="C531"/>
      <c r="D531"/>
      <c r="E531"/>
      <c r="F531"/>
      <c r="G531"/>
      <c r="H531"/>
      <c r="I531"/>
      <c r="J531"/>
    </row>
    <row r="532" spans="1:10" x14ac:dyDescent="0.25">
      <c r="A532"/>
      <c r="B532"/>
      <c r="C532"/>
      <c r="D532"/>
      <c r="E532"/>
      <c r="F532"/>
      <c r="G532"/>
      <c r="H532"/>
      <c r="I532"/>
      <c r="J532"/>
    </row>
    <row r="533" spans="1:10" x14ac:dyDescent="0.25">
      <c r="A533"/>
      <c r="B533"/>
      <c r="C533"/>
      <c r="D533"/>
      <c r="E533"/>
      <c r="F533"/>
      <c r="G533"/>
      <c r="H533"/>
      <c r="I533"/>
      <c r="J533"/>
    </row>
    <row r="534" spans="1:10" x14ac:dyDescent="0.25">
      <c r="A534"/>
      <c r="B534"/>
      <c r="C534"/>
      <c r="D534"/>
      <c r="E534"/>
      <c r="F534"/>
      <c r="G534"/>
      <c r="H534"/>
      <c r="I534"/>
      <c r="J534"/>
    </row>
    <row r="535" spans="1:10" x14ac:dyDescent="0.25">
      <c r="A535"/>
      <c r="B535"/>
      <c r="C535"/>
      <c r="D535"/>
      <c r="E535"/>
      <c r="F535"/>
      <c r="G535"/>
      <c r="H535"/>
      <c r="I535"/>
      <c r="J535"/>
    </row>
    <row r="536" spans="1:10" x14ac:dyDescent="0.25">
      <c r="A536"/>
      <c r="B536"/>
      <c r="C536"/>
      <c r="D536"/>
      <c r="E536"/>
      <c r="F536"/>
      <c r="G536"/>
      <c r="H536"/>
      <c r="I536"/>
      <c r="J536"/>
    </row>
    <row r="537" spans="1:10" x14ac:dyDescent="0.25">
      <c r="A537"/>
      <c r="B537"/>
      <c r="C537"/>
      <c r="D537"/>
      <c r="E537"/>
      <c r="F537"/>
      <c r="G537"/>
      <c r="H537"/>
      <c r="I537"/>
      <c r="J537"/>
    </row>
    <row r="538" spans="1:10" x14ac:dyDescent="0.25">
      <c r="A538"/>
      <c r="B538"/>
      <c r="C538"/>
      <c r="D538"/>
      <c r="E538"/>
      <c r="F538"/>
      <c r="G538"/>
      <c r="H538"/>
      <c r="I538"/>
      <c r="J538"/>
    </row>
    <row r="539" spans="1:10" x14ac:dyDescent="0.25">
      <c r="A539"/>
      <c r="B539"/>
      <c r="C539"/>
      <c r="D539"/>
      <c r="E539"/>
      <c r="F539"/>
      <c r="G539"/>
      <c r="H539"/>
      <c r="I539"/>
      <c r="J539"/>
    </row>
    <row r="540" spans="1:10" x14ac:dyDescent="0.25">
      <c r="A540"/>
      <c r="B540"/>
      <c r="C540"/>
      <c r="D540"/>
      <c r="E540"/>
      <c r="F540"/>
      <c r="G540"/>
      <c r="H540"/>
      <c r="I540"/>
      <c r="J540"/>
    </row>
    <row r="541" spans="1:10" x14ac:dyDescent="0.25">
      <c r="A541"/>
      <c r="B541"/>
      <c r="C541"/>
      <c r="D541"/>
      <c r="E541"/>
      <c r="F541"/>
      <c r="G541"/>
      <c r="H541"/>
      <c r="I541"/>
      <c r="J541"/>
    </row>
    <row r="542" spans="1:10" x14ac:dyDescent="0.25">
      <c r="A542"/>
      <c r="B542"/>
      <c r="C542"/>
      <c r="D542"/>
      <c r="E542"/>
      <c r="F542"/>
      <c r="G542"/>
      <c r="H542"/>
      <c r="I542"/>
      <c r="J542"/>
    </row>
    <row r="543" spans="1:10" x14ac:dyDescent="0.25">
      <c r="A543"/>
      <c r="B543"/>
      <c r="C543"/>
      <c r="D543"/>
      <c r="E543"/>
      <c r="F543"/>
      <c r="G543"/>
      <c r="H543"/>
      <c r="I543"/>
      <c r="J543"/>
    </row>
    <row r="544" spans="1:10" x14ac:dyDescent="0.25">
      <c r="A544"/>
      <c r="B544"/>
      <c r="C544"/>
      <c r="D544"/>
      <c r="E544"/>
      <c r="F544"/>
      <c r="G544"/>
      <c r="H544"/>
      <c r="I544"/>
      <c r="J544"/>
    </row>
    <row r="545" spans="1:10" x14ac:dyDescent="0.25">
      <c r="A545"/>
      <c r="B545"/>
      <c r="C545"/>
      <c r="D545"/>
      <c r="E545"/>
      <c r="F545"/>
      <c r="G545"/>
      <c r="H545"/>
      <c r="I545"/>
      <c r="J545"/>
    </row>
    <row r="546" spans="1:10" x14ac:dyDescent="0.25">
      <c r="A546"/>
      <c r="B546"/>
      <c r="C546"/>
      <c r="D546"/>
      <c r="E546"/>
      <c r="F546"/>
      <c r="G546"/>
      <c r="H546"/>
      <c r="I546"/>
      <c r="J546"/>
    </row>
    <row r="547" spans="1:10" x14ac:dyDescent="0.25">
      <c r="A547"/>
      <c r="B547"/>
      <c r="C547"/>
      <c r="D547"/>
      <c r="E547"/>
      <c r="F547"/>
      <c r="G547"/>
      <c r="H547"/>
      <c r="I547"/>
      <c r="J547"/>
    </row>
    <row r="548" spans="1:10" x14ac:dyDescent="0.25">
      <c r="A548"/>
      <c r="B548"/>
      <c r="C548"/>
      <c r="D548"/>
      <c r="E548"/>
      <c r="F548"/>
      <c r="G548"/>
      <c r="H548"/>
      <c r="I548"/>
      <c r="J548"/>
    </row>
    <row r="549" spans="1:10" x14ac:dyDescent="0.25">
      <c r="A549"/>
      <c r="B549"/>
      <c r="C549"/>
      <c r="D549"/>
      <c r="E549"/>
      <c r="F549"/>
      <c r="G549"/>
      <c r="H549"/>
      <c r="I549"/>
      <c r="J549"/>
    </row>
    <row r="550" spans="1:10" x14ac:dyDescent="0.25">
      <c r="A550"/>
      <c r="B550"/>
      <c r="C550"/>
      <c r="D550"/>
      <c r="E550"/>
      <c r="F550"/>
      <c r="G550"/>
      <c r="H550"/>
      <c r="I550"/>
      <c r="J550"/>
    </row>
    <row r="551" spans="1:10" x14ac:dyDescent="0.25">
      <c r="A551"/>
      <c r="B551"/>
      <c r="C551"/>
      <c r="D551"/>
      <c r="E551"/>
      <c r="F551"/>
      <c r="G551"/>
      <c r="H551"/>
      <c r="I551"/>
      <c r="J551"/>
    </row>
    <row r="552" spans="1:10" x14ac:dyDescent="0.25">
      <c r="A552"/>
      <c r="B552"/>
      <c r="C552"/>
      <c r="D552"/>
      <c r="E552"/>
      <c r="F552"/>
      <c r="G552"/>
      <c r="H552"/>
      <c r="I552"/>
      <c r="J552"/>
    </row>
    <row r="553" spans="1:10" x14ac:dyDescent="0.25">
      <c r="A553"/>
      <c r="B553"/>
      <c r="C553"/>
      <c r="D553"/>
      <c r="E553"/>
      <c r="F553"/>
      <c r="G553"/>
      <c r="H553"/>
      <c r="I553"/>
      <c r="J553"/>
    </row>
    <row r="554" spans="1:10" x14ac:dyDescent="0.25">
      <c r="A554"/>
      <c r="B554"/>
      <c r="C554"/>
      <c r="D554"/>
      <c r="E554"/>
      <c r="F554"/>
      <c r="G554"/>
      <c r="H554"/>
      <c r="I554"/>
      <c r="J554"/>
    </row>
    <row r="555" spans="1:10" x14ac:dyDescent="0.25">
      <c r="A555"/>
      <c r="B555"/>
      <c r="C555"/>
      <c r="D555"/>
      <c r="E555"/>
      <c r="F555"/>
      <c r="G555"/>
      <c r="H555"/>
      <c r="I555"/>
      <c r="J555"/>
    </row>
    <row r="556" spans="1:10" x14ac:dyDescent="0.25">
      <c r="A556"/>
      <c r="B556"/>
      <c r="C556"/>
      <c r="D556"/>
      <c r="E556"/>
      <c r="F556"/>
      <c r="G556"/>
      <c r="H556"/>
      <c r="I556"/>
      <c r="J556"/>
    </row>
    <row r="557" spans="1:10" x14ac:dyDescent="0.25">
      <c r="A557"/>
      <c r="B557"/>
      <c r="C557"/>
      <c r="D557"/>
      <c r="E557"/>
      <c r="F557"/>
      <c r="G557"/>
      <c r="H557"/>
      <c r="I557"/>
      <c r="J557"/>
    </row>
    <row r="558" spans="1:10" x14ac:dyDescent="0.25">
      <c r="A558"/>
      <c r="B558"/>
      <c r="C558"/>
      <c r="D558"/>
      <c r="E558"/>
      <c r="F558"/>
      <c r="G558"/>
      <c r="H558"/>
      <c r="I558"/>
      <c r="J558"/>
    </row>
    <row r="559" spans="1:10" x14ac:dyDescent="0.25">
      <c r="A559"/>
      <c r="B559"/>
      <c r="C559"/>
      <c r="D559"/>
      <c r="E559"/>
      <c r="F559"/>
      <c r="G559"/>
      <c r="H559"/>
      <c r="I559"/>
      <c r="J559"/>
    </row>
    <row r="560" spans="1:10" x14ac:dyDescent="0.25">
      <c r="A560"/>
      <c r="B560"/>
      <c r="C560"/>
      <c r="D560"/>
      <c r="E560"/>
      <c r="F560"/>
      <c r="G560"/>
      <c r="H560"/>
      <c r="I560"/>
      <c r="J560"/>
    </row>
    <row r="561" spans="1:10" x14ac:dyDescent="0.25">
      <c r="A561"/>
      <c r="B561"/>
      <c r="C561"/>
      <c r="D561"/>
      <c r="E561"/>
      <c r="F561"/>
      <c r="G561"/>
      <c r="H561"/>
      <c r="I561"/>
      <c r="J561"/>
    </row>
    <row r="562" spans="1:10" x14ac:dyDescent="0.25">
      <c r="A562"/>
      <c r="B562"/>
      <c r="C562"/>
      <c r="D562"/>
      <c r="E562"/>
      <c r="F562"/>
      <c r="G562"/>
      <c r="H562"/>
      <c r="I562"/>
      <c r="J562"/>
    </row>
    <row r="563" spans="1:10" x14ac:dyDescent="0.25">
      <c r="A563"/>
      <c r="B563"/>
      <c r="C563"/>
      <c r="D563"/>
      <c r="E563"/>
      <c r="F563"/>
      <c r="G563"/>
      <c r="H563"/>
      <c r="I563"/>
      <c r="J563"/>
    </row>
    <row r="564" spans="1:10" x14ac:dyDescent="0.25">
      <c r="A564"/>
      <c r="B564"/>
      <c r="C564"/>
      <c r="D564"/>
      <c r="E564"/>
      <c r="F564"/>
      <c r="G564"/>
      <c r="H564"/>
      <c r="I564"/>
      <c r="J564"/>
    </row>
    <row r="565" spans="1:10" x14ac:dyDescent="0.25">
      <c r="A565"/>
      <c r="B565"/>
      <c r="C565"/>
      <c r="D565"/>
      <c r="E565"/>
      <c r="F565"/>
      <c r="G565"/>
      <c r="H565"/>
      <c r="I565"/>
      <c r="J565"/>
    </row>
    <row r="566" spans="1:10" x14ac:dyDescent="0.25">
      <c r="A566"/>
      <c r="B566"/>
      <c r="C566"/>
      <c r="D566"/>
      <c r="E566"/>
      <c r="F566"/>
      <c r="G566"/>
      <c r="H566"/>
      <c r="I566"/>
      <c r="J566"/>
    </row>
    <row r="567" spans="1:10" x14ac:dyDescent="0.25">
      <c r="A567"/>
      <c r="B567"/>
      <c r="C567"/>
      <c r="D567"/>
      <c r="E567"/>
      <c r="F567"/>
      <c r="G567"/>
      <c r="H567"/>
      <c r="I567"/>
      <c r="J567"/>
    </row>
    <row r="568" spans="1:10" x14ac:dyDescent="0.25">
      <c r="A568"/>
      <c r="B568"/>
      <c r="C568"/>
      <c r="D568"/>
      <c r="E568"/>
      <c r="F568"/>
      <c r="G568"/>
      <c r="H568"/>
      <c r="I568"/>
      <c r="J568"/>
    </row>
    <row r="569" spans="1:10" x14ac:dyDescent="0.25">
      <c r="A569"/>
      <c r="B569"/>
      <c r="C569"/>
      <c r="D569"/>
      <c r="E569"/>
      <c r="F569"/>
      <c r="G569"/>
      <c r="H569"/>
      <c r="I569"/>
      <c r="J569"/>
    </row>
    <row r="570" spans="1:10" x14ac:dyDescent="0.25">
      <c r="A570"/>
      <c r="B570"/>
      <c r="C570"/>
      <c r="D570"/>
      <c r="E570"/>
      <c r="F570"/>
      <c r="G570"/>
      <c r="H570"/>
      <c r="I570"/>
      <c r="J570"/>
    </row>
    <row r="571" spans="1:10" x14ac:dyDescent="0.25">
      <c r="A571"/>
      <c r="B571"/>
      <c r="C571"/>
      <c r="D571"/>
      <c r="E571"/>
      <c r="F571"/>
      <c r="G571"/>
      <c r="H571"/>
      <c r="I571"/>
      <c r="J571"/>
    </row>
    <row r="572" spans="1:10" x14ac:dyDescent="0.25">
      <c r="A572"/>
      <c r="B572"/>
      <c r="C572"/>
      <c r="D572"/>
      <c r="E572"/>
      <c r="F572"/>
      <c r="G572"/>
      <c r="H572"/>
      <c r="I572"/>
      <c r="J572"/>
    </row>
    <row r="573" spans="1:10" x14ac:dyDescent="0.25">
      <c r="A573"/>
      <c r="B573"/>
      <c r="C573"/>
      <c r="D573"/>
      <c r="E573"/>
      <c r="F573"/>
      <c r="G573"/>
      <c r="H573"/>
      <c r="I573"/>
      <c r="J573"/>
    </row>
    <row r="574" spans="1:10" x14ac:dyDescent="0.25">
      <c r="A574"/>
      <c r="B574"/>
      <c r="C574"/>
      <c r="D574"/>
      <c r="E574"/>
      <c r="F574"/>
      <c r="G574"/>
      <c r="H574"/>
      <c r="I574"/>
      <c r="J574"/>
    </row>
    <row r="575" spans="1:10" x14ac:dyDescent="0.25">
      <c r="A575"/>
      <c r="B575"/>
      <c r="C575"/>
      <c r="D575"/>
      <c r="E575"/>
      <c r="F575"/>
      <c r="G575"/>
      <c r="H575"/>
      <c r="I575"/>
      <c r="J575"/>
    </row>
    <row r="576" spans="1:10" x14ac:dyDescent="0.25">
      <c r="A576"/>
      <c r="B576"/>
      <c r="C576"/>
      <c r="D576"/>
      <c r="E576"/>
      <c r="F576"/>
      <c r="G576"/>
      <c r="H576"/>
      <c r="I576"/>
      <c r="J576"/>
    </row>
    <row r="577" spans="1:10" x14ac:dyDescent="0.25">
      <c r="A577"/>
      <c r="B577"/>
      <c r="C577"/>
      <c r="D577"/>
      <c r="E577"/>
      <c r="F577"/>
      <c r="G577"/>
      <c r="H577"/>
      <c r="I577"/>
      <c r="J577"/>
    </row>
    <row r="578" spans="1:10" x14ac:dyDescent="0.25">
      <c r="A578"/>
      <c r="B578"/>
      <c r="C578"/>
      <c r="D578"/>
      <c r="E578"/>
      <c r="F578"/>
      <c r="G578"/>
      <c r="H578"/>
      <c r="I578"/>
      <c r="J578"/>
    </row>
    <row r="579" spans="1:10" x14ac:dyDescent="0.25">
      <c r="A579"/>
      <c r="B579"/>
      <c r="C579"/>
      <c r="D579"/>
      <c r="E579"/>
      <c r="F579"/>
      <c r="G579"/>
      <c r="H579"/>
      <c r="I579"/>
      <c r="J579"/>
    </row>
    <row r="580" spans="1:10" x14ac:dyDescent="0.25">
      <c r="A580"/>
      <c r="B580"/>
      <c r="C580"/>
      <c r="D580"/>
      <c r="E580"/>
      <c r="F580"/>
      <c r="G580"/>
      <c r="H580"/>
      <c r="I580"/>
      <c r="J580"/>
    </row>
    <row r="581" spans="1:10" x14ac:dyDescent="0.25">
      <c r="A581"/>
      <c r="B581"/>
      <c r="C581"/>
      <c r="D581"/>
      <c r="E581"/>
      <c r="F581"/>
      <c r="G581"/>
      <c r="H581"/>
      <c r="I581"/>
      <c r="J581"/>
    </row>
    <row r="582" spans="1:10" x14ac:dyDescent="0.25">
      <c r="A582"/>
      <c r="B582"/>
      <c r="C582"/>
      <c r="D582"/>
      <c r="E582"/>
      <c r="F582"/>
      <c r="G582"/>
      <c r="H582"/>
      <c r="I582"/>
      <c r="J582"/>
    </row>
    <row r="583" spans="1:10" x14ac:dyDescent="0.25">
      <c r="A583"/>
      <c r="B583"/>
      <c r="C583"/>
      <c r="D583"/>
      <c r="E583"/>
      <c r="F583"/>
      <c r="G583"/>
      <c r="H583"/>
      <c r="I583"/>
      <c r="J583"/>
    </row>
    <row r="584" spans="1:10" x14ac:dyDescent="0.25">
      <c r="A584"/>
      <c r="B584"/>
      <c r="C584"/>
      <c r="D584"/>
      <c r="E584"/>
      <c r="F584"/>
      <c r="G584"/>
      <c r="H584"/>
      <c r="I584"/>
      <c r="J584"/>
    </row>
    <row r="585" spans="1:10" x14ac:dyDescent="0.25">
      <c r="A585"/>
      <c r="B585"/>
      <c r="C585"/>
      <c r="D585"/>
      <c r="E585"/>
      <c r="F585"/>
      <c r="G585"/>
      <c r="H585"/>
      <c r="I585"/>
      <c r="J585"/>
    </row>
    <row r="586" spans="1:10" x14ac:dyDescent="0.25">
      <c r="A586"/>
      <c r="B586"/>
      <c r="C586"/>
      <c r="D586"/>
      <c r="E586"/>
      <c r="F586"/>
      <c r="G586"/>
      <c r="H586"/>
      <c r="I586"/>
      <c r="J586"/>
    </row>
    <row r="587" spans="1:10" x14ac:dyDescent="0.25">
      <c r="A587"/>
      <c r="B587"/>
      <c r="C587"/>
      <c r="D587"/>
      <c r="E587"/>
      <c r="F587"/>
      <c r="G587"/>
      <c r="H587"/>
      <c r="I587"/>
      <c r="J587"/>
    </row>
    <row r="588" spans="1:10" x14ac:dyDescent="0.25">
      <c r="A588"/>
      <c r="B588"/>
      <c r="C588"/>
      <c r="D588"/>
      <c r="E588"/>
      <c r="F588"/>
      <c r="G588"/>
      <c r="H588"/>
      <c r="I588"/>
      <c r="J588"/>
    </row>
    <row r="589" spans="1:10" x14ac:dyDescent="0.25">
      <c r="A589"/>
      <c r="B589"/>
      <c r="C589"/>
      <c r="D589"/>
      <c r="E589"/>
      <c r="F589"/>
      <c r="G589"/>
      <c r="H589"/>
      <c r="I589"/>
      <c r="J589"/>
    </row>
    <row r="590" spans="1:10" x14ac:dyDescent="0.25">
      <c r="A590"/>
      <c r="B590"/>
      <c r="C590"/>
      <c r="D590"/>
      <c r="E590"/>
      <c r="F590"/>
      <c r="G590"/>
      <c r="H590"/>
      <c r="I590"/>
      <c r="J590"/>
    </row>
    <row r="591" spans="1:10" x14ac:dyDescent="0.25">
      <c r="A591"/>
      <c r="B591"/>
      <c r="C591"/>
      <c r="D591"/>
      <c r="E591"/>
      <c r="F591"/>
      <c r="G591"/>
      <c r="H591"/>
      <c r="I591"/>
      <c r="J591"/>
    </row>
    <row r="592" spans="1:10" x14ac:dyDescent="0.25">
      <c r="A592"/>
      <c r="B592"/>
      <c r="C592"/>
      <c r="D592"/>
      <c r="E592"/>
      <c r="F592"/>
      <c r="G592"/>
      <c r="H592"/>
      <c r="I592"/>
      <c r="J592"/>
    </row>
    <row r="593" spans="1:10" x14ac:dyDescent="0.25">
      <c r="A593"/>
      <c r="B593"/>
      <c r="C593"/>
      <c r="D593"/>
      <c r="E593"/>
      <c r="F593"/>
      <c r="G593"/>
      <c r="H593"/>
      <c r="I593"/>
      <c r="J593"/>
    </row>
    <row r="594" spans="1:10" x14ac:dyDescent="0.25">
      <c r="A594"/>
      <c r="B594"/>
      <c r="C594"/>
      <c r="D594"/>
      <c r="E594"/>
      <c r="F594"/>
      <c r="G594"/>
      <c r="H594"/>
      <c r="I594"/>
      <c r="J594"/>
    </row>
    <row r="595" spans="1:10" x14ac:dyDescent="0.25">
      <c r="A595"/>
      <c r="B595"/>
      <c r="C595"/>
      <c r="D595"/>
      <c r="E595"/>
      <c r="F595"/>
      <c r="G595"/>
      <c r="H595"/>
      <c r="I595"/>
      <c r="J595"/>
    </row>
    <row r="596" spans="1:10" x14ac:dyDescent="0.25">
      <c r="A596"/>
      <c r="B596"/>
      <c r="C596"/>
      <c r="D596"/>
      <c r="E596"/>
      <c r="F596"/>
      <c r="G596"/>
      <c r="H596"/>
      <c r="I596"/>
      <c r="J596"/>
    </row>
    <row r="597" spans="1:10" x14ac:dyDescent="0.25">
      <c r="A597"/>
      <c r="B597"/>
      <c r="C597"/>
      <c r="D597"/>
      <c r="E597"/>
      <c r="F597"/>
      <c r="G597"/>
      <c r="H597"/>
      <c r="I597"/>
      <c r="J597"/>
    </row>
    <row r="598" spans="1:10" x14ac:dyDescent="0.25">
      <c r="A598"/>
      <c r="B598"/>
      <c r="C598"/>
      <c r="D598"/>
      <c r="E598"/>
      <c r="F598"/>
      <c r="G598"/>
      <c r="H598"/>
      <c r="I598"/>
      <c r="J598"/>
    </row>
    <row r="599" spans="1:10" x14ac:dyDescent="0.25">
      <c r="A599"/>
      <c r="B599"/>
      <c r="C599"/>
      <c r="D599"/>
      <c r="E599"/>
      <c r="F599"/>
      <c r="G599"/>
      <c r="H599"/>
      <c r="I599"/>
      <c r="J599"/>
    </row>
    <row r="600" spans="1:10" x14ac:dyDescent="0.25">
      <c r="A600"/>
      <c r="B600"/>
      <c r="C600"/>
      <c r="D600"/>
      <c r="E600"/>
      <c r="F600"/>
      <c r="G600"/>
      <c r="H600"/>
      <c r="I600"/>
      <c r="J600"/>
    </row>
    <row r="601" spans="1:10" x14ac:dyDescent="0.25">
      <c r="A601"/>
      <c r="B601"/>
      <c r="C601"/>
      <c r="D601"/>
      <c r="E601"/>
      <c r="F601"/>
      <c r="G601"/>
      <c r="H601"/>
      <c r="I601"/>
      <c r="J601"/>
    </row>
    <row r="602" spans="1:10" x14ac:dyDescent="0.25">
      <c r="A602"/>
      <c r="B602"/>
      <c r="C602"/>
      <c r="D602"/>
      <c r="E602"/>
      <c r="F602"/>
      <c r="G602"/>
      <c r="H602"/>
      <c r="I602"/>
      <c r="J602"/>
    </row>
    <row r="603" spans="1:10" x14ac:dyDescent="0.25">
      <c r="A603"/>
      <c r="B603"/>
      <c r="C603"/>
      <c r="D603"/>
      <c r="E603"/>
      <c r="F603"/>
      <c r="G603"/>
      <c r="H603"/>
      <c r="I603"/>
      <c r="J603"/>
    </row>
    <row r="604" spans="1:10" x14ac:dyDescent="0.25">
      <c r="A604"/>
      <c r="B604"/>
      <c r="C604"/>
      <c r="D604"/>
      <c r="E604"/>
      <c r="F604"/>
      <c r="G604"/>
      <c r="H604"/>
      <c r="I604"/>
      <c r="J604"/>
    </row>
    <row r="605" spans="1:10" x14ac:dyDescent="0.25">
      <c r="A605"/>
      <c r="B605"/>
      <c r="C605"/>
      <c r="D605"/>
      <c r="E605"/>
      <c r="F605"/>
      <c r="G605"/>
      <c r="H605"/>
      <c r="I605"/>
      <c r="J605"/>
    </row>
    <row r="606" spans="1:10" x14ac:dyDescent="0.25">
      <c r="A606"/>
      <c r="B606"/>
      <c r="C606"/>
      <c r="D606"/>
      <c r="E606"/>
      <c r="F606"/>
      <c r="G606"/>
      <c r="H606"/>
      <c r="I606"/>
      <c r="J606"/>
    </row>
    <row r="607" spans="1:10" x14ac:dyDescent="0.25">
      <c r="A607"/>
      <c r="B607"/>
      <c r="C607"/>
      <c r="D607"/>
      <c r="E607"/>
      <c r="F607"/>
      <c r="G607"/>
      <c r="H607"/>
      <c r="I607"/>
      <c r="J607"/>
    </row>
    <row r="608" spans="1:10" x14ac:dyDescent="0.25">
      <c r="A608"/>
      <c r="B608"/>
      <c r="C608"/>
      <c r="D608"/>
      <c r="E608"/>
      <c r="F608"/>
      <c r="G608"/>
      <c r="H608"/>
      <c r="I608"/>
      <c r="J608"/>
    </row>
    <row r="609" spans="1:10" x14ac:dyDescent="0.25">
      <c r="A609"/>
      <c r="B609"/>
      <c r="C609"/>
      <c r="D609"/>
      <c r="E609"/>
      <c r="F609"/>
      <c r="G609"/>
      <c r="H609"/>
      <c r="I609"/>
      <c r="J609"/>
    </row>
    <row r="610" spans="1:10" x14ac:dyDescent="0.25">
      <c r="A610"/>
      <c r="B610"/>
      <c r="C610"/>
      <c r="D610"/>
      <c r="E610"/>
      <c r="F610"/>
      <c r="G610"/>
      <c r="H610"/>
      <c r="I610"/>
      <c r="J610"/>
    </row>
    <row r="611" spans="1:10" x14ac:dyDescent="0.25">
      <c r="A611"/>
      <c r="B611"/>
      <c r="C611"/>
      <c r="D611"/>
      <c r="E611"/>
      <c r="F611"/>
      <c r="G611"/>
      <c r="H611"/>
      <c r="I611"/>
      <c r="J611"/>
    </row>
    <row r="612" spans="1:10" x14ac:dyDescent="0.25">
      <c r="A612"/>
      <c r="B612"/>
      <c r="C612"/>
      <c r="D612"/>
      <c r="E612"/>
      <c r="F612"/>
      <c r="G612"/>
      <c r="H612"/>
      <c r="I612"/>
      <c r="J612"/>
    </row>
    <row r="613" spans="1:10" x14ac:dyDescent="0.25">
      <c r="A613"/>
      <c r="B613"/>
      <c r="C613"/>
      <c r="D613"/>
      <c r="E613"/>
      <c r="F613"/>
      <c r="G613"/>
      <c r="H613"/>
      <c r="I613"/>
      <c r="J613"/>
    </row>
    <row r="614" spans="1:10" x14ac:dyDescent="0.25">
      <c r="A614"/>
      <c r="B614"/>
      <c r="C614"/>
      <c r="D614"/>
      <c r="E614"/>
      <c r="F614"/>
      <c r="G614"/>
      <c r="H614"/>
      <c r="I614"/>
      <c r="J614"/>
    </row>
    <row r="615" spans="1:10" x14ac:dyDescent="0.25">
      <c r="A615"/>
      <c r="B615"/>
      <c r="C615"/>
      <c r="D615"/>
      <c r="E615"/>
      <c r="F615"/>
      <c r="G615"/>
      <c r="H615"/>
      <c r="I615"/>
      <c r="J615"/>
    </row>
    <row r="616" spans="1:10" x14ac:dyDescent="0.25">
      <c r="A616"/>
      <c r="B616"/>
      <c r="C616"/>
      <c r="D616"/>
      <c r="E616"/>
      <c r="F616"/>
      <c r="G616"/>
      <c r="H616"/>
      <c r="I616"/>
      <c r="J616"/>
    </row>
    <row r="617" spans="1:10" x14ac:dyDescent="0.25">
      <c r="A617"/>
      <c r="B617"/>
      <c r="C617"/>
      <c r="D617"/>
      <c r="E617"/>
      <c r="F617"/>
      <c r="G617"/>
      <c r="H617"/>
      <c r="I617"/>
      <c r="J617"/>
    </row>
    <row r="618" spans="1:10" x14ac:dyDescent="0.25">
      <c r="A618"/>
      <c r="B618"/>
      <c r="C618"/>
      <c r="D618"/>
      <c r="E618"/>
      <c r="F618"/>
      <c r="G618"/>
      <c r="H618"/>
      <c r="I618"/>
      <c r="J618"/>
    </row>
    <row r="619" spans="1:10" x14ac:dyDescent="0.25">
      <c r="A619"/>
      <c r="B619"/>
      <c r="C619"/>
      <c r="D619"/>
      <c r="E619"/>
      <c r="F619"/>
      <c r="G619"/>
      <c r="H619"/>
      <c r="I619"/>
      <c r="J619"/>
    </row>
    <row r="620" spans="1:10" x14ac:dyDescent="0.25">
      <c r="A620"/>
      <c r="B620"/>
      <c r="C620"/>
      <c r="D620"/>
      <c r="E620"/>
      <c r="F620"/>
      <c r="G620"/>
      <c r="H620"/>
      <c r="I620"/>
      <c r="J620"/>
    </row>
    <row r="621" spans="1:10" x14ac:dyDescent="0.25">
      <c r="A621"/>
      <c r="B621"/>
      <c r="C621"/>
      <c r="D621"/>
      <c r="E621"/>
      <c r="F621"/>
      <c r="G621"/>
      <c r="H621"/>
      <c r="I621"/>
      <c r="J621"/>
    </row>
    <row r="622" spans="1:10" x14ac:dyDescent="0.25">
      <c r="A622"/>
      <c r="B622"/>
      <c r="C622"/>
      <c r="D622"/>
      <c r="E622"/>
      <c r="F622"/>
      <c r="G622"/>
      <c r="H622"/>
      <c r="I622"/>
      <c r="J622"/>
    </row>
    <row r="623" spans="1:10" x14ac:dyDescent="0.25">
      <c r="A623"/>
      <c r="B623"/>
      <c r="C623"/>
      <c r="D623"/>
      <c r="E623"/>
      <c r="F623"/>
      <c r="G623"/>
      <c r="H623"/>
      <c r="I623"/>
      <c r="J623"/>
    </row>
    <row r="624" spans="1:10" x14ac:dyDescent="0.25">
      <c r="A624"/>
      <c r="B624"/>
      <c r="C624"/>
      <c r="D624"/>
      <c r="E624"/>
      <c r="F624"/>
      <c r="G624"/>
      <c r="H624"/>
      <c r="I624"/>
      <c r="J624"/>
    </row>
    <row r="625" spans="1:10" x14ac:dyDescent="0.25">
      <c r="A625"/>
      <c r="B625"/>
      <c r="C625"/>
      <c r="D625"/>
      <c r="E625"/>
      <c r="F625"/>
      <c r="G625"/>
      <c r="H625"/>
      <c r="I625"/>
      <c r="J625"/>
    </row>
    <row r="626" spans="1:10" x14ac:dyDescent="0.25">
      <c r="A626"/>
      <c r="B626"/>
      <c r="C626"/>
      <c r="D626"/>
      <c r="E626"/>
      <c r="F626"/>
      <c r="G626"/>
      <c r="H626"/>
      <c r="I626"/>
      <c r="J626"/>
    </row>
    <row r="627" spans="1:10" x14ac:dyDescent="0.25">
      <c r="A627"/>
      <c r="B627"/>
      <c r="C627"/>
      <c r="D627"/>
      <c r="E627"/>
      <c r="F627"/>
      <c r="G627"/>
      <c r="H627"/>
      <c r="I627"/>
      <c r="J627"/>
    </row>
    <row r="628" spans="1:10" x14ac:dyDescent="0.25">
      <c r="A628"/>
      <c r="B628"/>
      <c r="C628"/>
      <c r="D628"/>
      <c r="E628"/>
      <c r="F628"/>
      <c r="G628"/>
      <c r="H628"/>
      <c r="I628"/>
      <c r="J628"/>
    </row>
    <row r="629" spans="1:10" x14ac:dyDescent="0.25">
      <c r="A629"/>
      <c r="B629"/>
      <c r="C629"/>
      <c r="D629"/>
      <c r="E629"/>
      <c r="F629"/>
      <c r="G629"/>
      <c r="H629"/>
      <c r="I629"/>
      <c r="J629"/>
    </row>
    <row r="630" spans="1:10" x14ac:dyDescent="0.25">
      <c r="A630"/>
      <c r="B630"/>
      <c r="C630"/>
      <c r="D630"/>
      <c r="E630"/>
      <c r="F630"/>
      <c r="G630"/>
      <c r="H630"/>
      <c r="I630"/>
      <c r="J630"/>
    </row>
    <row r="631" spans="1:10" x14ac:dyDescent="0.25">
      <c r="A631"/>
      <c r="B631"/>
      <c r="C631"/>
      <c r="D631"/>
      <c r="E631"/>
      <c r="F631"/>
      <c r="G631"/>
      <c r="H631"/>
      <c r="I631"/>
      <c r="J631"/>
    </row>
    <row r="632" spans="1:10" x14ac:dyDescent="0.25">
      <c r="A632"/>
      <c r="B632"/>
      <c r="C632"/>
      <c r="D632"/>
      <c r="E632"/>
      <c r="F632"/>
      <c r="G632"/>
      <c r="H632"/>
      <c r="I632"/>
      <c r="J632"/>
    </row>
    <row r="633" spans="1:10" x14ac:dyDescent="0.25">
      <c r="A633"/>
      <c r="B633"/>
      <c r="C633"/>
      <c r="D633"/>
      <c r="E633"/>
      <c r="F633"/>
      <c r="G633"/>
      <c r="H633"/>
      <c r="I633"/>
      <c r="J633"/>
    </row>
    <row r="634" spans="1:10" x14ac:dyDescent="0.25">
      <c r="A634"/>
      <c r="B634"/>
      <c r="C634"/>
      <c r="D634"/>
      <c r="E634"/>
      <c r="F634"/>
      <c r="G634"/>
      <c r="H634"/>
      <c r="I634"/>
      <c r="J634"/>
    </row>
    <row r="635" spans="1:10" x14ac:dyDescent="0.25">
      <c r="A635"/>
      <c r="B635"/>
      <c r="C635"/>
      <c r="D635"/>
      <c r="E635"/>
      <c r="F635"/>
      <c r="G635"/>
      <c r="H635"/>
      <c r="I635"/>
      <c r="J635"/>
    </row>
    <row r="636" spans="1:10" x14ac:dyDescent="0.25">
      <c r="A636"/>
      <c r="B636"/>
      <c r="C636"/>
      <c r="D636"/>
      <c r="E636"/>
      <c r="F636"/>
      <c r="G636"/>
      <c r="H636"/>
      <c r="I636"/>
      <c r="J636"/>
    </row>
    <row r="637" spans="1:10" x14ac:dyDescent="0.25">
      <c r="A637"/>
      <c r="B637"/>
      <c r="C637"/>
      <c r="D637"/>
      <c r="E637"/>
      <c r="F637"/>
      <c r="G637"/>
      <c r="H637"/>
      <c r="I637"/>
      <c r="J637"/>
    </row>
    <row r="638" spans="1:10" x14ac:dyDescent="0.25">
      <c r="A638"/>
      <c r="B638"/>
      <c r="C638"/>
      <c r="D638"/>
      <c r="E638"/>
      <c r="F638"/>
      <c r="G638"/>
      <c r="H638"/>
      <c r="I638"/>
      <c r="J638"/>
    </row>
    <row r="639" spans="1:10" x14ac:dyDescent="0.25">
      <c r="A639"/>
      <c r="B639"/>
      <c r="C639"/>
      <c r="D639"/>
      <c r="E639"/>
      <c r="F639"/>
      <c r="G639"/>
      <c r="H639"/>
      <c r="I639"/>
      <c r="J639"/>
    </row>
    <row r="640" spans="1:10" x14ac:dyDescent="0.25">
      <c r="A640"/>
      <c r="B640"/>
      <c r="C640"/>
      <c r="D640"/>
      <c r="E640"/>
      <c r="F640"/>
      <c r="G640"/>
      <c r="H640"/>
      <c r="I640"/>
      <c r="J640"/>
    </row>
    <row r="641" spans="1:10" x14ac:dyDescent="0.25">
      <c r="A641"/>
      <c r="B641"/>
      <c r="C641"/>
      <c r="D641"/>
      <c r="E641"/>
      <c r="F641"/>
      <c r="G641"/>
      <c r="H641"/>
      <c r="I641"/>
      <c r="J641"/>
    </row>
    <row r="642" spans="1:10" x14ac:dyDescent="0.25">
      <c r="A642"/>
      <c r="B642"/>
      <c r="C642"/>
      <c r="D642"/>
      <c r="E642"/>
      <c r="F642"/>
      <c r="G642"/>
      <c r="H642"/>
      <c r="I642"/>
      <c r="J642"/>
    </row>
    <row r="643" spans="1:10" x14ac:dyDescent="0.25">
      <c r="A643"/>
      <c r="B643"/>
      <c r="C643"/>
      <c r="D643"/>
      <c r="E643"/>
      <c r="F643"/>
      <c r="G643"/>
      <c r="H643"/>
      <c r="I643"/>
      <c r="J643"/>
    </row>
    <row r="644" spans="1:10" x14ac:dyDescent="0.25">
      <c r="A644"/>
      <c r="B644"/>
      <c r="C644"/>
      <c r="D644"/>
      <c r="E644"/>
      <c r="F644"/>
      <c r="G644"/>
      <c r="H644"/>
      <c r="I644"/>
      <c r="J644"/>
    </row>
    <row r="645" spans="1:10" x14ac:dyDescent="0.25">
      <c r="A645"/>
      <c r="B645"/>
      <c r="C645"/>
      <c r="D645"/>
      <c r="E645"/>
      <c r="F645"/>
      <c r="G645"/>
      <c r="H645"/>
      <c r="I645"/>
      <c r="J645"/>
    </row>
    <row r="646" spans="1:10" x14ac:dyDescent="0.25">
      <c r="A646"/>
      <c r="B646"/>
      <c r="C646"/>
      <c r="D646"/>
      <c r="E646"/>
      <c r="F646"/>
      <c r="G646"/>
      <c r="H646"/>
      <c r="I646"/>
      <c r="J646"/>
    </row>
    <row r="647" spans="1:10" x14ac:dyDescent="0.25">
      <c r="A647"/>
      <c r="B647"/>
      <c r="C647"/>
      <c r="D647"/>
      <c r="E647"/>
      <c r="F647"/>
      <c r="G647"/>
      <c r="H647"/>
      <c r="I647"/>
      <c r="J647"/>
    </row>
    <row r="648" spans="1:10" x14ac:dyDescent="0.25">
      <c r="A648"/>
      <c r="B648"/>
      <c r="C648"/>
      <c r="D648"/>
      <c r="E648"/>
      <c r="F648"/>
      <c r="G648"/>
      <c r="H648"/>
      <c r="I648"/>
      <c r="J648"/>
    </row>
    <row r="649" spans="1:10" x14ac:dyDescent="0.25">
      <c r="A649"/>
      <c r="B649"/>
      <c r="C649"/>
      <c r="D649"/>
      <c r="E649"/>
      <c r="F649"/>
      <c r="G649"/>
      <c r="H649"/>
      <c r="I649"/>
      <c r="J649"/>
    </row>
    <row r="650" spans="1:10" x14ac:dyDescent="0.25">
      <c r="A650"/>
      <c r="B650"/>
      <c r="C650"/>
      <c r="D650"/>
      <c r="E650"/>
      <c r="F650"/>
      <c r="G650"/>
      <c r="H650"/>
      <c r="I650"/>
      <c r="J650"/>
    </row>
    <row r="651" spans="1:10" x14ac:dyDescent="0.25">
      <c r="A651"/>
      <c r="B651"/>
      <c r="C651"/>
      <c r="D651"/>
      <c r="E651"/>
      <c r="F651"/>
      <c r="G651"/>
      <c r="H651"/>
      <c r="I651"/>
      <c r="J651"/>
    </row>
    <row r="652" spans="1:10" x14ac:dyDescent="0.25">
      <c r="A652"/>
      <c r="B652"/>
      <c r="C652"/>
      <c r="D652"/>
      <c r="E652"/>
      <c r="F652"/>
      <c r="G652"/>
      <c r="H652"/>
      <c r="I652"/>
      <c r="J652"/>
    </row>
    <row r="653" spans="1:10" x14ac:dyDescent="0.25">
      <c r="A653"/>
      <c r="B653"/>
      <c r="C653"/>
      <c r="D653"/>
      <c r="E653"/>
      <c r="F653"/>
      <c r="G653"/>
      <c r="H653"/>
      <c r="I653"/>
      <c r="J653"/>
    </row>
    <row r="654" spans="1:10" x14ac:dyDescent="0.25">
      <c r="A654"/>
      <c r="B654"/>
      <c r="C654"/>
      <c r="D654"/>
      <c r="E654"/>
      <c r="F654"/>
      <c r="G654"/>
      <c r="H654"/>
      <c r="I654"/>
      <c r="J654"/>
    </row>
    <row r="655" spans="1:10" x14ac:dyDescent="0.25">
      <c r="A655"/>
      <c r="B655"/>
      <c r="C655"/>
      <c r="D655"/>
      <c r="E655"/>
      <c r="F655"/>
      <c r="G655"/>
      <c r="H655"/>
      <c r="I655"/>
      <c r="J655"/>
    </row>
    <row r="656" spans="1:10" x14ac:dyDescent="0.25">
      <c r="A656"/>
      <c r="B656"/>
      <c r="C656"/>
      <c r="D656"/>
      <c r="E656"/>
      <c r="F656"/>
      <c r="G656"/>
      <c r="H656"/>
      <c r="I656"/>
      <c r="J656"/>
    </row>
    <row r="657" spans="1:10" x14ac:dyDescent="0.25">
      <c r="A657"/>
      <c r="B657"/>
      <c r="C657"/>
      <c r="D657"/>
      <c r="E657"/>
      <c r="F657"/>
      <c r="G657"/>
      <c r="H657"/>
      <c r="I657"/>
      <c r="J657"/>
    </row>
    <row r="658" spans="1:10" x14ac:dyDescent="0.25">
      <c r="A658"/>
      <c r="B658"/>
      <c r="C658"/>
      <c r="D658"/>
      <c r="E658"/>
      <c r="F658"/>
      <c r="G658"/>
      <c r="H658"/>
      <c r="I658"/>
      <c r="J658"/>
    </row>
    <row r="659" spans="1:10" x14ac:dyDescent="0.25">
      <c r="A659"/>
      <c r="B659"/>
      <c r="C659"/>
      <c r="D659"/>
      <c r="E659"/>
      <c r="F659"/>
      <c r="G659"/>
      <c r="H659"/>
      <c r="I659"/>
      <c r="J659"/>
    </row>
    <row r="660" spans="1:10" x14ac:dyDescent="0.25">
      <c r="A660"/>
      <c r="B660"/>
      <c r="C660"/>
      <c r="D660"/>
      <c r="E660"/>
      <c r="F660"/>
      <c r="G660"/>
      <c r="H660"/>
      <c r="I660"/>
      <c r="J660"/>
    </row>
    <row r="661" spans="1:10" x14ac:dyDescent="0.25">
      <c r="A661"/>
      <c r="B661"/>
      <c r="C661"/>
      <c r="D661"/>
      <c r="E661"/>
      <c r="F661"/>
      <c r="G661"/>
      <c r="H661"/>
      <c r="I661"/>
      <c r="J661"/>
    </row>
    <row r="662" spans="1:10" x14ac:dyDescent="0.25">
      <c r="A662"/>
      <c r="B662"/>
      <c r="C662"/>
      <c r="D662"/>
      <c r="E662"/>
      <c r="F662"/>
      <c r="G662"/>
      <c r="H662"/>
      <c r="I662"/>
      <c r="J662"/>
    </row>
    <row r="663" spans="1:10" x14ac:dyDescent="0.25">
      <c r="A663"/>
      <c r="B663"/>
      <c r="C663"/>
      <c r="D663"/>
      <c r="E663"/>
      <c r="F663"/>
      <c r="G663"/>
      <c r="H663"/>
      <c r="I663"/>
      <c r="J663"/>
    </row>
    <row r="664" spans="1:10" x14ac:dyDescent="0.25">
      <c r="A664"/>
      <c r="B664"/>
      <c r="C664"/>
      <c r="D664"/>
      <c r="E664"/>
      <c r="F664"/>
      <c r="G664"/>
      <c r="H664"/>
      <c r="I664"/>
      <c r="J664"/>
    </row>
    <row r="665" spans="1:10" x14ac:dyDescent="0.25">
      <c r="A665"/>
      <c r="B665"/>
      <c r="C665"/>
      <c r="D665"/>
      <c r="E665"/>
      <c r="F665"/>
      <c r="G665"/>
      <c r="H665"/>
      <c r="I665"/>
      <c r="J665"/>
    </row>
    <row r="666" spans="1:10" x14ac:dyDescent="0.25">
      <c r="A666"/>
      <c r="B666"/>
      <c r="C666"/>
      <c r="D666"/>
      <c r="E666"/>
      <c r="F666"/>
      <c r="G666"/>
      <c r="H666"/>
      <c r="I666"/>
      <c r="J666"/>
    </row>
    <row r="667" spans="1:10" x14ac:dyDescent="0.25">
      <c r="A667"/>
      <c r="B667"/>
      <c r="C667"/>
      <c r="D667"/>
      <c r="E667"/>
      <c r="F667"/>
      <c r="G667"/>
      <c r="H667"/>
      <c r="I667"/>
      <c r="J667"/>
    </row>
    <row r="668" spans="1:10" x14ac:dyDescent="0.25">
      <c r="A668"/>
      <c r="B668"/>
      <c r="C668"/>
      <c r="D668"/>
      <c r="E668"/>
      <c r="F668"/>
      <c r="G668"/>
      <c r="H668"/>
      <c r="I668"/>
      <c r="J668"/>
    </row>
    <row r="669" spans="1:10" x14ac:dyDescent="0.25">
      <c r="A669"/>
      <c r="B669"/>
      <c r="C669"/>
      <c r="D669"/>
      <c r="E669"/>
      <c r="F669"/>
      <c r="G669"/>
      <c r="H669"/>
      <c r="I669"/>
      <c r="J669"/>
    </row>
    <row r="670" spans="1:10" x14ac:dyDescent="0.25">
      <c r="A670"/>
      <c r="B670"/>
      <c r="C670"/>
      <c r="D670"/>
      <c r="E670"/>
      <c r="F670"/>
      <c r="G670"/>
      <c r="H670"/>
      <c r="I670"/>
      <c r="J670"/>
    </row>
    <row r="671" spans="1:10" x14ac:dyDescent="0.25">
      <c r="A671"/>
      <c r="B671"/>
      <c r="C671"/>
      <c r="D671"/>
      <c r="E671"/>
      <c r="F671"/>
      <c r="G671"/>
      <c r="H671"/>
      <c r="I671"/>
      <c r="J671"/>
    </row>
    <row r="672" spans="1:10" x14ac:dyDescent="0.25">
      <c r="A672"/>
      <c r="B672"/>
      <c r="C672"/>
      <c r="D672"/>
      <c r="E672"/>
      <c r="F672"/>
      <c r="G672"/>
      <c r="H672"/>
      <c r="I672"/>
      <c r="J672"/>
    </row>
    <row r="673" spans="1:10" x14ac:dyDescent="0.25">
      <c r="A673"/>
      <c r="B673"/>
      <c r="C673"/>
      <c r="D673"/>
      <c r="E673"/>
      <c r="F673"/>
      <c r="G673"/>
      <c r="H673"/>
      <c r="I673"/>
      <c r="J673"/>
    </row>
    <row r="674" spans="1:10" x14ac:dyDescent="0.25">
      <c r="A674"/>
      <c r="B674"/>
      <c r="C674"/>
      <c r="D674"/>
      <c r="E674"/>
      <c r="F674"/>
      <c r="G674"/>
      <c r="H674"/>
      <c r="I674"/>
      <c r="J674"/>
    </row>
    <row r="675" spans="1:10" x14ac:dyDescent="0.25">
      <c r="A675"/>
      <c r="B675"/>
      <c r="C675"/>
      <c r="D675"/>
      <c r="E675"/>
      <c r="F675"/>
      <c r="G675"/>
      <c r="H675"/>
      <c r="I675"/>
      <c r="J675"/>
    </row>
    <row r="676" spans="1:10" x14ac:dyDescent="0.25">
      <c r="A676"/>
      <c r="B676"/>
      <c r="C676"/>
      <c r="D676"/>
      <c r="E676"/>
      <c r="F676"/>
      <c r="G676"/>
      <c r="H676"/>
      <c r="I676"/>
      <c r="J676"/>
    </row>
    <row r="677" spans="1:10" x14ac:dyDescent="0.25">
      <c r="A677"/>
      <c r="B677"/>
      <c r="C677"/>
      <c r="D677"/>
      <c r="E677"/>
      <c r="F677"/>
      <c r="G677"/>
      <c r="H677"/>
      <c r="I677"/>
      <c r="J677"/>
    </row>
    <row r="678" spans="1:10" x14ac:dyDescent="0.25">
      <c r="A678"/>
      <c r="B678"/>
      <c r="C678"/>
      <c r="D678"/>
      <c r="E678"/>
      <c r="F678"/>
      <c r="G678"/>
      <c r="H678"/>
      <c r="I678"/>
      <c r="J678"/>
    </row>
    <row r="679" spans="1:10" x14ac:dyDescent="0.25">
      <c r="A679"/>
      <c r="B679"/>
      <c r="C679"/>
      <c r="D679"/>
      <c r="E679"/>
      <c r="F679"/>
      <c r="G679"/>
      <c r="H679"/>
      <c r="I679"/>
      <c r="J679"/>
    </row>
    <row r="680" spans="1:10" x14ac:dyDescent="0.25">
      <c r="A680"/>
      <c r="B680"/>
      <c r="C680"/>
      <c r="D680"/>
      <c r="E680"/>
      <c r="F680"/>
      <c r="G680"/>
      <c r="H680"/>
      <c r="I680"/>
      <c r="J680"/>
    </row>
    <row r="681" spans="1:10" x14ac:dyDescent="0.25">
      <c r="A681"/>
      <c r="B681"/>
      <c r="C681"/>
      <c r="D681"/>
      <c r="E681"/>
      <c r="F681"/>
      <c r="G681"/>
      <c r="H681"/>
      <c r="I681"/>
      <c r="J681"/>
    </row>
    <row r="682" spans="1:10" x14ac:dyDescent="0.25">
      <c r="A682"/>
      <c r="B682"/>
      <c r="C682"/>
      <c r="D682"/>
      <c r="E682"/>
      <c r="F682"/>
      <c r="G682"/>
      <c r="H682"/>
      <c r="I682"/>
      <c r="J682"/>
    </row>
    <row r="683" spans="1:10" x14ac:dyDescent="0.25">
      <c r="A683"/>
      <c r="B683"/>
      <c r="C683"/>
      <c r="D683"/>
      <c r="E683"/>
      <c r="F683"/>
      <c r="G683"/>
      <c r="H683"/>
      <c r="I683"/>
      <c r="J683"/>
    </row>
    <row r="684" spans="1:10" x14ac:dyDescent="0.25">
      <c r="A684"/>
      <c r="B684"/>
      <c r="C684"/>
      <c r="D684"/>
      <c r="E684"/>
      <c r="F684"/>
      <c r="G684"/>
      <c r="H684"/>
      <c r="I684"/>
      <c r="J684"/>
    </row>
    <row r="685" spans="1:10" x14ac:dyDescent="0.25">
      <c r="A685"/>
      <c r="B685"/>
      <c r="C685"/>
      <c r="D685"/>
      <c r="E685"/>
      <c r="F685"/>
      <c r="G685"/>
      <c r="H685"/>
      <c r="I685"/>
      <c r="J685"/>
    </row>
    <row r="686" spans="1:10" x14ac:dyDescent="0.25">
      <c r="A686"/>
      <c r="B686"/>
      <c r="C686"/>
      <c r="D686"/>
      <c r="E686"/>
      <c r="F686"/>
      <c r="G686"/>
      <c r="H686"/>
      <c r="I686"/>
      <c r="J686"/>
    </row>
    <row r="687" spans="1:10" x14ac:dyDescent="0.25">
      <c r="A687"/>
      <c r="B687"/>
      <c r="C687"/>
      <c r="D687"/>
      <c r="E687"/>
      <c r="F687"/>
      <c r="G687"/>
      <c r="H687"/>
      <c r="I687"/>
      <c r="J687"/>
    </row>
    <row r="688" spans="1:10" x14ac:dyDescent="0.25">
      <c r="A688"/>
      <c r="B688"/>
      <c r="C688"/>
      <c r="D688"/>
      <c r="E688"/>
      <c r="F688"/>
      <c r="G688"/>
      <c r="H688"/>
      <c r="I688"/>
      <c r="J688"/>
    </row>
    <row r="689" spans="1:10" x14ac:dyDescent="0.25">
      <c r="A689"/>
      <c r="B689"/>
      <c r="C689"/>
      <c r="D689"/>
      <c r="E689"/>
      <c r="F689"/>
      <c r="G689"/>
      <c r="H689"/>
      <c r="I689"/>
      <c r="J689"/>
    </row>
    <row r="690" spans="1:10" x14ac:dyDescent="0.25">
      <c r="A690"/>
      <c r="B690"/>
      <c r="C690"/>
      <c r="D690"/>
      <c r="E690"/>
      <c r="F690"/>
      <c r="G690"/>
      <c r="H690"/>
      <c r="I690"/>
      <c r="J690"/>
    </row>
    <row r="691" spans="1:10" x14ac:dyDescent="0.25">
      <c r="A691"/>
      <c r="B691"/>
      <c r="C691"/>
      <c r="D691"/>
      <c r="E691"/>
      <c r="F691"/>
      <c r="G691"/>
      <c r="H691"/>
      <c r="I691"/>
      <c r="J691"/>
    </row>
    <row r="692" spans="1:10" x14ac:dyDescent="0.25">
      <c r="A692"/>
      <c r="B692"/>
      <c r="C692"/>
      <c r="D692"/>
      <c r="E692"/>
      <c r="F692"/>
      <c r="G692"/>
      <c r="H692"/>
      <c r="I692"/>
      <c r="J692"/>
    </row>
    <row r="693" spans="1:10" x14ac:dyDescent="0.25">
      <c r="A693"/>
      <c r="B693"/>
      <c r="C693"/>
      <c r="D693"/>
      <c r="E693"/>
      <c r="F693"/>
      <c r="G693"/>
      <c r="H693"/>
      <c r="I693"/>
      <c r="J693"/>
    </row>
    <row r="694" spans="1:10" x14ac:dyDescent="0.25">
      <c r="A694"/>
      <c r="B694"/>
      <c r="C694"/>
      <c r="D694"/>
      <c r="E694"/>
      <c r="F694"/>
      <c r="G694"/>
      <c r="H694"/>
      <c r="I694"/>
      <c r="J694"/>
    </row>
    <row r="695" spans="1:10" x14ac:dyDescent="0.25">
      <c r="A695"/>
      <c r="B695"/>
      <c r="C695"/>
      <c r="D695"/>
      <c r="E695"/>
      <c r="F695"/>
      <c r="G695"/>
      <c r="H695"/>
      <c r="I695"/>
      <c r="J695"/>
    </row>
    <row r="696" spans="1:10" x14ac:dyDescent="0.25">
      <c r="A696"/>
      <c r="B696"/>
      <c r="C696"/>
      <c r="D696"/>
      <c r="E696"/>
      <c r="F696"/>
      <c r="G696"/>
      <c r="H696"/>
      <c r="I696"/>
      <c r="J696"/>
    </row>
    <row r="697" spans="1:10" x14ac:dyDescent="0.25">
      <c r="A697"/>
      <c r="B697"/>
      <c r="C697"/>
      <c r="D697"/>
      <c r="E697"/>
      <c r="F697"/>
      <c r="G697"/>
      <c r="H697"/>
      <c r="I697"/>
      <c r="J697"/>
    </row>
    <row r="698" spans="1:10" x14ac:dyDescent="0.25">
      <c r="A698"/>
      <c r="B698"/>
      <c r="C698"/>
      <c r="D698"/>
      <c r="E698"/>
      <c r="F698"/>
      <c r="G698"/>
      <c r="H698"/>
      <c r="I698"/>
      <c r="J698"/>
    </row>
    <row r="699" spans="1:10" x14ac:dyDescent="0.25">
      <c r="A699"/>
      <c r="B699"/>
      <c r="C699"/>
      <c r="D699"/>
      <c r="E699"/>
      <c r="F699"/>
      <c r="G699"/>
      <c r="H699"/>
      <c r="I699"/>
      <c r="J699"/>
    </row>
    <row r="700" spans="1:10" x14ac:dyDescent="0.25">
      <c r="A700"/>
      <c r="B700"/>
      <c r="C700"/>
      <c r="D700"/>
      <c r="E700"/>
      <c r="F700"/>
      <c r="G700"/>
      <c r="H700"/>
      <c r="I700"/>
      <c r="J700"/>
    </row>
    <row r="701" spans="1:10" x14ac:dyDescent="0.25">
      <c r="A701"/>
      <c r="B701"/>
      <c r="C701"/>
      <c r="D701"/>
      <c r="E701"/>
      <c r="F701"/>
      <c r="G701"/>
      <c r="H701"/>
      <c r="I701"/>
      <c r="J701"/>
    </row>
    <row r="702" spans="1:10" x14ac:dyDescent="0.25">
      <c r="A702"/>
      <c r="B702"/>
      <c r="C702"/>
      <c r="D702"/>
      <c r="E702"/>
      <c r="F702"/>
      <c r="G702"/>
      <c r="H702"/>
      <c r="I702"/>
      <c r="J702"/>
    </row>
    <row r="703" spans="1:10" x14ac:dyDescent="0.25">
      <c r="A703"/>
      <c r="B703"/>
      <c r="C703"/>
      <c r="D703"/>
      <c r="E703"/>
      <c r="F703"/>
      <c r="G703"/>
      <c r="H703"/>
      <c r="I703"/>
      <c r="J703"/>
    </row>
    <row r="704" spans="1:10" x14ac:dyDescent="0.25">
      <c r="A704"/>
      <c r="B704"/>
      <c r="C704"/>
      <c r="D704"/>
      <c r="E704"/>
      <c r="F704"/>
      <c r="G704"/>
      <c r="H704"/>
      <c r="I704"/>
      <c r="J704"/>
    </row>
    <row r="705" spans="1:10" x14ac:dyDescent="0.25">
      <c r="A705"/>
      <c r="B705"/>
      <c r="C705"/>
      <c r="D705"/>
      <c r="E705"/>
      <c r="F705"/>
      <c r="G705"/>
      <c r="H705"/>
      <c r="I705"/>
      <c r="J705"/>
    </row>
    <row r="706" spans="1:10" x14ac:dyDescent="0.25">
      <c r="A706"/>
      <c r="B706"/>
      <c r="C706"/>
      <c r="D706"/>
      <c r="E706"/>
      <c r="F706"/>
      <c r="G706"/>
      <c r="H706"/>
      <c r="I706"/>
      <c r="J706"/>
    </row>
    <row r="707" spans="1:10" x14ac:dyDescent="0.25">
      <c r="A707"/>
      <c r="B707"/>
      <c r="C707"/>
      <c r="D707"/>
      <c r="E707"/>
      <c r="F707"/>
      <c r="G707"/>
      <c r="H707"/>
      <c r="I707"/>
      <c r="J707"/>
    </row>
    <row r="708" spans="1:10" x14ac:dyDescent="0.25">
      <c r="A708"/>
      <c r="B708"/>
      <c r="C708"/>
      <c r="D708"/>
      <c r="E708"/>
      <c r="F708"/>
      <c r="G708"/>
      <c r="H708"/>
      <c r="I708"/>
      <c r="J708"/>
    </row>
    <row r="709" spans="1:10" x14ac:dyDescent="0.25">
      <c r="A709"/>
      <c r="B709"/>
      <c r="C709"/>
      <c r="D709"/>
      <c r="E709"/>
      <c r="F709"/>
      <c r="G709"/>
      <c r="H709"/>
      <c r="I709"/>
      <c r="J709"/>
    </row>
    <row r="710" spans="1:10" x14ac:dyDescent="0.25">
      <c r="A710"/>
      <c r="B710"/>
      <c r="C710"/>
      <c r="D710"/>
      <c r="E710"/>
      <c r="F710"/>
      <c r="G710"/>
      <c r="H710"/>
      <c r="I710"/>
      <c r="J710"/>
    </row>
    <row r="711" spans="1:10" x14ac:dyDescent="0.25">
      <c r="A711"/>
      <c r="B711"/>
      <c r="C711"/>
      <c r="D711"/>
      <c r="E711"/>
      <c r="F711"/>
      <c r="G711"/>
      <c r="H711"/>
      <c r="I711"/>
      <c r="J711"/>
    </row>
    <row r="712" spans="1:10" x14ac:dyDescent="0.25">
      <c r="A712"/>
      <c r="B712"/>
      <c r="C712"/>
      <c r="D712"/>
      <c r="E712"/>
      <c r="F712"/>
      <c r="G712"/>
      <c r="H712"/>
      <c r="I712"/>
      <c r="J712"/>
    </row>
    <row r="713" spans="1:10" x14ac:dyDescent="0.25">
      <c r="A713"/>
      <c r="B713"/>
      <c r="C713"/>
      <c r="D713"/>
      <c r="E713"/>
      <c r="F713"/>
      <c r="G713"/>
      <c r="H713"/>
      <c r="I713"/>
      <c r="J713"/>
    </row>
    <row r="714" spans="1:10" x14ac:dyDescent="0.25">
      <c r="A714"/>
      <c r="B714"/>
      <c r="C714"/>
      <c r="D714"/>
      <c r="E714"/>
      <c r="F714"/>
      <c r="G714"/>
      <c r="H714"/>
      <c r="I714"/>
      <c r="J714"/>
    </row>
    <row r="715" spans="1:10" x14ac:dyDescent="0.25">
      <c r="A715"/>
      <c r="B715"/>
      <c r="C715"/>
      <c r="D715"/>
      <c r="E715"/>
      <c r="F715"/>
      <c r="G715"/>
      <c r="H715"/>
      <c r="I715"/>
      <c r="J715"/>
    </row>
    <row r="716" spans="1:10" x14ac:dyDescent="0.25">
      <c r="A716"/>
      <c r="B716"/>
      <c r="C716"/>
      <c r="D716"/>
      <c r="E716"/>
      <c r="F716"/>
      <c r="G716"/>
      <c r="H716"/>
      <c r="I716"/>
      <c r="J716"/>
    </row>
    <row r="717" spans="1:10" x14ac:dyDescent="0.25">
      <c r="A717"/>
      <c r="B717"/>
      <c r="C717"/>
      <c r="D717"/>
      <c r="E717"/>
      <c r="F717"/>
      <c r="G717"/>
      <c r="H717"/>
      <c r="I717"/>
      <c r="J717"/>
    </row>
    <row r="718" spans="1:10" x14ac:dyDescent="0.25">
      <c r="A718"/>
      <c r="B718"/>
      <c r="C718"/>
      <c r="D718"/>
      <c r="E718"/>
      <c r="F718"/>
      <c r="G718"/>
      <c r="H718"/>
      <c r="I718"/>
      <c r="J718"/>
    </row>
    <row r="719" spans="1:10" x14ac:dyDescent="0.25">
      <c r="A719"/>
      <c r="B719"/>
      <c r="C719"/>
      <c r="D719"/>
      <c r="E719"/>
      <c r="F719"/>
      <c r="G719"/>
      <c r="H719"/>
      <c r="I719"/>
      <c r="J719"/>
    </row>
    <row r="720" spans="1:10" x14ac:dyDescent="0.25">
      <c r="A720"/>
      <c r="B720"/>
      <c r="C720"/>
      <c r="D720"/>
      <c r="E720"/>
      <c r="F720"/>
      <c r="G720"/>
      <c r="H720"/>
      <c r="I720"/>
      <c r="J720"/>
    </row>
    <row r="721" spans="1:10" x14ac:dyDescent="0.25">
      <c r="A721"/>
      <c r="B721"/>
      <c r="C721"/>
      <c r="D721"/>
      <c r="E721"/>
      <c r="F721"/>
      <c r="G721"/>
      <c r="H721"/>
      <c r="I721"/>
      <c r="J721"/>
    </row>
    <row r="722" spans="1:10" x14ac:dyDescent="0.25">
      <c r="A722"/>
      <c r="B722"/>
      <c r="C722"/>
      <c r="D722"/>
      <c r="E722"/>
      <c r="F722"/>
      <c r="G722"/>
      <c r="H722"/>
      <c r="I722"/>
      <c r="J722"/>
    </row>
    <row r="723" spans="1:10" x14ac:dyDescent="0.25">
      <c r="A723"/>
      <c r="B723"/>
      <c r="C723"/>
      <c r="D723"/>
      <c r="E723"/>
      <c r="F723"/>
      <c r="G723"/>
      <c r="H723"/>
      <c r="I723"/>
      <c r="J723"/>
    </row>
    <row r="724" spans="1:10" x14ac:dyDescent="0.25">
      <c r="A724"/>
      <c r="B724"/>
      <c r="C724"/>
      <c r="D724"/>
      <c r="E724"/>
      <c r="F724"/>
      <c r="G724"/>
      <c r="H724"/>
      <c r="I724"/>
      <c r="J724"/>
    </row>
    <row r="725" spans="1:10" x14ac:dyDescent="0.25">
      <c r="A725"/>
      <c r="B725"/>
      <c r="C725"/>
      <c r="D725"/>
      <c r="E725"/>
      <c r="F725"/>
      <c r="G725"/>
      <c r="H725"/>
      <c r="I725"/>
      <c r="J725"/>
    </row>
    <row r="726" spans="1:10" x14ac:dyDescent="0.25">
      <c r="A726"/>
      <c r="B726"/>
      <c r="C726"/>
      <c r="D726"/>
      <c r="E726"/>
      <c r="F726"/>
      <c r="G726"/>
      <c r="H726"/>
      <c r="I726"/>
      <c r="J726"/>
    </row>
    <row r="727" spans="1:10" x14ac:dyDescent="0.25">
      <c r="A727"/>
      <c r="B727"/>
      <c r="C727"/>
      <c r="D727"/>
      <c r="E727"/>
      <c r="F727"/>
      <c r="G727"/>
      <c r="H727"/>
      <c r="I727"/>
      <c r="J727"/>
    </row>
    <row r="728" spans="1:10" x14ac:dyDescent="0.25">
      <c r="A728"/>
      <c r="B728"/>
      <c r="C728"/>
      <c r="D728"/>
      <c r="E728"/>
      <c r="F728"/>
      <c r="G728"/>
      <c r="H728"/>
      <c r="I728"/>
      <c r="J728"/>
    </row>
    <row r="729" spans="1:10" x14ac:dyDescent="0.25">
      <c r="A729"/>
      <c r="B729"/>
      <c r="C729"/>
      <c r="D729"/>
      <c r="E729"/>
      <c r="F729"/>
      <c r="G729"/>
      <c r="H729"/>
      <c r="I729"/>
      <c r="J729"/>
    </row>
    <row r="730" spans="1:10" x14ac:dyDescent="0.25">
      <c r="A730"/>
      <c r="B730"/>
      <c r="C730"/>
      <c r="D730"/>
      <c r="E730"/>
      <c r="F730"/>
      <c r="G730"/>
      <c r="H730"/>
      <c r="I730"/>
      <c r="J730"/>
    </row>
    <row r="731" spans="1:10" x14ac:dyDescent="0.25">
      <c r="A731"/>
      <c r="B731"/>
      <c r="C731"/>
      <c r="D731"/>
      <c r="E731"/>
      <c r="F731"/>
      <c r="G731"/>
      <c r="H731"/>
      <c r="I731"/>
      <c r="J731"/>
    </row>
    <row r="732" spans="1:10" x14ac:dyDescent="0.25">
      <c r="A732"/>
      <c r="B732"/>
      <c r="C732"/>
      <c r="D732"/>
      <c r="E732"/>
      <c r="F732"/>
      <c r="G732"/>
      <c r="H732"/>
      <c r="I732"/>
      <c r="J732"/>
    </row>
    <row r="733" spans="1:10" x14ac:dyDescent="0.25">
      <c r="A733"/>
      <c r="B733"/>
      <c r="C733"/>
      <c r="D733"/>
      <c r="E733"/>
      <c r="F733"/>
      <c r="G733"/>
      <c r="H733"/>
      <c r="I733"/>
      <c r="J733"/>
    </row>
    <row r="734" spans="1:10" x14ac:dyDescent="0.25">
      <c r="A734"/>
      <c r="B734"/>
      <c r="C734"/>
      <c r="D734"/>
      <c r="E734"/>
      <c r="F734"/>
      <c r="G734"/>
      <c r="H734"/>
      <c r="I734"/>
      <c r="J734"/>
    </row>
    <row r="735" spans="1:10" x14ac:dyDescent="0.25">
      <c r="A735"/>
      <c r="B735"/>
      <c r="C735"/>
      <c r="D735"/>
      <c r="E735"/>
      <c r="F735"/>
      <c r="G735"/>
      <c r="H735"/>
      <c r="I735"/>
      <c r="J735"/>
    </row>
    <row r="736" spans="1:10" x14ac:dyDescent="0.25">
      <c r="A736"/>
      <c r="B736"/>
      <c r="C736"/>
      <c r="D736"/>
      <c r="E736"/>
      <c r="F736"/>
      <c r="G736"/>
      <c r="H736"/>
      <c r="I736"/>
      <c r="J736"/>
    </row>
    <row r="737" spans="1:10" x14ac:dyDescent="0.25">
      <c r="A737"/>
      <c r="B737"/>
      <c r="C737"/>
      <c r="D737"/>
      <c r="E737"/>
      <c r="F737"/>
      <c r="G737"/>
      <c r="H737"/>
      <c r="I737"/>
      <c r="J737"/>
    </row>
    <row r="738" spans="1:10" x14ac:dyDescent="0.25">
      <c r="A738"/>
      <c r="B738"/>
      <c r="C738"/>
      <c r="D738"/>
      <c r="E738"/>
      <c r="F738"/>
      <c r="G738"/>
      <c r="H738"/>
      <c r="I738"/>
      <c r="J738"/>
    </row>
    <row r="739" spans="1:10" x14ac:dyDescent="0.25">
      <c r="A739"/>
      <c r="B739"/>
      <c r="C739"/>
      <c r="D739"/>
      <c r="E739"/>
      <c r="F739"/>
      <c r="G739"/>
      <c r="H739"/>
      <c r="I739"/>
      <c r="J739"/>
    </row>
    <row r="740" spans="1:10" x14ac:dyDescent="0.25">
      <c r="A740"/>
      <c r="B740"/>
      <c r="C740"/>
      <c r="D740"/>
      <c r="E740"/>
      <c r="F740"/>
      <c r="G740"/>
      <c r="H740"/>
      <c r="I740"/>
      <c r="J740"/>
    </row>
    <row r="741" spans="1:10" x14ac:dyDescent="0.25">
      <c r="A741"/>
      <c r="B741"/>
      <c r="C741"/>
      <c r="D741"/>
      <c r="E741"/>
      <c r="F741"/>
      <c r="G741"/>
      <c r="H741"/>
      <c r="I741"/>
      <c r="J741"/>
    </row>
    <row r="742" spans="1:10" x14ac:dyDescent="0.25">
      <c r="A742"/>
      <c r="B742"/>
      <c r="C742"/>
      <c r="D742"/>
      <c r="E742"/>
      <c r="F742"/>
      <c r="G742"/>
      <c r="H742"/>
      <c r="I742"/>
      <c r="J742"/>
    </row>
    <row r="743" spans="1:10" x14ac:dyDescent="0.25">
      <c r="A743"/>
      <c r="B743"/>
      <c r="C743"/>
      <c r="D743"/>
      <c r="E743"/>
      <c r="F743"/>
      <c r="G743"/>
      <c r="H743"/>
      <c r="I743"/>
      <c r="J743"/>
    </row>
    <row r="744" spans="1:10" x14ac:dyDescent="0.25">
      <c r="A744"/>
      <c r="B744"/>
      <c r="C744"/>
      <c r="D744"/>
      <c r="E744"/>
      <c r="F744"/>
      <c r="G744"/>
      <c r="H744"/>
      <c r="I744"/>
      <c r="J744"/>
    </row>
    <row r="745" spans="1:10" x14ac:dyDescent="0.25">
      <c r="A745"/>
      <c r="B745"/>
      <c r="C745"/>
      <c r="D745"/>
      <c r="E745"/>
      <c r="F745"/>
      <c r="G745"/>
      <c r="H745"/>
      <c r="I745"/>
      <c r="J745"/>
    </row>
    <row r="746" spans="1:10" x14ac:dyDescent="0.25">
      <c r="A746"/>
      <c r="B746"/>
      <c r="C746"/>
      <c r="D746"/>
      <c r="E746"/>
      <c r="F746"/>
      <c r="G746"/>
      <c r="H746"/>
      <c r="I746"/>
      <c r="J746"/>
    </row>
    <row r="747" spans="1:10" x14ac:dyDescent="0.25">
      <c r="A747"/>
      <c r="B747"/>
      <c r="C747"/>
      <c r="D747"/>
      <c r="E747"/>
      <c r="F747"/>
      <c r="G747"/>
      <c r="H747"/>
      <c r="I747"/>
      <c r="J747"/>
    </row>
    <row r="748" spans="1:10" x14ac:dyDescent="0.25">
      <c r="A748"/>
      <c r="B748"/>
      <c r="C748"/>
      <c r="D748"/>
      <c r="E748"/>
      <c r="F748"/>
      <c r="G748"/>
      <c r="H748"/>
      <c r="I748"/>
      <c r="J748"/>
    </row>
    <row r="749" spans="1:10" x14ac:dyDescent="0.25">
      <c r="A749"/>
      <c r="B749"/>
      <c r="C749"/>
      <c r="D749"/>
      <c r="E749"/>
      <c r="F749"/>
      <c r="G749"/>
      <c r="H749"/>
      <c r="I749"/>
      <c r="J749"/>
    </row>
    <row r="750" spans="1:10" x14ac:dyDescent="0.25">
      <c r="A750"/>
      <c r="B750"/>
      <c r="C750"/>
      <c r="D750"/>
      <c r="E750"/>
      <c r="F750"/>
      <c r="G750"/>
      <c r="H750"/>
      <c r="I750"/>
      <c r="J750"/>
    </row>
    <row r="751" spans="1:10" x14ac:dyDescent="0.25">
      <c r="A751"/>
      <c r="B751"/>
      <c r="C751"/>
      <c r="D751"/>
      <c r="E751"/>
      <c r="F751"/>
      <c r="G751"/>
      <c r="H751"/>
      <c r="I751"/>
      <c r="J751"/>
    </row>
    <row r="752" spans="1:10" x14ac:dyDescent="0.25">
      <c r="A752"/>
      <c r="B752"/>
      <c r="C752"/>
      <c r="D752"/>
      <c r="E752"/>
      <c r="F752"/>
      <c r="G752"/>
      <c r="H752"/>
      <c r="I752"/>
      <c r="J752"/>
    </row>
    <row r="753" spans="1:10" x14ac:dyDescent="0.25">
      <c r="A753"/>
      <c r="B753"/>
      <c r="C753"/>
      <c r="D753"/>
      <c r="E753"/>
      <c r="F753"/>
      <c r="G753"/>
      <c r="H753"/>
      <c r="I753"/>
      <c r="J753"/>
    </row>
    <row r="754" spans="1:10" x14ac:dyDescent="0.25">
      <c r="A754"/>
      <c r="B754"/>
      <c r="C754"/>
      <c r="D754"/>
      <c r="E754"/>
      <c r="F754"/>
      <c r="G754"/>
      <c r="H754"/>
      <c r="I754"/>
      <c r="J754"/>
    </row>
    <row r="755" spans="1:10" x14ac:dyDescent="0.25">
      <c r="A755"/>
      <c r="B755"/>
      <c r="C755"/>
      <c r="D755"/>
      <c r="E755"/>
      <c r="F755"/>
      <c r="G755"/>
      <c r="H755"/>
      <c r="I755"/>
      <c r="J755"/>
    </row>
    <row r="756" spans="1:10" x14ac:dyDescent="0.25">
      <c r="A756"/>
      <c r="B756"/>
      <c r="C756"/>
      <c r="D756"/>
      <c r="E756"/>
      <c r="F756"/>
      <c r="G756"/>
      <c r="H756"/>
      <c r="I756"/>
      <c r="J756"/>
    </row>
    <row r="757" spans="1:10" x14ac:dyDescent="0.25">
      <c r="A757"/>
      <c r="B757"/>
      <c r="C757"/>
      <c r="D757"/>
      <c r="E757"/>
      <c r="F757"/>
      <c r="G757"/>
      <c r="H757"/>
      <c r="I757"/>
      <c r="J757"/>
    </row>
    <row r="758" spans="1:10" x14ac:dyDescent="0.25">
      <c r="A758"/>
      <c r="B758"/>
      <c r="C758"/>
      <c r="D758"/>
      <c r="E758"/>
      <c r="F758"/>
      <c r="G758"/>
      <c r="H758"/>
      <c r="I758"/>
      <c r="J758"/>
    </row>
    <row r="759" spans="1:10" x14ac:dyDescent="0.25">
      <c r="A759"/>
      <c r="B759"/>
      <c r="C759"/>
      <c r="D759"/>
      <c r="E759"/>
      <c r="F759"/>
      <c r="G759"/>
      <c r="H759"/>
      <c r="I759"/>
      <c r="J759"/>
    </row>
    <row r="760" spans="1:10" x14ac:dyDescent="0.25">
      <c r="A760"/>
      <c r="B760"/>
      <c r="C760"/>
      <c r="D760"/>
      <c r="E760"/>
      <c r="F760"/>
      <c r="G760"/>
      <c r="H760"/>
      <c r="I760"/>
      <c r="J760"/>
    </row>
    <row r="761" spans="1:10" x14ac:dyDescent="0.25">
      <c r="A761"/>
      <c r="B761"/>
      <c r="C761"/>
      <c r="D761"/>
      <c r="E761"/>
      <c r="F761"/>
      <c r="G761"/>
      <c r="H761"/>
      <c r="I761"/>
      <c r="J761"/>
    </row>
    <row r="762" spans="1:10" x14ac:dyDescent="0.25">
      <c r="A762"/>
      <c r="B762"/>
      <c r="C762"/>
      <c r="D762"/>
      <c r="E762"/>
      <c r="F762"/>
      <c r="G762"/>
      <c r="H762"/>
      <c r="I762"/>
      <c r="J762"/>
    </row>
    <row r="763" spans="1:10" x14ac:dyDescent="0.25">
      <c r="A763"/>
      <c r="B763"/>
      <c r="C763"/>
      <c r="D763"/>
      <c r="E763"/>
      <c r="F763"/>
      <c r="G763"/>
      <c r="H763"/>
      <c r="I763"/>
      <c r="J763"/>
    </row>
    <row r="764" spans="1:10" x14ac:dyDescent="0.25">
      <c r="A764"/>
      <c r="B764"/>
      <c r="C764"/>
      <c r="D764"/>
      <c r="E764"/>
      <c r="F764"/>
      <c r="G764"/>
      <c r="H764"/>
      <c r="I764"/>
      <c r="J764"/>
    </row>
    <row r="765" spans="1:10" x14ac:dyDescent="0.25">
      <c r="A765"/>
      <c r="B765"/>
      <c r="C765"/>
      <c r="D765"/>
      <c r="E765"/>
      <c r="F765"/>
      <c r="G765"/>
      <c r="H765"/>
      <c r="I765"/>
      <c r="J765"/>
    </row>
    <row r="766" spans="1:10" x14ac:dyDescent="0.25">
      <c r="A766"/>
      <c r="B766"/>
      <c r="C766"/>
      <c r="D766"/>
      <c r="E766"/>
      <c r="F766"/>
      <c r="G766"/>
      <c r="H766"/>
      <c r="I766"/>
      <c r="J766"/>
    </row>
    <row r="767" spans="1:10" x14ac:dyDescent="0.25">
      <c r="A767"/>
      <c r="B767"/>
      <c r="C767"/>
      <c r="D767"/>
      <c r="E767"/>
      <c r="F767"/>
      <c r="G767"/>
      <c r="H767"/>
      <c r="I767"/>
      <c r="J767"/>
    </row>
    <row r="768" spans="1:10" x14ac:dyDescent="0.25">
      <c r="A768"/>
      <c r="B768"/>
      <c r="C768"/>
      <c r="D768"/>
      <c r="E768"/>
      <c r="F768"/>
      <c r="G768"/>
      <c r="H768"/>
      <c r="I768"/>
      <c r="J768"/>
    </row>
    <row r="769" spans="1:10" x14ac:dyDescent="0.25">
      <c r="A769"/>
      <c r="B769"/>
      <c r="C769"/>
      <c r="D769"/>
      <c r="E769"/>
      <c r="F769"/>
      <c r="G769"/>
      <c r="H769"/>
      <c r="I769"/>
      <c r="J769"/>
    </row>
    <row r="770" spans="1:10" x14ac:dyDescent="0.25">
      <c r="A770"/>
      <c r="B770"/>
      <c r="C770"/>
      <c r="D770"/>
      <c r="E770"/>
      <c r="F770"/>
      <c r="G770"/>
      <c r="H770"/>
      <c r="I770"/>
      <c r="J770"/>
    </row>
    <row r="771" spans="1:10" x14ac:dyDescent="0.25">
      <c r="A771"/>
      <c r="B771"/>
      <c r="C771"/>
      <c r="D771"/>
      <c r="E771"/>
      <c r="F771"/>
      <c r="G771"/>
      <c r="H771"/>
      <c r="I771"/>
      <c r="J771"/>
    </row>
    <row r="772" spans="1:10" x14ac:dyDescent="0.25">
      <c r="A772"/>
      <c r="B772"/>
      <c r="C772"/>
      <c r="D772"/>
      <c r="E772"/>
      <c r="F772"/>
      <c r="G772"/>
      <c r="H772"/>
      <c r="I772"/>
      <c r="J772"/>
    </row>
    <row r="773" spans="1:10" x14ac:dyDescent="0.25">
      <c r="A773"/>
      <c r="B773"/>
      <c r="C773"/>
      <c r="D773"/>
      <c r="E773"/>
      <c r="F773"/>
      <c r="G773"/>
      <c r="H773"/>
      <c r="I773"/>
      <c r="J773"/>
    </row>
    <row r="774" spans="1:10" x14ac:dyDescent="0.25">
      <c r="A774"/>
      <c r="B774"/>
      <c r="C774"/>
      <c r="D774"/>
      <c r="E774"/>
      <c r="F774"/>
      <c r="G774"/>
      <c r="H774"/>
      <c r="I774"/>
      <c r="J774"/>
    </row>
    <row r="775" spans="1:10" x14ac:dyDescent="0.25">
      <c r="A775"/>
      <c r="B775"/>
      <c r="C775"/>
      <c r="D775"/>
      <c r="E775"/>
      <c r="F775"/>
      <c r="G775"/>
      <c r="H775"/>
      <c r="I775"/>
      <c r="J775"/>
    </row>
    <row r="776" spans="1:10" x14ac:dyDescent="0.25">
      <c r="A776"/>
      <c r="B776"/>
      <c r="C776"/>
      <c r="D776"/>
      <c r="E776"/>
      <c r="F776"/>
      <c r="G776"/>
      <c r="H776"/>
      <c r="I776"/>
      <c r="J776"/>
    </row>
    <row r="777" spans="1:10" x14ac:dyDescent="0.25">
      <c r="A777"/>
      <c r="B777"/>
      <c r="C777"/>
      <c r="D777"/>
      <c r="E777"/>
      <c r="F777"/>
      <c r="G777"/>
      <c r="H777"/>
      <c r="I777"/>
      <c r="J777"/>
    </row>
    <row r="778" spans="1:10" x14ac:dyDescent="0.25">
      <c r="A778"/>
      <c r="B778"/>
      <c r="C778"/>
      <c r="D778"/>
      <c r="E778"/>
      <c r="F778"/>
      <c r="G778"/>
      <c r="H778"/>
      <c r="I778"/>
      <c r="J778"/>
    </row>
    <row r="779" spans="1:10" x14ac:dyDescent="0.25">
      <c r="A779"/>
      <c r="B779"/>
      <c r="C779"/>
      <c r="D779"/>
      <c r="E779"/>
      <c r="F779"/>
      <c r="G779"/>
      <c r="H779"/>
      <c r="I779"/>
      <c r="J779"/>
    </row>
    <row r="780" spans="1:10" x14ac:dyDescent="0.25">
      <c r="A780"/>
      <c r="B780"/>
      <c r="C780"/>
      <c r="D780"/>
      <c r="E780"/>
      <c r="F780"/>
      <c r="G780"/>
      <c r="H780"/>
      <c r="I780"/>
      <c r="J780"/>
    </row>
    <row r="781" spans="1:10" x14ac:dyDescent="0.25">
      <c r="A781"/>
      <c r="B781"/>
      <c r="C781"/>
      <c r="D781"/>
      <c r="E781"/>
      <c r="F781"/>
      <c r="G781"/>
      <c r="H781"/>
      <c r="I781"/>
      <c r="J781"/>
    </row>
    <row r="782" spans="1:10" x14ac:dyDescent="0.25">
      <c r="A782"/>
      <c r="B782"/>
      <c r="C782"/>
      <c r="D782"/>
      <c r="E782"/>
      <c r="F782"/>
      <c r="G782"/>
      <c r="H782"/>
      <c r="I782"/>
      <c r="J782"/>
    </row>
    <row r="783" spans="1:10" x14ac:dyDescent="0.25">
      <c r="A783"/>
      <c r="B783"/>
      <c r="C783"/>
      <c r="D783"/>
      <c r="E783"/>
      <c r="F783"/>
      <c r="G783"/>
      <c r="H783"/>
      <c r="I783"/>
      <c r="J783"/>
    </row>
    <row r="784" spans="1:10" x14ac:dyDescent="0.25">
      <c r="A784"/>
      <c r="B784"/>
      <c r="C784"/>
      <c r="D784"/>
      <c r="E784"/>
      <c r="F784"/>
      <c r="G784"/>
      <c r="H784"/>
      <c r="I784"/>
      <c r="J784"/>
    </row>
    <row r="785" spans="1:10" x14ac:dyDescent="0.25">
      <c r="A785"/>
      <c r="B785"/>
      <c r="C785"/>
      <c r="D785"/>
      <c r="E785"/>
      <c r="F785"/>
      <c r="G785"/>
      <c r="H785"/>
      <c r="I785"/>
      <c r="J785"/>
    </row>
    <row r="786" spans="1:10" x14ac:dyDescent="0.25">
      <c r="A786"/>
      <c r="B786"/>
      <c r="C786"/>
      <c r="D786"/>
      <c r="E786"/>
      <c r="F786"/>
      <c r="G786"/>
      <c r="H786"/>
      <c r="I786"/>
      <c r="J786"/>
    </row>
    <row r="787" spans="1:10" x14ac:dyDescent="0.25">
      <c r="A787"/>
      <c r="B787"/>
      <c r="C787"/>
      <c r="D787"/>
      <c r="E787"/>
      <c r="F787"/>
      <c r="G787"/>
      <c r="H787"/>
      <c r="I787"/>
      <c r="J787"/>
    </row>
    <row r="788" spans="1:10" x14ac:dyDescent="0.25">
      <c r="A788"/>
      <c r="B788"/>
      <c r="C788"/>
      <c r="D788"/>
      <c r="E788"/>
      <c r="F788"/>
      <c r="G788"/>
      <c r="H788"/>
      <c r="I788"/>
      <c r="J788"/>
    </row>
    <row r="789" spans="1:10" x14ac:dyDescent="0.25">
      <c r="A789"/>
      <c r="B789"/>
      <c r="C789"/>
      <c r="D789"/>
      <c r="E789"/>
      <c r="F789"/>
      <c r="G789"/>
      <c r="H789"/>
      <c r="I789"/>
      <c r="J789"/>
    </row>
    <row r="790" spans="1:10" x14ac:dyDescent="0.25">
      <c r="A790"/>
      <c r="B790"/>
      <c r="C790"/>
      <c r="D790"/>
      <c r="E790"/>
      <c r="F790"/>
      <c r="G790"/>
      <c r="H790"/>
      <c r="I790"/>
      <c r="J790"/>
    </row>
    <row r="791" spans="1:10" x14ac:dyDescent="0.25">
      <c r="A791"/>
      <c r="B791"/>
      <c r="C791"/>
      <c r="D791"/>
      <c r="E791"/>
      <c r="F791"/>
      <c r="G791"/>
      <c r="H791"/>
      <c r="I791"/>
      <c r="J791"/>
    </row>
    <row r="792" spans="1:10" x14ac:dyDescent="0.25">
      <c r="A792"/>
      <c r="B792"/>
      <c r="C792"/>
      <c r="D792"/>
      <c r="E792"/>
      <c r="F792"/>
      <c r="G792"/>
      <c r="H792"/>
      <c r="I792"/>
      <c r="J792"/>
    </row>
    <row r="793" spans="1:10" x14ac:dyDescent="0.25">
      <c r="A793"/>
      <c r="B793"/>
      <c r="C793"/>
      <c r="D793"/>
      <c r="E793"/>
      <c r="F793"/>
      <c r="G793"/>
      <c r="H793"/>
      <c r="I793"/>
      <c r="J793"/>
    </row>
    <row r="794" spans="1:10" x14ac:dyDescent="0.25">
      <c r="A794"/>
      <c r="B794"/>
      <c r="C794"/>
      <c r="D794"/>
      <c r="E794"/>
      <c r="F794"/>
      <c r="G794"/>
      <c r="H794"/>
      <c r="I794"/>
      <c r="J794"/>
    </row>
    <row r="795" spans="1:10" x14ac:dyDescent="0.25">
      <c r="A795"/>
      <c r="B795"/>
      <c r="C795"/>
      <c r="D795"/>
      <c r="E795"/>
      <c r="F795"/>
      <c r="G795"/>
      <c r="H795"/>
      <c r="I795"/>
      <c r="J795"/>
    </row>
    <row r="796" spans="1:10" x14ac:dyDescent="0.25">
      <c r="A796"/>
      <c r="B796"/>
      <c r="C796"/>
      <c r="D796"/>
      <c r="E796"/>
      <c r="F796"/>
      <c r="G796"/>
      <c r="H796"/>
      <c r="I796"/>
      <c r="J796"/>
    </row>
    <row r="797" spans="1:10" x14ac:dyDescent="0.25">
      <c r="A797"/>
      <c r="B797"/>
      <c r="C797"/>
      <c r="D797"/>
      <c r="E797"/>
      <c r="F797"/>
      <c r="G797"/>
      <c r="H797"/>
      <c r="I797"/>
      <c r="J797"/>
    </row>
    <row r="798" spans="1:10" x14ac:dyDescent="0.25">
      <c r="A798"/>
      <c r="B798"/>
      <c r="C798"/>
      <c r="D798"/>
      <c r="E798"/>
      <c r="F798"/>
      <c r="G798"/>
      <c r="H798"/>
      <c r="I798"/>
      <c r="J798"/>
    </row>
    <row r="799" spans="1:10" x14ac:dyDescent="0.25">
      <c r="A799"/>
      <c r="B799"/>
      <c r="C799"/>
      <c r="D799"/>
      <c r="E799"/>
      <c r="F799"/>
      <c r="G799"/>
      <c r="H799"/>
      <c r="I799"/>
      <c r="J799"/>
    </row>
    <row r="800" spans="1:10" x14ac:dyDescent="0.25">
      <c r="A800"/>
      <c r="B800"/>
      <c r="C800"/>
      <c r="D800"/>
      <c r="E800"/>
      <c r="F800"/>
      <c r="G800"/>
      <c r="H800"/>
      <c r="I800"/>
      <c r="J800"/>
    </row>
    <row r="801" spans="1:10" x14ac:dyDescent="0.25">
      <c r="A801"/>
      <c r="B801"/>
      <c r="C801"/>
      <c r="D801"/>
      <c r="E801"/>
      <c r="F801"/>
      <c r="G801"/>
      <c r="H801"/>
      <c r="I801"/>
      <c r="J801"/>
    </row>
    <row r="802" spans="1:10" x14ac:dyDescent="0.25">
      <c r="A802"/>
      <c r="B802"/>
      <c r="C802"/>
      <c r="D802"/>
      <c r="E802"/>
      <c r="F802"/>
      <c r="G802"/>
      <c r="H802"/>
      <c r="I802"/>
      <c r="J802"/>
    </row>
    <row r="803" spans="1:10" x14ac:dyDescent="0.25">
      <c r="A803"/>
      <c r="B803"/>
      <c r="C803"/>
      <c r="D803"/>
      <c r="E803"/>
      <c r="F803"/>
      <c r="G803"/>
      <c r="H803"/>
      <c r="I803"/>
      <c r="J803"/>
    </row>
    <row r="804" spans="1:10" x14ac:dyDescent="0.25">
      <c r="A804"/>
      <c r="B804"/>
      <c r="C804"/>
      <c r="D804"/>
      <c r="E804"/>
      <c r="F804"/>
      <c r="G804"/>
      <c r="H804"/>
      <c r="I804"/>
      <c r="J804"/>
    </row>
    <row r="805" spans="1:10" x14ac:dyDescent="0.25">
      <c r="A805"/>
      <c r="B805"/>
      <c r="C805"/>
      <c r="D805"/>
      <c r="E805"/>
      <c r="F805"/>
      <c r="G805"/>
      <c r="H805"/>
      <c r="I805"/>
      <c r="J805"/>
    </row>
    <row r="806" spans="1:10" x14ac:dyDescent="0.25">
      <c r="A806"/>
      <c r="B806"/>
      <c r="C806"/>
      <c r="D806"/>
      <c r="E806"/>
      <c r="F806"/>
      <c r="G806"/>
      <c r="H806"/>
      <c r="I806"/>
      <c r="J806"/>
    </row>
    <row r="807" spans="1:10" x14ac:dyDescent="0.25">
      <c r="A807"/>
      <c r="B807"/>
      <c r="C807"/>
      <c r="D807"/>
      <c r="E807"/>
      <c r="F807"/>
      <c r="G807"/>
      <c r="H807"/>
      <c r="I807"/>
      <c r="J807"/>
    </row>
    <row r="808" spans="1:10" x14ac:dyDescent="0.25">
      <c r="A808"/>
      <c r="B808"/>
      <c r="C808"/>
      <c r="D808"/>
      <c r="E808"/>
      <c r="F808"/>
      <c r="G808"/>
      <c r="H808"/>
      <c r="I808"/>
      <c r="J808"/>
    </row>
    <row r="809" spans="1:10" x14ac:dyDescent="0.25">
      <c r="A809"/>
      <c r="B809"/>
      <c r="C809"/>
      <c r="D809"/>
      <c r="E809"/>
      <c r="F809"/>
      <c r="G809"/>
      <c r="H809"/>
      <c r="I809"/>
      <c r="J809"/>
    </row>
    <row r="810" spans="1:10" x14ac:dyDescent="0.25">
      <c r="A810"/>
      <c r="B810"/>
      <c r="C810"/>
      <c r="D810"/>
      <c r="E810"/>
      <c r="F810"/>
      <c r="G810"/>
      <c r="H810"/>
      <c r="I810"/>
      <c r="J810"/>
    </row>
    <row r="811" spans="1:10" x14ac:dyDescent="0.25">
      <c r="A811"/>
      <c r="B811"/>
      <c r="C811"/>
      <c r="D811"/>
      <c r="E811"/>
      <c r="F811"/>
      <c r="G811"/>
      <c r="H811"/>
      <c r="I811"/>
      <c r="J811"/>
    </row>
    <row r="812" spans="1:10" x14ac:dyDescent="0.25">
      <c r="A812"/>
      <c r="B812"/>
      <c r="C812"/>
      <c r="D812"/>
      <c r="E812"/>
      <c r="F812"/>
      <c r="G812"/>
      <c r="H812"/>
      <c r="I812"/>
      <c r="J812"/>
    </row>
    <row r="813" spans="1:10" x14ac:dyDescent="0.25">
      <c r="A813"/>
      <c r="B813"/>
      <c r="C813"/>
      <c r="D813"/>
      <c r="E813"/>
      <c r="F813"/>
      <c r="G813"/>
      <c r="H813"/>
      <c r="I813"/>
      <c r="J813"/>
    </row>
    <row r="814" spans="1:10" x14ac:dyDescent="0.25">
      <c r="A814"/>
      <c r="B814"/>
      <c r="C814"/>
      <c r="D814"/>
      <c r="E814"/>
      <c r="F814"/>
      <c r="G814"/>
      <c r="H814"/>
      <c r="I814"/>
      <c r="J814"/>
    </row>
    <row r="815" spans="1:10" x14ac:dyDescent="0.25">
      <c r="A815"/>
      <c r="B815"/>
      <c r="C815"/>
      <c r="D815"/>
      <c r="E815"/>
      <c r="F815"/>
      <c r="G815"/>
      <c r="H815"/>
      <c r="I815"/>
      <c r="J815"/>
    </row>
    <row r="816" spans="1:10" x14ac:dyDescent="0.25">
      <c r="A816"/>
      <c r="B816"/>
      <c r="C816"/>
      <c r="D816"/>
      <c r="E816"/>
      <c r="F816"/>
      <c r="G816"/>
      <c r="H816"/>
      <c r="I816"/>
      <c r="J816"/>
    </row>
    <row r="817" spans="1:10" x14ac:dyDescent="0.25">
      <c r="A817"/>
      <c r="B817"/>
      <c r="C817"/>
      <c r="D817"/>
      <c r="E817"/>
      <c r="F817"/>
      <c r="G817"/>
      <c r="H817"/>
      <c r="I817"/>
      <c r="J817"/>
    </row>
    <row r="818" spans="1:10" x14ac:dyDescent="0.25">
      <c r="A818"/>
      <c r="B818"/>
      <c r="C818"/>
      <c r="D818"/>
      <c r="E818"/>
      <c r="F818"/>
      <c r="G818"/>
      <c r="H818"/>
      <c r="I818"/>
      <c r="J818"/>
    </row>
    <row r="819" spans="1:10" x14ac:dyDescent="0.25">
      <c r="A819"/>
      <c r="B819"/>
      <c r="C819"/>
      <c r="D819"/>
      <c r="E819"/>
      <c r="F819"/>
      <c r="G819"/>
      <c r="H819"/>
      <c r="I819"/>
      <c r="J819"/>
    </row>
    <row r="820" spans="1:10" x14ac:dyDescent="0.25">
      <c r="A820"/>
      <c r="B820"/>
      <c r="C820"/>
      <c r="D820"/>
      <c r="E820"/>
      <c r="F820"/>
      <c r="G820"/>
      <c r="H820"/>
      <c r="I820"/>
      <c r="J820"/>
    </row>
    <row r="821" spans="1:10" x14ac:dyDescent="0.25">
      <c r="A821"/>
      <c r="B821"/>
      <c r="C821"/>
      <c r="D821"/>
      <c r="E821"/>
      <c r="F821"/>
      <c r="G821"/>
      <c r="H821"/>
      <c r="I821"/>
      <c r="J821"/>
    </row>
    <row r="822" spans="1:10" x14ac:dyDescent="0.25">
      <c r="A822"/>
      <c r="B822"/>
      <c r="C822"/>
      <c r="D822"/>
      <c r="E822"/>
      <c r="F822"/>
      <c r="G822"/>
      <c r="H822"/>
      <c r="I822"/>
      <c r="J822"/>
    </row>
    <row r="823" spans="1:10" x14ac:dyDescent="0.25">
      <c r="A823"/>
      <c r="B823"/>
      <c r="C823"/>
      <c r="D823"/>
      <c r="E823"/>
      <c r="F823"/>
      <c r="G823"/>
      <c r="H823"/>
      <c r="I823"/>
      <c r="J823"/>
    </row>
    <row r="824" spans="1:10" x14ac:dyDescent="0.25">
      <c r="A824"/>
      <c r="B824"/>
      <c r="C824"/>
      <c r="D824"/>
      <c r="E824"/>
      <c r="F824"/>
      <c r="G824"/>
      <c r="H824"/>
      <c r="I824"/>
      <c r="J824"/>
    </row>
    <row r="825" spans="1:10" x14ac:dyDescent="0.25">
      <c r="A825"/>
      <c r="B825"/>
      <c r="C825"/>
      <c r="D825"/>
      <c r="E825"/>
      <c r="F825"/>
      <c r="G825"/>
      <c r="H825"/>
      <c r="I825"/>
      <c r="J825"/>
    </row>
    <row r="826" spans="1:10" x14ac:dyDescent="0.25">
      <c r="A826"/>
      <c r="B826"/>
      <c r="C826"/>
      <c r="D826"/>
      <c r="E826"/>
      <c r="F826"/>
      <c r="G826"/>
      <c r="H826"/>
      <c r="I826"/>
      <c r="J826"/>
    </row>
    <row r="827" spans="1:10" x14ac:dyDescent="0.25">
      <c r="A827"/>
      <c r="B827"/>
      <c r="C827"/>
      <c r="D827"/>
      <c r="E827"/>
      <c r="F827"/>
      <c r="G827"/>
      <c r="H827"/>
      <c r="I827"/>
      <c r="J827"/>
    </row>
    <row r="828" spans="1:10" x14ac:dyDescent="0.25">
      <c r="A828"/>
      <c r="B828"/>
      <c r="C828"/>
      <c r="D828"/>
      <c r="E828"/>
      <c r="F828"/>
      <c r="G828"/>
      <c r="H828"/>
      <c r="I828"/>
      <c r="J828"/>
    </row>
    <row r="829" spans="1:10" x14ac:dyDescent="0.25">
      <c r="A829"/>
      <c r="B829"/>
      <c r="C829"/>
      <c r="D829"/>
      <c r="E829"/>
      <c r="F829"/>
      <c r="G829"/>
      <c r="H829"/>
      <c r="I829"/>
      <c r="J829"/>
    </row>
    <row r="830" spans="1:10" x14ac:dyDescent="0.25">
      <c r="A830"/>
      <c r="B830"/>
      <c r="C830"/>
      <c r="D830"/>
      <c r="E830"/>
      <c r="F830"/>
      <c r="G830"/>
      <c r="H830"/>
      <c r="I830"/>
      <c r="J830"/>
    </row>
    <row r="831" spans="1:10" x14ac:dyDescent="0.25">
      <c r="A831"/>
      <c r="B831"/>
      <c r="C831"/>
      <c r="D831"/>
      <c r="E831"/>
      <c r="F831"/>
      <c r="G831"/>
      <c r="H831"/>
      <c r="I831"/>
      <c r="J831"/>
    </row>
    <row r="832" spans="1:10" x14ac:dyDescent="0.25">
      <c r="A832"/>
      <c r="B832"/>
      <c r="C832"/>
      <c r="D832"/>
      <c r="E832"/>
      <c r="F832"/>
      <c r="G832"/>
      <c r="H832"/>
      <c r="I832"/>
      <c r="J832"/>
    </row>
    <row r="833" spans="1:10" x14ac:dyDescent="0.25">
      <c r="A833"/>
      <c r="B833"/>
      <c r="C833"/>
      <c r="D833"/>
      <c r="E833"/>
      <c r="F833"/>
      <c r="G833"/>
      <c r="H833"/>
      <c r="I833"/>
      <c r="J833"/>
    </row>
    <row r="834" spans="1:10" x14ac:dyDescent="0.25">
      <c r="A834"/>
      <c r="B834"/>
      <c r="C834"/>
      <c r="D834"/>
      <c r="E834"/>
      <c r="F834"/>
      <c r="G834"/>
      <c r="H834"/>
      <c r="I834"/>
      <c r="J834"/>
    </row>
    <row r="835" spans="1:10" x14ac:dyDescent="0.25">
      <c r="A835"/>
      <c r="B835"/>
      <c r="C835"/>
      <c r="D835"/>
      <c r="E835"/>
      <c r="F835"/>
      <c r="G835"/>
      <c r="H835"/>
      <c r="I835"/>
      <c r="J835"/>
    </row>
    <row r="836" spans="1:10" x14ac:dyDescent="0.25">
      <c r="A836"/>
      <c r="B836"/>
      <c r="C836"/>
      <c r="D836"/>
      <c r="E836"/>
      <c r="F836"/>
      <c r="G836"/>
      <c r="H836"/>
      <c r="I836"/>
      <c r="J836"/>
    </row>
    <row r="837" spans="1:10" x14ac:dyDescent="0.25">
      <c r="A837"/>
      <c r="B837"/>
      <c r="C837"/>
      <c r="D837"/>
      <c r="E837"/>
      <c r="F837"/>
      <c r="G837"/>
      <c r="H837"/>
      <c r="I837"/>
      <c r="J837"/>
    </row>
    <row r="838" spans="1:10" x14ac:dyDescent="0.25">
      <c r="A838"/>
      <c r="B838"/>
      <c r="C838"/>
      <c r="D838"/>
      <c r="E838"/>
      <c r="F838"/>
      <c r="G838"/>
      <c r="H838"/>
      <c r="I838"/>
      <c r="J838"/>
    </row>
    <row r="839" spans="1:10" x14ac:dyDescent="0.25">
      <c r="A839"/>
      <c r="B839"/>
      <c r="C839"/>
      <c r="D839"/>
      <c r="E839"/>
      <c r="F839"/>
      <c r="G839"/>
      <c r="H839"/>
      <c r="I839"/>
      <c r="J839"/>
    </row>
    <row r="840" spans="1:10" x14ac:dyDescent="0.25">
      <c r="A840"/>
      <c r="B840"/>
      <c r="C840"/>
      <c r="D840"/>
      <c r="E840"/>
      <c r="F840"/>
      <c r="G840"/>
      <c r="H840"/>
      <c r="I840"/>
      <c r="J840"/>
    </row>
    <row r="841" spans="1:10" x14ac:dyDescent="0.25">
      <c r="A841"/>
      <c r="B841"/>
      <c r="C841"/>
      <c r="D841"/>
      <c r="E841"/>
      <c r="F841"/>
      <c r="G841"/>
      <c r="H841"/>
      <c r="I841"/>
      <c r="J841"/>
    </row>
    <row r="842" spans="1:10" x14ac:dyDescent="0.25">
      <c r="A842"/>
      <c r="B842"/>
      <c r="C842"/>
      <c r="D842"/>
      <c r="E842"/>
      <c r="F842"/>
      <c r="G842"/>
      <c r="H842"/>
      <c r="I842"/>
      <c r="J842"/>
    </row>
    <row r="843" spans="1:10" x14ac:dyDescent="0.25">
      <c r="A843"/>
      <c r="B843"/>
      <c r="C843"/>
      <c r="D843"/>
      <c r="E843"/>
      <c r="F843"/>
      <c r="G843"/>
      <c r="H843"/>
      <c r="I843"/>
      <c r="J843"/>
    </row>
    <row r="844" spans="1:10" x14ac:dyDescent="0.25">
      <c r="A844"/>
      <c r="B844"/>
      <c r="C844"/>
      <c r="D844"/>
      <c r="E844"/>
      <c r="F844"/>
      <c r="G844"/>
      <c r="H844"/>
      <c r="I844"/>
      <c r="J844"/>
    </row>
    <row r="845" spans="1:10" x14ac:dyDescent="0.25">
      <c r="A845"/>
      <c r="B845"/>
      <c r="C845"/>
      <c r="D845"/>
      <c r="E845"/>
      <c r="F845"/>
      <c r="G845"/>
      <c r="H845"/>
      <c r="I845"/>
      <c r="J845"/>
    </row>
    <row r="846" spans="1:10" x14ac:dyDescent="0.25">
      <c r="A846"/>
      <c r="B846"/>
      <c r="C846"/>
      <c r="D846"/>
      <c r="E846"/>
      <c r="F846"/>
      <c r="G846"/>
      <c r="H846"/>
      <c r="I846"/>
      <c r="J846"/>
    </row>
    <row r="847" spans="1:10" x14ac:dyDescent="0.25">
      <c r="A847"/>
      <c r="B847"/>
      <c r="C847"/>
      <c r="D847"/>
      <c r="E847"/>
      <c r="F847"/>
      <c r="G847"/>
      <c r="H847"/>
      <c r="I847"/>
      <c r="J847"/>
    </row>
    <row r="848" spans="1:10" x14ac:dyDescent="0.25">
      <c r="A848"/>
      <c r="B848"/>
      <c r="C848"/>
      <c r="D848"/>
      <c r="E848"/>
      <c r="F848"/>
      <c r="G848"/>
      <c r="H848"/>
      <c r="I848"/>
      <c r="J848"/>
    </row>
    <row r="849" spans="1:10" x14ac:dyDescent="0.25">
      <c r="A849"/>
      <c r="B849"/>
      <c r="C849"/>
      <c r="D849"/>
      <c r="E849"/>
      <c r="F849"/>
      <c r="G849"/>
      <c r="H849"/>
      <c r="I849"/>
      <c r="J849"/>
    </row>
    <row r="850" spans="1:10" x14ac:dyDescent="0.25">
      <c r="A850"/>
      <c r="B850"/>
      <c r="C850"/>
      <c r="D850"/>
      <c r="E850"/>
      <c r="F850"/>
      <c r="G850"/>
      <c r="H850"/>
      <c r="I850"/>
      <c r="J850"/>
    </row>
    <row r="851" spans="1:10" x14ac:dyDescent="0.25">
      <c r="A851"/>
      <c r="B851"/>
      <c r="C851"/>
      <c r="D851"/>
      <c r="E851"/>
      <c r="F851"/>
      <c r="G851"/>
      <c r="H851"/>
      <c r="I851"/>
      <c r="J851"/>
    </row>
    <row r="852" spans="1:10" x14ac:dyDescent="0.25">
      <c r="A852"/>
      <c r="B852"/>
      <c r="C852"/>
      <c r="D852"/>
      <c r="E852"/>
      <c r="F852"/>
      <c r="G852"/>
      <c r="H852"/>
      <c r="I852"/>
      <c r="J852"/>
    </row>
    <row r="853" spans="1:10" x14ac:dyDescent="0.25">
      <c r="A853"/>
      <c r="B853"/>
      <c r="C853"/>
      <c r="D853"/>
      <c r="E853"/>
      <c r="F853"/>
      <c r="G853"/>
      <c r="H853"/>
      <c r="I853"/>
      <c r="J853"/>
    </row>
    <row r="854" spans="1:10" x14ac:dyDescent="0.25">
      <c r="A854"/>
      <c r="B854"/>
      <c r="C854"/>
      <c r="D854"/>
      <c r="E854"/>
      <c r="F854"/>
      <c r="G854"/>
      <c r="H854"/>
      <c r="I854"/>
      <c r="J854"/>
    </row>
    <row r="855" spans="1:10" x14ac:dyDescent="0.25">
      <c r="A855"/>
      <c r="B855"/>
      <c r="C855"/>
      <c r="D855"/>
      <c r="E855"/>
      <c r="F855"/>
      <c r="G855"/>
      <c r="H855"/>
      <c r="I855"/>
      <c r="J855"/>
    </row>
    <row r="856" spans="1:10" x14ac:dyDescent="0.25">
      <c r="A856"/>
      <c r="B856"/>
      <c r="C856"/>
      <c r="D856"/>
      <c r="E856"/>
      <c r="F856"/>
      <c r="G856"/>
      <c r="H856"/>
      <c r="I856"/>
      <c r="J856"/>
    </row>
    <row r="857" spans="1:10" x14ac:dyDescent="0.25">
      <c r="A857"/>
      <c r="B857"/>
      <c r="C857"/>
      <c r="D857"/>
      <c r="E857"/>
      <c r="F857"/>
      <c r="G857"/>
      <c r="H857"/>
      <c r="I857"/>
      <c r="J857"/>
    </row>
    <row r="858" spans="1:10" x14ac:dyDescent="0.25">
      <c r="A858"/>
      <c r="B858"/>
      <c r="C858"/>
      <c r="D858"/>
      <c r="E858"/>
      <c r="F858"/>
      <c r="G858"/>
      <c r="H858"/>
      <c r="I858"/>
      <c r="J858"/>
    </row>
    <row r="859" spans="1:10" x14ac:dyDescent="0.25">
      <c r="A859"/>
      <c r="B859"/>
      <c r="C859"/>
      <c r="D859"/>
      <c r="E859"/>
      <c r="F859"/>
      <c r="G859"/>
      <c r="H859"/>
      <c r="I859"/>
      <c r="J859"/>
    </row>
    <row r="860" spans="1:10" x14ac:dyDescent="0.25">
      <c r="A860"/>
      <c r="B860"/>
      <c r="C860"/>
      <c r="D860"/>
      <c r="E860"/>
      <c r="F860"/>
      <c r="G860"/>
      <c r="H860"/>
      <c r="I860"/>
      <c r="J860"/>
    </row>
    <row r="861" spans="1:10" x14ac:dyDescent="0.25">
      <c r="A861"/>
      <c r="B861"/>
      <c r="C861"/>
      <c r="D861"/>
      <c r="E861"/>
      <c r="F861"/>
      <c r="G861"/>
      <c r="H861"/>
      <c r="I861"/>
      <c r="J861"/>
    </row>
    <row r="862" spans="1:10" x14ac:dyDescent="0.25">
      <c r="A862"/>
      <c r="B862"/>
      <c r="C862"/>
      <c r="D862"/>
      <c r="E862"/>
      <c r="F862"/>
      <c r="G862"/>
      <c r="H862"/>
      <c r="I862"/>
      <c r="J862"/>
    </row>
    <row r="863" spans="1:10" x14ac:dyDescent="0.25">
      <c r="A863"/>
      <c r="B863"/>
      <c r="C863"/>
      <c r="D863"/>
      <c r="E863"/>
      <c r="F863"/>
      <c r="G863"/>
      <c r="H863"/>
      <c r="I863"/>
      <c r="J863"/>
    </row>
    <row r="864" spans="1:10" x14ac:dyDescent="0.25">
      <c r="A864"/>
      <c r="B864"/>
      <c r="C864"/>
      <c r="D864"/>
      <c r="E864"/>
      <c r="F864"/>
      <c r="G864"/>
      <c r="H864"/>
      <c r="I864"/>
      <c r="J864"/>
    </row>
    <row r="865" spans="1:10" x14ac:dyDescent="0.25">
      <c r="A865"/>
      <c r="B865"/>
      <c r="C865"/>
      <c r="D865"/>
      <c r="E865"/>
      <c r="F865"/>
      <c r="G865"/>
      <c r="H865"/>
      <c r="I865"/>
      <c r="J865"/>
    </row>
    <row r="866" spans="1:10" x14ac:dyDescent="0.25">
      <c r="A866"/>
      <c r="B866"/>
      <c r="C866"/>
      <c r="D866"/>
      <c r="E866"/>
      <c r="F866"/>
      <c r="G866"/>
      <c r="H866"/>
      <c r="I866"/>
      <c r="J866"/>
    </row>
    <row r="867" spans="1:10" x14ac:dyDescent="0.25">
      <c r="A867"/>
      <c r="B867"/>
      <c r="C867"/>
      <c r="D867"/>
      <c r="E867"/>
      <c r="F867"/>
      <c r="G867"/>
      <c r="H867"/>
      <c r="I867"/>
      <c r="J867"/>
    </row>
    <row r="868" spans="1:10" x14ac:dyDescent="0.25">
      <c r="A868"/>
      <c r="B868"/>
      <c r="C868"/>
      <c r="D868"/>
      <c r="E868"/>
      <c r="F868"/>
      <c r="G868"/>
      <c r="H868"/>
      <c r="I868"/>
      <c r="J868"/>
    </row>
    <row r="869" spans="1:10" x14ac:dyDescent="0.25">
      <c r="A869"/>
      <c r="B869"/>
      <c r="C869"/>
      <c r="D869"/>
      <c r="E869"/>
      <c r="F869"/>
      <c r="G869"/>
      <c r="H869"/>
      <c r="I869"/>
      <c r="J869"/>
    </row>
    <row r="870" spans="1:10" x14ac:dyDescent="0.25">
      <c r="A870"/>
      <c r="B870"/>
      <c r="C870"/>
      <c r="D870"/>
      <c r="E870"/>
      <c r="F870"/>
      <c r="G870"/>
      <c r="H870"/>
      <c r="I870"/>
      <c r="J870"/>
    </row>
    <row r="871" spans="1:10" x14ac:dyDescent="0.25">
      <c r="A871"/>
      <c r="B871"/>
      <c r="C871"/>
      <c r="D871"/>
      <c r="E871"/>
      <c r="F871"/>
      <c r="G871"/>
      <c r="H871"/>
      <c r="I871"/>
      <c r="J871"/>
    </row>
    <row r="872" spans="1:10" x14ac:dyDescent="0.25">
      <c r="A872"/>
      <c r="B872"/>
      <c r="C872"/>
      <c r="D872"/>
      <c r="E872"/>
      <c r="F872"/>
      <c r="G872"/>
      <c r="H872"/>
      <c r="I872"/>
      <c r="J872"/>
    </row>
    <row r="873" spans="1:10" x14ac:dyDescent="0.25">
      <c r="A873"/>
      <c r="B873"/>
      <c r="C873"/>
      <c r="D873"/>
      <c r="E873"/>
      <c r="F873"/>
      <c r="G873"/>
      <c r="H873"/>
      <c r="I873"/>
      <c r="J873"/>
    </row>
    <row r="874" spans="1:10" x14ac:dyDescent="0.25">
      <c r="A874"/>
      <c r="B874"/>
      <c r="C874"/>
      <c r="D874"/>
      <c r="E874"/>
      <c r="F874"/>
      <c r="G874"/>
      <c r="H874"/>
      <c r="I874"/>
      <c r="J874"/>
    </row>
    <row r="875" spans="1:10" x14ac:dyDescent="0.25">
      <c r="A875"/>
      <c r="B875"/>
      <c r="C875"/>
      <c r="D875"/>
      <c r="E875"/>
      <c r="F875"/>
      <c r="G875"/>
      <c r="H875"/>
      <c r="I875"/>
      <c r="J875"/>
    </row>
    <row r="876" spans="1:10" x14ac:dyDescent="0.25">
      <c r="A876"/>
      <c r="B876"/>
      <c r="C876"/>
      <c r="D876"/>
      <c r="E876"/>
      <c r="F876"/>
      <c r="G876"/>
      <c r="H876"/>
      <c r="I876"/>
      <c r="J876"/>
    </row>
    <row r="877" spans="1:10" x14ac:dyDescent="0.25">
      <c r="A877"/>
      <c r="B877"/>
      <c r="C877"/>
      <c r="D877"/>
      <c r="E877"/>
      <c r="F877"/>
      <c r="G877"/>
      <c r="H877"/>
      <c r="I877"/>
      <c r="J877"/>
    </row>
    <row r="878" spans="1:10" x14ac:dyDescent="0.25">
      <c r="A878"/>
      <c r="B878"/>
      <c r="C878"/>
      <c r="D878"/>
      <c r="E878"/>
      <c r="F878"/>
      <c r="G878"/>
      <c r="H878"/>
      <c r="I878"/>
      <c r="J878"/>
    </row>
    <row r="879" spans="1:10" x14ac:dyDescent="0.25">
      <c r="A879"/>
      <c r="B879"/>
      <c r="C879"/>
      <c r="D879"/>
      <c r="E879"/>
      <c r="F879"/>
      <c r="G879"/>
      <c r="H879"/>
      <c r="I879"/>
      <c r="J879"/>
    </row>
    <row r="880" spans="1:10" x14ac:dyDescent="0.25">
      <c r="A880"/>
      <c r="B880"/>
      <c r="C880"/>
      <c r="D880"/>
      <c r="E880"/>
      <c r="F880"/>
      <c r="G880"/>
      <c r="H880"/>
      <c r="I880"/>
      <c r="J880"/>
    </row>
    <row r="881" spans="1:10" x14ac:dyDescent="0.25">
      <c r="A881"/>
      <c r="B881"/>
      <c r="C881"/>
      <c r="D881"/>
      <c r="E881"/>
      <c r="F881"/>
      <c r="G881"/>
      <c r="H881"/>
      <c r="I881"/>
      <c r="J881"/>
    </row>
    <row r="882" spans="1:10" x14ac:dyDescent="0.25">
      <c r="A882"/>
      <c r="B882"/>
      <c r="C882"/>
      <c r="D882"/>
      <c r="E882"/>
      <c r="F882"/>
      <c r="G882"/>
      <c r="H882"/>
      <c r="I882"/>
      <c r="J882"/>
    </row>
    <row r="883" spans="1:10" x14ac:dyDescent="0.25">
      <c r="A883"/>
      <c r="B883"/>
      <c r="C883"/>
      <c r="D883"/>
      <c r="E883"/>
      <c r="F883"/>
      <c r="G883"/>
      <c r="H883"/>
      <c r="I883"/>
      <c r="J883"/>
    </row>
    <row r="884" spans="1:10" x14ac:dyDescent="0.25">
      <c r="A884"/>
      <c r="B884"/>
      <c r="C884"/>
      <c r="D884"/>
      <c r="E884"/>
      <c r="F884"/>
      <c r="G884"/>
      <c r="H884"/>
      <c r="I884"/>
      <c r="J884"/>
    </row>
    <row r="885" spans="1:10" x14ac:dyDescent="0.25">
      <c r="A885"/>
      <c r="B885"/>
      <c r="C885"/>
      <c r="D885"/>
      <c r="E885"/>
      <c r="F885"/>
      <c r="G885"/>
      <c r="H885"/>
      <c r="I885"/>
      <c r="J885"/>
    </row>
    <row r="886" spans="1:10" x14ac:dyDescent="0.25">
      <c r="A886"/>
      <c r="B886"/>
      <c r="C886"/>
      <c r="D886"/>
      <c r="E886"/>
      <c r="F886"/>
      <c r="G886"/>
      <c r="H886"/>
      <c r="I886"/>
      <c r="J886"/>
    </row>
    <row r="887" spans="1:10" x14ac:dyDescent="0.25">
      <c r="A887"/>
      <c r="B887"/>
      <c r="C887"/>
      <c r="D887"/>
      <c r="E887"/>
      <c r="F887"/>
      <c r="G887"/>
      <c r="H887"/>
      <c r="I887"/>
      <c r="J887"/>
    </row>
    <row r="888" spans="1:10" x14ac:dyDescent="0.25">
      <c r="A888"/>
      <c r="B888"/>
      <c r="C888"/>
      <c r="D888"/>
      <c r="E888"/>
      <c r="F888"/>
      <c r="G888"/>
      <c r="H888"/>
      <c r="I888"/>
      <c r="J888"/>
    </row>
    <row r="889" spans="1:10" x14ac:dyDescent="0.25">
      <c r="A889"/>
      <c r="B889"/>
      <c r="C889"/>
      <c r="D889"/>
      <c r="E889"/>
      <c r="F889"/>
      <c r="G889"/>
      <c r="H889"/>
      <c r="I889"/>
      <c r="J889"/>
    </row>
    <row r="890" spans="1:10" x14ac:dyDescent="0.25">
      <c r="A890"/>
      <c r="B890"/>
      <c r="C890"/>
      <c r="D890"/>
      <c r="E890"/>
      <c r="F890"/>
      <c r="G890"/>
      <c r="H890"/>
      <c r="I890"/>
      <c r="J890"/>
    </row>
    <row r="891" spans="1:10" x14ac:dyDescent="0.25">
      <c r="A891"/>
      <c r="B891"/>
      <c r="C891"/>
      <c r="D891"/>
      <c r="E891"/>
      <c r="F891"/>
      <c r="G891"/>
      <c r="H891"/>
      <c r="I891"/>
      <c r="J891"/>
    </row>
    <row r="892" spans="1:10" x14ac:dyDescent="0.25">
      <c r="A892"/>
      <c r="B892"/>
      <c r="C892"/>
      <c r="D892"/>
      <c r="E892"/>
      <c r="F892"/>
      <c r="G892"/>
      <c r="H892"/>
      <c r="I892"/>
      <c r="J892"/>
    </row>
    <row r="893" spans="1:10" x14ac:dyDescent="0.25">
      <c r="A893"/>
      <c r="B893"/>
      <c r="C893"/>
      <c r="D893"/>
      <c r="E893"/>
      <c r="F893"/>
      <c r="G893"/>
      <c r="H893"/>
      <c r="I893"/>
      <c r="J893"/>
    </row>
    <row r="894" spans="1:10" x14ac:dyDescent="0.25">
      <c r="A894"/>
      <c r="B894"/>
      <c r="C894"/>
      <c r="D894"/>
      <c r="E894"/>
      <c r="F894"/>
      <c r="G894"/>
      <c r="H894"/>
      <c r="I894"/>
      <c r="J894"/>
    </row>
    <row r="895" spans="1:10" x14ac:dyDescent="0.25">
      <c r="A895"/>
      <c r="B895"/>
      <c r="C895"/>
      <c r="D895"/>
      <c r="E895"/>
      <c r="F895"/>
      <c r="G895"/>
      <c r="H895"/>
      <c r="I895"/>
      <c r="J895"/>
    </row>
    <row r="896" spans="1:10" x14ac:dyDescent="0.25">
      <c r="A896"/>
      <c r="B896"/>
      <c r="C896"/>
      <c r="D896"/>
      <c r="E896"/>
      <c r="F896"/>
      <c r="G896"/>
      <c r="H896"/>
      <c r="I896"/>
      <c r="J896"/>
    </row>
    <row r="897" spans="1:10" x14ac:dyDescent="0.25">
      <c r="A897"/>
      <c r="B897"/>
      <c r="C897"/>
      <c r="D897"/>
      <c r="E897"/>
      <c r="F897"/>
      <c r="G897"/>
      <c r="H897"/>
      <c r="I897"/>
      <c r="J897"/>
    </row>
    <row r="898" spans="1:10" x14ac:dyDescent="0.25">
      <c r="A898"/>
      <c r="B898"/>
      <c r="C898"/>
      <c r="D898"/>
      <c r="E898"/>
      <c r="F898"/>
      <c r="G898"/>
      <c r="H898"/>
      <c r="I898"/>
      <c r="J898"/>
    </row>
    <row r="899" spans="1:10" x14ac:dyDescent="0.25">
      <c r="A899"/>
      <c r="B899"/>
      <c r="C899"/>
      <c r="D899"/>
      <c r="E899"/>
      <c r="F899"/>
      <c r="G899"/>
      <c r="H899"/>
      <c r="I899"/>
      <c r="J899"/>
    </row>
    <row r="900" spans="1:10" x14ac:dyDescent="0.25">
      <c r="A900"/>
      <c r="B900"/>
      <c r="C900"/>
      <c r="D900"/>
      <c r="E900"/>
      <c r="F900"/>
      <c r="G900"/>
      <c r="H900"/>
      <c r="I900"/>
      <c r="J900"/>
    </row>
    <row r="901" spans="1:10" x14ac:dyDescent="0.25">
      <c r="A901"/>
      <c r="B901"/>
      <c r="C901"/>
      <c r="D901"/>
      <c r="E901"/>
      <c r="F901"/>
      <c r="G901"/>
      <c r="H901"/>
      <c r="I901"/>
      <c r="J901"/>
    </row>
    <row r="902" spans="1:10" x14ac:dyDescent="0.25">
      <c r="A902"/>
      <c r="B902"/>
      <c r="C902"/>
      <c r="D902"/>
      <c r="E902"/>
      <c r="F902"/>
      <c r="G902"/>
      <c r="H902"/>
      <c r="I902"/>
      <c r="J902"/>
    </row>
    <row r="903" spans="1:10" x14ac:dyDescent="0.25">
      <c r="A903"/>
      <c r="B903"/>
      <c r="C903"/>
      <c r="D903"/>
      <c r="E903"/>
      <c r="F903"/>
      <c r="G903"/>
      <c r="H903"/>
      <c r="I903"/>
      <c r="J903"/>
    </row>
    <row r="904" spans="1:10" x14ac:dyDescent="0.25">
      <c r="A904"/>
      <c r="B904"/>
      <c r="C904"/>
      <c r="D904"/>
      <c r="E904"/>
      <c r="F904"/>
      <c r="G904"/>
      <c r="H904"/>
      <c r="I904"/>
      <c r="J904"/>
    </row>
    <row r="905" spans="1:10" x14ac:dyDescent="0.25">
      <c r="A905"/>
      <c r="B905"/>
      <c r="C905"/>
      <c r="D905"/>
      <c r="E905"/>
      <c r="F905"/>
      <c r="G905"/>
      <c r="H905"/>
      <c r="I905"/>
      <c r="J905"/>
    </row>
    <row r="906" spans="1:10" x14ac:dyDescent="0.25">
      <c r="A906"/>
      <c r="B906"/>
      <c r="C906"/>
      <c r="D906"/>
      <c r="E906"/>
      <c r="F906"/>
      <c r="G906"/>
      <c r="H906"/>
      <c r="I906"/>
      <c r="J906"/>
    </row>
    <row r="907" spans="1:10" x14ac:dyDescent="0.25">
      <c r="A907"/>
      <c r="B907"/>
      <c r="C907"/>
      <c r="D907"/>
      <c r="E907"/>
      <c r="F907"/>
      <c r="G907"/>
      <c r="H907"/>
      <c r="I907"/>
      <c r="J907"/>
    </row>
    <row r="908" spans="1:10" x14ac:dyDescent="0.25">
      <c r="A908"/>
      <c r="B908"/>
      <c r="C908"/>
      <c r="D908"/>
      <c r="E908"/>
      <c r="F908"/>
      <c r="G908"/>
      <c r="H908"/>
      <c r="I908"/>
      <c r="J908"/>
    </row>
    <row r="909" spans="1:10" x14ac:dyDescent="0.25">
      <c r="A909"/>
      <c r="B909"/>
      <c r="C909"/>
      <c r="D909"/>
      <c r="E909"/>
      <c r="F909"/>
      <c r="G909"/>
      <c r="H909"/>
      <c r="I909"/>
      <c r="J909"/>
    </row>
    <row r="910" spans="1:10" x14ac:dyDescent="0.25">
      <c r="A910"/>
      <c r="B910"/>
      <c r="C910"/>
      <c r="D910"/>
      <c r="E910"/>
      <c r="F910"/>
      <c r="G910"/>
      <c r="H910"/>
      <c r="I910"/>
      <c r="J910"/>
    </row>
    <row r="911" spans="1:10" x14ac:dyDescent="0.25">
      <c r="A911"/>
      <c r="B911"/>
      <c r="C911"/>
      <c r="D911"/>
      <c r="E911"/>
      <c r="F911"/>
      <c r="G911"/>
      <c r="H911"/>
      <c r="I911"/>
      <c r="J911"/>
    </row>
    <row r="912" spans="1:10" x14ac:dyDescent="0.25">
      <c r="A912"/>
      <c r="B912"/>
      <c r="C912"/>
      <c r="D912"/>
      <c r="E912"/>
      <c r="F912"/>
      <c r="G912"/>
      <c r="H912"/>
      <c r="I912"/>
      <c r="J912"/>
    </row>
    <row r="913" spans="1:10" x14ac:dyDescent="0.25">
      <c r="A913"/>
      <c r="B913"/>
      <c r="C913"/>
      <c r="D913"/>
      <c r="E913"/>
      <c r="F913"/>
      <c r="G913"/>
      <c r="H913"/>
      <c r="I913"/>
      <c r="J913"/>
    </row>
    <row r="914" spans="1:10" x14ac:dyDescent="0.25">
      <c r="A914"/>
      <c r="B914"/>
      <c r="C914"/>
      <c r="D914"/>
      <c r="E914"/>
      <c r="F914"/>
      <c r="G914"/>
      <c r="H914"/>
      <c r="I914"/>
      <c r="J914"/>
    </row>
    <row r="915" spans="1:10" x14ac:dyDescent="0.25">
      <c r="A915"/>
      <c r="B915"/>
      <c r="C915"/>
      <c r="D915"/>
      <c r="E915"/>
      <c r="F915"/>
      <c r="G915"/>
      <c r="H915"/>
      <c r="I915"/>
      <c r="J915"/>
    </row>
    <row r="916" spans="1:10" x14ac:dyDescent="0.25">
      <c r="A916"/>
      <c r="B916"/>
      <c r="C916"/>
      <c r="D916"/>
      <c r="E916"/>
      <c r="F916"/>
      <c r="G916"/>
      <c r="H916"/>
      <c r="I916"/>
      <c r="J916"/>
    </row>
    <row r="917" spans="1:10" x14ac:dyDescent="0.25">
      <c r="A917"/>
      <c r="B917"/>
      <c r="C917"/>
      <c r="D917"/>
      <c r="E917"/>
      <c r="F917"/>
      <c r="G917"/>
      <c r="H917"/>
      <c r="I917"/>
      <c r="J917"/>
    </row>
    <row r="918" spans="1:10" x14ac:dyDescent="0.25">
      <c r="A918"/>
      <c r="B918"/>
      <c r="C918"/>
      <c r="D918"/>
      <c r="E918"/>
      <c r="F918"/>
      <c r="G918"/>
      <c r="H918"/>
      <c r="I918"/>
      <c r="J918"/>
    </row>
    <row r="919" spans="1:10" x14ac:dyDescent="0.25">
      <c r="A919"/>
      <c r="B919"/>
      <c r="C919"/>
      <c r="D919"/>
      <c r="E919"/>
      <c r="F919"/>
      <c r="G919"/>
      <c r="H919"/>
      <c r="I919"/>
      <c r="J919"/>
    </row>
    <row r="920" spans="1:10" x14ac:dyDescent="0.25">
      <c r="A920"/>
      <c r="B920"/>
      <c r="C920"/>
      <c r="D920"/>
      <c r="E920"/>
      <c r="F920"/>
      <c r="G920"/>
      <c r="H920"/>
      <c r="I920"/>
      <c r="J920"/>
    </row>
    <row r="921" spans="1:10" x14ac:dyDescent="0.25">
      <c r="A921"/>
      <c r="B921"/>
      <c r="C921"/>
      <c r="D921"/>
      <c r="E921"/>
      <c r="F921"/>
      <c r="G921"/>
      <c r="H921"/>
      <c r="I921"/>
      <c r="J921"/>
    </row>
    <row r="922" spans="1:10" x14ac:dyDescent="0.25">
      <c r="A922"/>
      <c r="B922"/>
      <c r="C922"/>
      <c r="D922"/>
      <c r="E922"/>
      <c r="F922"/>
      <c r="G922"/>
      <c r="H922"/>
      <c r="I922"/>
      <c r="J922"/>
    </row>
    <row r="923" spans="1:10" x14ac:dyDescent="0.25">
      <c r="A923"/>
      <c r="B923"/>
      <c r="C923"/>
      <c r="D923"/>
      <c r="E923"/>
      <c r="F923"/>
      <c r="G923"/>
      <c r="H923"/>
      <c r="I923"/>
      <c r="J923"/>
    </row>
    <row r="924" spans="1:10" x14ac:dyDescent="0.25">
      <c r="A924"/>
      <c r="B924"/>
      <c r="C924"/>
      <c r="D924"/>
      <c r="E924"/>
      <c r="F924"/>
      <c r="G924"/>
      <c r="H924"/>
      <c r="I924"/>
      <c r="J924"/>
    </row>
    <row r="925" spans="1:10" x14ac:dyDescent="0.25">
      <c r="A925"/>
      <c r="B925"/>
      <c r="C925"/>
      <c r="D925"/>
      <c r="E925"/>
      <c r="F925"/>
      <c r="G925"/>
      <c r="H925"/>
      <c r="I925"/>
      <c r="J925"/>
    </row>
    <row r="926" spans="1:10" x14ac:dyDescent="0.25">
      <c r="A926"/>
      <c r="B926"/>
      <c r="C926"/>
      <c r="D926"/>
      <c r="E926"/>
      <c r="F926"/>
      <c r="G926"/>
      <c r="H926"/>
      <c r="I926"/>
      <c r="J926"/>
    </row>
    <row r="927" spans="1:10" x14ac:dyDescent="0.25">
      <c r="A927"/>
      <c r="B927"/>
      <c r="C927"/>
      <c r="D927"/>
      <c r="E927"/>
      <c r="F927"/>
      <c r="G927"/>
      <c r="H927"/>
      <c r="I927"/>
      <c r="J927"/>
    </row>
    <row r="928" spans="1:10" x14ac:dyDescent="0.25">
      <c r="A928"/>
      <c r="B928"/>
      <c r="C928"/>
      <c r="D928"/>
      <c r="E928"/>
      <c r="F928"/>
      <c r="G928"/>
      <c r="H928"/>
      <c r="I928"/>
      <c r="J928"/>
    </row>
    <row r="929" spans="1:10" x14ac:dyDescent="0.25">
      <c r="A929"/>
      <c r="B929"/>
      <c r="C929"/>
      <c r="D929"/>
      <c r="E929"/>
      <c r="F929"/>
      <c r="G929"/>
      <c r="H929"/>
      <c r="I929"/>
      <c r="J929"/>
    </row>
    <row r="930" spans="1:10" x14ac:dyDescent="0.25">
      <c r="A930"/>
      <c r="B930"/>
      <c r="C930"/>
      <c r="D930"/>
      <c r="E930"/>
      <c r="F930"/>
      <c r="G930"/>
      <c r="H930"/>
      <c r="I930"/>
      <c r="J930"/>
    </row>
    <row r="931" spans="1:10" x14ac:dyDescent="0.25">
      <c r="A931"/>
      <c r="B931"/>
      <c r="C931"/>
      <c r="D931"/>
      <c r="E931"/>
      <c r="F931"/>
      <c r="G931"/>
      <c r="H931"/>
      <c r="I931"/>
      <c r="J931"/>
    </row>
    <row r="932" spans="1:10" x14ac:dyDescent="0.25">
      <c r="A932"/>
      <c r="B932"/>
      <c r="C932"/>
      <c r="D932"/>
      <c r="E932"/>
      <c r="F932"/>
      <c r="G932"/>
      <c r="H932"/>
      <c r="I932"/>
      <c r="J932"/>
    </row>
    <row r="933" spans="1:10" x14ac:dyDescent="0.25">
      <c r="A933"/>
      <c r="B933"/>
      <c r="C933"/>
      <c r="D933"/>
      <c r="E933"/>
      <c r="F933"/>
      <c r="G933"/>
      <c r="H933"/>
      <c r="I933"/>
      <c r="J933"/>
    </row>
    <row r="934" spans="1:10" x14ac:dyDescent="0.25">
      <c r="A934"/>
      <c r="B934"/>
      <c r="C934"/>
      <c r="D934"/>
      <c r="E934"/>
      <c r="F934"/>
      <c r="G934"/>
      <c r="H934"/>
      <c r="I934"/>
      <c r="J934"/>
    </row>
    <row r="935" spans="1:10" x14ac:dyDescent="0.25">
      <c r="A935"/>
      <c r="B935"/>
      <c r="C935"/>
      <c r="D935"/>
      <c r="E935"/>
      <c r="F935"/>
      <c r="G935"/>
      <c r="H935"/>
      <c r="I935"/>
      <c r="J935"/>
    </row>
    <row r="936" spans="1:10" x14ac:dyDescent="0.25">
      <c r="A936"/>
      <c r="B936"/>
      <c r="C936"/>
      <c r="D936"/>
      <c r="E936"/>
      <c r="F936"/>
      <c r="G936"/>
      <c r="H936"/>
      <c r="I936"/>
      <c r="J936"/>
    </row>
    <row r="937" spans="1:10" x14ac:dyDescent="0.25">
      <c r="A937"/>
      <c r="B937"/>
      <c r="C937"/>
      <c r="D937"/>
      <c r="E937"/>
      <c r="F937"/>
      <c r="G937"/>
      <c r="H937"/>
      <c r="I937"/>
      <c r="J937"/>
    </row>
    <row r="938" spans="1:10" x14ac:dyDescent="0.25">
      <c r="A938"/>
      <c r="B938"/>
      <c r="C938"/>
      <c r="D938"/>
      <c r="E938"/>
      <c r="F938"/>
      <c r="G938"/>
      <c r="H938"/>
      <c r="I938"/>
      <c r="J938"/>
    </row>
    <row r="939" spans="1:10" x14ac:dyDescent="0.25">
      <c r="A939"/>
      <c r="B939"/>
      <c r="C939"/>
      <c r="D939"/>
      <c r="E939"/>
      <c r="F939"/>
      <c r="G939"/>
      <c r="H939"/>
      <c r="I939"/>
      <c r="J939"/>
    </row>
    <row r="940" spans="1:10" x14ac:dyDescent="0.25">
      <c r="A940"/>
      <c r="B940"/>
      <c r="C940"/>
      <c r="D940"/>
      <c r="E940"/>
      <c r="F940"/>
      <c r="G940"/>
      <c r="H940"/>
      <c r="I940"/>
      <c r="J940"/>
    </row>
    <row r="941" spans="1:10" x14ac:dyDescent="0.25">
      <c r="A941"/>
      <c r="B941"/>
      <c r="C941"/>
      <c r="D941"/>
      <c r="E941"/>
      <c r="F941"/>
      <c r="G941"/>
      <c r="H941"/>
      <c r="I941"/>
      <c r="J941"/>
    </row>
    <row r="942" spans="1:10" x14ac:dyDescent="0.25">
      <c r="A942"/>
      <c r="B942"/>
      <c r="C942"/>
      <c r="D942"/>
      <c r="E942"/>
      <c r="F942"/>
      <c r="G942"/>
      <c r="H942"/>
      <c r="I942"/>
      <c r="J942"/>
    </row>
    <row r="943" spans="1:10" x14ac:dyDescent="0.25">
      <c r="A943"/>
      <c r="B943"/>
      <c r="C943"/>
      <c r="D943"/>
      <c r="E943"/>
      <c r="F943"/>
      <c r="G943"/>
      <c r="H943"/>
      <c r="I943"/>
      <c r="J943"/>
    </row>
    <row r="944" spans="1:10" x14ac:dyDescent="0.25">
      <c r="A944"/>
      <c r="B944"/>
      <c r="C944"/>
      <c r="D944"/>
      <c r="E944"/>
      <c r="F944"/>
      <c r="G944"/>
      <c r="H944"/>
      <c r="I944"/>
      <c r="J944"/>
    </row>
    <row r="945" spans="1:10" x14ac:dyDescent="0.25">
      <c r="A945"/>
      <c r="B945"/>
      <c r="C945"/>
      <c r="D945"/>
      <c r="E945"/>
      <c r="F945"/>
      <c r="G945"/>
      <c r="H945"/>
      <c r="I945"/>
      <c r="J945"/>
    </row>
    <row r="946" spans="1:10" x14ac:dyDescent="0.25">
      <c r="A946"/>
      <c r="B946"/>
      <c r="C946"/>
      <c r="D946"/>
      <c r="E946"/>
      <c r="F946"/>
      <c r="G946"/>
      <c r="H946"/>
      <c r="I946"/>
      <c r="J946"/>
    </row>
    <row r="947" spans="1:10" x14ac:dyDescent="0.25">
      <c r="A947"/>
      <c r="B947"/>
      <c r="C947"/>
      <c r="D947"/>
      <c r="E947"/>
      <c r="F947"/>
      <c r="G947"/>
      <c r="H947"/>
      <c r="I947"/>
      <c r="J947"/>
    </row>
    <row r="948" spans="1:10" x14ac:dyDescent="0.25">
      <c r="A948"/>
      <c r="B948"/>
      <c r="C948"/>
      <c r="D948"/>
      <c r="E948"/>
      <c r="F948"/>
      <c r="G948"/>
      <c r="H948"/>
      <c r="I948"/>
      <c r="J948"/>
    </row>
    <row r="949" spans="1:10" x14ac:dyDescent="0.25">
      <c r="A949"/>
      <c r="B949"/>
      <c r="C949"/>
      <c r="D949"/>
      <c r="E949"/>
      <c r="F949"/>
      <c r="G949"/>
      <c r="H949"/>
      <c r="I949"/>
      <c r="J949"/>
    </row>
    <row r="950" spans="1:10" x14ac:dyDescent="0.25">
      <c r="A950"/>
      <c r="B950"/>
      <c r="C950"/>
      <c r="D950"/>
      <c r="E950"/>
      <c r="F950"/>
      <c r="G950"/>
      <c r="H950"/>
      <c r="I950"/>
      <c r="J950"/>
    </row>
    <row r="951" spans="1:10" x14ac:dyDescent="0.25">
      <c r="A951"/>
      <c r="B951"/>
      <c r="C951"/>
      <c r="D951"/>
      <c r="E951"/>
      <c r="F951"/>
      <c r="G951"/>
      <c r="H951"/>
      <c r="I951"/>
      <c r="J951"/>
    </row>
    <row r="952" spans="1:10" x14ac:dyDescent="0.25">
      <c r="A952"/>
      <c r="B952"/>
      <c r="C952"/>
      <c r="D952"/>
      <c r="E952"/>
      <c r="F952"/>
      <c r="G952"/>
      <c r="H952"/>
      <c r="I952"/>
      <c r="J952"/>
    </row>
    <row r="953" spans="1:10" x14ac:dyDescent="0.25">
      <c r="A953"/>
      <c r="B953"/>
      <c r="C953"/>
      <c r="D953"/>
      <c r="E953"/>
      <c r="F953"/>
      <c r="G953"/>
      <c r="H953"/>
      <c r="I953"/>
      <c r="J953"/>
    </row>
    <row r="954" spans="1:10" x14ac:dyDescent="0.25">
      <c r="A954"/>
      <c r="B954"/>
      <c r="C954"/>
      <c r="D954"/>
      <c r="E954"/>
      <c r="F954"/>
      <c r="G954"/>
      <c r="H954"/>
      <c r="I954"/>
      <c r="J954"/>
    </row>
    <row r="955" spans="1:10" x14ac:dyDescent="0.25">
      <c r="A955"/>
      <c r="B955"/>
      <c r="C955"/>
      <c r="D955"/>
      <c r="E955"/>
      <c r="F955"/>
      <c r="G955"/>
      <c r="H955"/>
      <c r="I955"/>
      <c r="J955"/>
    </row>
    <row r="956" spans="1:10" x14ac:dyDescent="0.25">
      <c r="A956"/>
      <c r="B956"/>
      <c r="C956"/>
      <c r="D956"/>
      <c r="E956"/>
      <c r="F956"/>
      <c r="G956"/>
      <c r="H956"/>
      <c r="I956"/>
      <c r="J956"/>
    </row>
    <row r="957" spans="1:10" x14ac:dyDescent="0.25">
      <c r="A957"/>
      <c r="B957"/>
      <c r="C957"/>
      <c r="D957"/>
      <c r="E957"/>
      <c r="F957"/>
      <c r="G957"/>
      <c r="H957"/>
      <c r="I957"/>
      <c r="J957"/>
    </row>
    <row r="958" spans="1:10" x14ac:dyDescent="0.25">
      <c r="A958"/>
      <c r="B958"/>
      <c r="C958"/>
      <c r="D958"/>
      <c r="E958"/>
      <c r="F958"/>
      <c r="G958"/>
      <c r="H958"/>
      <c r="I958"/>
      <c r="J958"/>
    </row>
    <row r="959" spans="1:10" x14ac:dyDescent="0.25">
      <c r="A959"/>
      <c r="B959"/>
      <c r="C959"/>
      <c r="D959"/>
      <c r="E959"/>
      <c r="F959"/>
      <c r="G959"/>
      <c r="H959"/>
      <c r="I959"/>
      <c r="J959"/>
    </row>
    <row r="960" spans="1:10" x14ac:dyDescent="0.25">
      <c r="A960"/>
      <c r="B960"/>
      <c r="C960"/>
      <c r="D960"/>
      <c r="E960"/>
      <c r="F960"/>
      <c r="G960"/>
      <c r="H960"/>
      <c r="I960"/>
      <c r="J960"/>
    </row>
    <row r="961" spans="1:10" x14ac:dyDescent="0.25">
      <c r="A961"/>
      <c r="B961"/>
      <c r="C961"/>
      <c r="D961"/>
      <c r="E961"/>
      <c r="F961"/>
      <c r="G961"/>
      <c r="H961"/>
      <c r="I961"/>
      <c r="J961"/>
    </row>
    <row r="962" spans="1:10" x14ac:dyDescent="0.25">
      <c r="A962"/>
      <c r="B962"/>
      <c r="C962"/>
      <c r="D962"/>
      <c r="E962"/>
      <c r="F962"/>
      <c r="G962"/>
      <c r="H962"/>
      <c r="I962"/>
      <c r="J962"/>
    </row>
    <row r="963" spans="1:10" x14ac:dyDescent="0.25">
      <c r="A963"/>
      <c r="B963"/>
      <c r="C963"/>
      <c r="D963"/>
      <c r="E963"/>
      <c r="F963"/>
      <c r="G963"/>
      <c r="H963"/>
      <c r="I963"/>
      <c r="J963"/>
    </row>
    <row r="964" spans="1:10" x14ac:dyDescent="0.25">
      <c r="A964"/>
      <c r="B964"/>
      <c r="C964"/>
      <c r="D964"/>
      <c r="E964"/>
      <c r="F964"/>
      <c r="G964"/>
      <c r="H964"/>
      <c r="I964"/>
      <c r="J964"/>
    </row>
    <row r="965" spans="1:10" x14ac:dyDescent="0.25">
      <c r="A965"/>
      <c r="B965"/>
      <c r="C965"/>
      <c r="D965"/>
      <c r="E965"/>
      <c r="F965"/>
      <c r="G965"/>
      <c r="H965"/>
      <c r="I965"/>
      <c r="J965"/>
    </row>
    <row r="966" spans="1:10" x14ac:dyDescent="0.25">
      <c r="A966"/>
      <c r="B966"/>
      <c r="C966"/>
      <c r="D966"/>
      <c r="E966"/>
      <c r="F966"/>
      <c r="G966"/>
      <c r="H966"/>
      <c r="I966"/>
      <c r="J966"/>
    </row>
    <row r="967" spans="1:10" x14ac:dyDescent="0.25">
      <c r="A967"/>
      <c r="B967"/>
      <c r="C967"/>
      <c r="D967"/>
      <c r="E967"/>
      <c r="F967"/>
      <c r="G967"/>
      <c r="H967"/>
      <c r="I967"/>
      <c r="J967"/>
    </row>
    <row r="968" spans="1:10" x14ac:dyDescent="0.25">
      <c r="A968"/>
      <c r="B968"/>
      <c r="C968"/>
      <c r="D968"/>
      <c r="E968"/>
      <c r="F968"/>
      <c r="G968"/>
      <c r="H968"/>
      <c r="I968"/>
      <c r="J968"/>
    </row>
    <row r="969" spans="1:10" x14ac:dyDescent="0.25">
      <c r="A969"/>
      <c r="B969"/>
      <c r="C969"/>
      <c r="D969"/>
      <c r="E969"/>
      <c r="F969"/>
      <c r="G969"/>
      <c r="H969"/>
      <c r="I969"/>
      <c r="J969"/>
    </row>
    <row r="970" spans="1:10" x14ac:dyDescent="0.25">
      <c r="A970"/>
      <c r="B970"/>
      <c r="C970"/>
      <c r="D970"/>
      <c r="E970"/>
      <c r="F970"/>
      <c r="G970"/>
      <c r="H970"/>
      <c r="I970"/>
      <c r="J970"/>
    </row>
    <row r="971" spans="1:10" x14ac:dyDescent="0.25">
      <c r="A971"/>
      <c r="B971"/>
      <c r="C971"/>
      <c r="D971"/>
      <c r="E971"/>
      <c r="F971"/>
      <c r="G971"/>
      <c r="H971"/>
      <c r="I971"/>
      <c r="J971"/>
    </row>
    <row r="972" spans="1:10" x14ac:dyDescent="0.25">
      <c r="A972"/>
      <c r="B972"/>
      <c r="C972"/>
      <c r="D972"/>
      <c r="E972"/>
      <c r="F972"/>
      <c r="G972"/>
      <c r="H972"/>
      <c r="I972"/>
      <c r="J972"/>
    </row>
    <row r="973" spans="1:10" x14ac:dyDescent="0.25">
      <c r="A973"/>
      <c r="B973"/>
      <c r="C973"/>
      <c r="D973"/>
      <c r="E973"/>
      <c r="F973"/>
      <c r="G973"/>
      <c r="H973"/>
      <c r="I973"/>
      <c r="J973"/>
    </row>
    <row r="974" spans="1:10" x14ac:dyDescent="0.25">
      <c r="A974"/>
      <c r="B974"/>
      <c r="C974"/>
      <c r="D974"/>
      <c r="E974"/>
      <c r="F974"/>
      <c r="G974"/>
      <c r="H974"/>
      <c r="I974"/>
      <c r="J974"/>
    </row>
    <row r="975" spans="1:10" x14ac:dyDescent="0.25">
      <c r="A975"/>
      <c r="B975"/>
      <c r="C975"/>
      <c r="D975"/>
      <c r="E975"/>
      <c r="F975"/>
      <c r="G975"/>
      <c r="H975"/>
      <c r="I975"/>
      <c r="J975"/>
    </row>
    <row r="976" spans="1:10" x14ac:dyDescent="0.25">
      <c r="A976"/>
      <c r="B976"/>
      <c r="C976"/>
      <c r="D976"/>
      <c r="E976"/>
      <c r="F976"/>
      <c r="G976"/>
      <c r="H976"/>
      <c r="I976"/>
      <c r="J976"/>
    </row>
    <row r="977" spans="1:10" x14ac:dyDescent="0.25">
      <c r="A977"/>
      <c r="B977"/>
      <c r="C977"/>
      <c r="D977"/>
      <c r="E977"/>
      <c r="F977"/>
      <c r="G977"/>
      <c r="H977"/>
      <c r="I977"/>
      <c r="J977"/>
    </row>
    <row r="978" spans="1:10" x14ac:dyDescent="0.25">
      <c r="A978"/>
      <c r="B978"/>
      <c r="C978"/>
      <c r="D978"/>
      <c r="E978"/>
      <c r="F978"/>
      <c r="G978"/>
      <c r="H978"/>
      <c r="I978"/>
      <c r="J978"/>
    </row>
    <row r="979" spans="1:10" x14ac:dyDescent="0.25">
      <c r="A979"/>
      <c r="B979"/>
      <c r="C979"/>
      <c r="D979"/>
      <c r="E979"/>
      <c r="F979"/>
      <c r="G979"/>
      <c r="H979"/>
      <c r="I979"/>
      <c r="J979"/>
    </row>
    <row r="980" spans="1:10" x14ac:dyDescent="0.25">
      <c r="A980"/>
      <c r="B980"/>
      <c r="C980"/>
      <c r="D980"/>
      <c r="E980"/>
      <c r="F980"/>
      <c r="G980"/>
      <c r="H980"/>
      <c r="I980"/>
      <c r="J980"/>
    </row>
    <row r="981" spans="1:10" x14ac:dyDescent="0.25">
      <c r="A981"/>
      <c r="B981"/>
      <c r="C981"/>
      <c r="D981"/>
      <c r="E981"/>
      <c r="F981"/>
      <c r="G981"/>
      <c r="H981"/>
      <c r="I981"/>
      <c r="J981"/>
    </row>
    <row r="982" spans="1:10" x14ac:dyDescent="0.25">
      <c r="A982"/>
      <c r="B982"/>
      <c r="C982"/>
      <c r="D982"/>
      <c r="E982"/>
      <c r="F982"/>
      <c r="G982"/>
      <c r="H982"/>
      <c r="I982"/>
      <c r="J982"/>
    </row>
    <row r="983" spans="1:10" x14ac:dyDescent="0.25">
      <c r="A983"/>
      <c r="B983"/>
      <c r="C983"/>
      <c r="D983"/>
      <c r="E983"/>
      <c r="F983"/>
      <c r="G983"/>
      <c r="H983"/>
      <c r="I983"/>
      <c r="J983"/>
    </row>
    <row r="984" spans="1:10" x14ac:dyDescent="0.25">
      <c r="A984"/>
      <c r="B984"/>
      <c r="C984"/>
      <c r="D984"/>
      <c r="E984"/>
      <c r="F984"/>
      <c r="G984"/>
      <c r="H984"/>
      <c r="I984"/>
      <c r="J984"/>
    </row>
    <row r="985" spans="1:10" x14ac:dyDescent="0.25">
      <c r="A985"/>
      <c r="B985"/>
      <c r="C985"/>
      <c r="D985"/>
      <c r="E985"/>
      <c r="F985"/>
      <c r="G985"/>
      <c r="H985"/>
      <c r="I985"/>
      <c r="J985"/>
    </row>
    <row r="986" spans="1:10" x14ac:dyDescent="0.25">
      <c r="A986"/>
      <c r="B986"/>
      <c r="C986"/>
      <c r="D986"/>
      <c r="E986"/>
      <c r="F986"/>
      <c r="G986"/>
      <c r="H986"/>
      <c r="I986"/>
      <c r="J986"/>
    </row>
    <row r="987" spans="1:10" x14ac:dyDescent="0.25">
      <c r="A987"/>
      <c r="B987"/>
      <c r="C987"/>
      <c r="D987"/>
      <c r="E987"/>
      <c r="F987"/>
      <c r="G987"/>
      <c r="H987"/>
      <c r="I987"/>
      <c r="J987"/>
    </row>
    <row r="988" spans="1:10" x14ac:dyDescent="0.25">
      <c r="A988"/>
      <c r="B988"/>
      <c r="C988"/>
      <c r="D988"/>
      <c r="E988"/>
      <c r="F988"/>
      <c r="G988"/>
      <c r="H988"/>
      <c r="I988"/>
      <c r="J988"/>
    </row>
    <row r="989" spans="1:10" x14ac:dyDescent="0.25">
      <c r="A989"/>
      <c r="B989"/>
      <c r="C989"/>
      <c r="D989"/>
      <c r="E989"/>
      <c r="F989"/>
      <c r="G989"/>
      <c r="H989"/>
      <c r="I989"/>
      <c r="J989"/>
    </row>
    <row r="990" spans="1:10" x14ac:dyDescent="0.25">
      <c r="A990"/>
      <c r="B990"/>
      <c r="C990"/>
      <c r="D990"/>
      <c r="E990"/>
      <c r="F990"/>
      <c r="G990"/>
      <c r="H990"/>
      <c r="I990"/>
      <c r="J990"/>
    </row>
    <row r="991" spans="1:10" x14ac:dyDescent="0.25">
      <c r="A991"/>
      <c r="B991"/>
      <c r="C991"/>
      <c r="D991"/>
      <c r="E991"/>
      <c r="F991"/>
      <c r="G991"/>
      <c r="H991"/>
      <c r="I991"/>
      <c r="J991"/>
    </row>
    <row r="992" spans="1:10" x14ac:dyDescent="0.25">
      <c r="A992"/>
      <c r="B992"/>
      <c r="C992"/>
      <c r="D992"/>
      <c r="E992"/>
      <c r="F992"/>
      <c r="G992"/>
      <c r="H992"/>
      <c r="I992"/>
      <c r="J992"/>
    </row>
    <row r="993" spans="1:10" x14ac:dyDescent="0.25">
      <c r="A993"/>
      <c r="B993"/>
      <c r="C993"/>
      <c r="D993"/>
      <c r="E993"/>
      <c r="F993"/>
      <c r="G993"/>
      <c r="H993"/>
      <c r="I993"/>
      <c r="J993"/>
    </row>
    <row r="994" spans="1:10" x14ac:dyDescent="0.25">
      <c r="A994"/>
      <c r="B994"/>
      <c r="C994"/>
      <c r="D994"/>
      <c r="E994"/>
      <c r="F994"/>
      <c r="G994"/>
      <c r="H994"/>
      <c r="I994"/>
      <c r="J994"/>
    </row>
    <row r="995" spans="1:10" x14ac:dyDescent="0.25">
      <c r="A995"/>
      <c r="B995"/>
      <c r="C995"/>
      <c r="D995"/>
      <c r="E995"/>
      <c r="F995"/>
      <c r="G995"/>
      <c r="H995"/>
      <c r="I995"/>
      <c r="J995"/>
    </row>
    <row r="996" spans="1:10" x14ac:dyDescent="0.25">
      <c r="A996"/>
      <c r="B996"/>
      <c r="C996"/>
      <c r="D996"/>
      <c r="E996"/>
      <c r="F996"/>
      <c r="G996"/>
      <c r="H996"/>
      <c r="I996"/>
      <c r="J996"/>
    </row>
    <row r="997" spans="1:10" x14ac:dyDescent="0.25">
      <c r="A997"/>
      <c r="B997"/>
      <c r="C997"/>
      <c r="D997"/>
      <c r="E997"/>
      <c r="F997"/>
      <c r="G997"/>
      <c r="H997"/>
      <c r="I997"/>
      <c r="J997"/>
    </row>
    <row r="998" spans="1:10" x14ac:dyDescent="0.25">
      <c r="A998"/>
      <c r="B998"/>
      <c r="C998"/>
      <c r="D998"/>
      <c r="E998"/>
      <c r="F998"/>
      <c r="G998"/>
      <c r="H998"/>
      <c r="I998"/>
      <c r="J998"/>
    </row>
    <row r="999" spans="1:10" x14ac:dyDescent="0.25">
      <c r="A999"/>
      <c r="B999"/>
      <c r="C999"/>
      <c r="D999"/>
      <c r="E999"/>
      <c r="F999"/>
      <c r="G999"/>
      <c r="H999"/>
      <c r="I999"/>
      <c r="J999"/>
    </row>
    <row r="1000" spans="1:10" x14ac:dyDescent="0.25">
      <c r="A1000"/>
      <c r="B1000"/>
      <c r="C1000"/>
      <c r="D1000"/>
      <c r="E1000"/>
      <c r="F1000"/>
      <c r="G1000"/>
      <c r="H1000"/>
      <c r="I1000"/>
      <c r="J1000"/>
    </row>
    <row r="1001" spans="1:10" x14ac:dyDescent="0.25">
      <c r="A1001"/>
      <c r="B1001"/>
      <c r="C1001"/>
      <c r="D1001"/>
      <c r="E1001"/>
      <c r="F1001"/>
      <c r="G1001"/>
      <c r="H1001"/>
      <c r="I1001"/>
      <c r="J1001"/>
    </row>
    <row r="1002" spans="1:10" x14ac:dyDescent="0.25">
      <c r="A1002"/>
      <c r="B1002"/>
      <c r="C1002"/>
      <c r="D1002"/>
      <c r="E1002"/>
      <c r="F1002"/>
      <c r="G1002"/>
      <c r="H1002"/>
      <c r="I1002"/>
      <c r="J1002"/>
    </row>
    <row r="1003" spans="1:10" x14ac:dyDescent="0.25">
      <c r="A1003"/>
      <c r="B1003"/>
      <c r="C1003"/>
      <c r="D1003"/>
      <c r="E1003"/>
      <c r="F1003"/>
      <c r="G1003"/>
      <c r="H1003"/>
      <c r="I1003"/>
      <c r="J1003"/>
    </row>
    <row r="1004" spans="1:10" x14ac:dyDescent="0.25">
      <c r="A1004"/>
      <c r="B1004"/>
      <c r="C1004"/>
      <c r="D1004"/>
      <c r="E1004"/>
      <c r="F1004"/>
      <c r="G1004"/>
      <c r="H1004"/>
      <c r="I1004"/>
      <c r="J1004"/>
    </row>
    <row r="1005" spans="1:10" x14ac:dyDescent="0.25">
      <c r="A1005"/>
      <c r="B1005"/>
      <c r="C1005"/>
      <c r="D1005"/>
      <c r="E1005"/>
      <c r="F1005"/>
      <c r="G1005"/>
      <c r="H1005"/>
      <c r="I1005"/>
      <c r="J1005"/>
    </row>
    <row r="1006" spans="1:10" x14ac:dyDescent="0.25">
      <c r="A1006"/>
      <c r="B1006"/>
      <c r="C1006"/>
      <c r="D1006"/>
      <c r="E1006"/>
      <c r="F1006"/>
      <c r="G1006"/>
      <c r="H1006"/>
      <c r="I1006"/>
      <c r="J1006"/>
    </row>
    <row r="1007" spans="1:10" x14ac:dyDescent="0.25">
      <c r="A1007"/>
      <c r="B1007"/>
      <c r="C1007"/>
      <c r="D1007"/>
      <c r="E1007"/>
      <c r="F1007"/>
      <c r="G1007"/>
      <c r="H1007"/>
      <c r="I1007"/>
      <c r="J1007"/>
    </row>
    <row r="1008" spans="1:10" x14ac:dyDescent="0.25">
      <c r="A1008"/>
      <c r="B1008"/>
      <c r="C1008"/>
      <c r="D1008"/>
      <c r="E1008"/>
      <c r="F1008"/>
      <c r="G1008"/>
      <c r="H1008"/>
      <c r="I1008"/>
      <c r="J1008"/>
    </row>
    <row r="1009" spans="1:10" x14ac:dyDescent="0.25">
      <c r="A1009"/>
      <c r="B1009"/>
      <c r="C1009"/>
      <c r="D1009"/>
      <c r="E1009"/>
      <c r="F1009"/>
      <c r="G1009"/>
      <c r="H1009"/>
      <c r="I1009"/>
      <c r="J1009"/>
    </row>
    <row r="1010" spans="1:10" x14ac:dyDescent="0.25">
      <c r="A1010"/>
      <c r="B1010"/>
      <c r="C1010"/>
      <c r="D1010"/>
      <c r="E1010"/>
      <c r="F1010"/>
      <c r="G1010"/>
      <c r="H1010"/>
      <c r="I1010"/>
      <c r="J1010"/>
    </row>
    <row r="1011" spans="1:10" x14ac:dyDescent="0.25">
      <c r="A1011"/>
      <c r="B1011"/>
      <c r="C1011"/>
      <c r="D1011"/>
      <c r="E1011"/>
      <c r="F1011"/>
      <c r="G1011"/>
      <c r="H1011"/>
      <c r="I1011"/>
      <c r="J1011"/>
    </row>
    <row r="1012" spans="1:10" x14ac:dyDescent="0.25">
      <c r="A1012"/>
      <c r="B1012"/>
      <c r="C1012"/>
      <c r="D1012"/>
      <c r="E1012"/>
      <c r="F1012"/>
      <c r="G1012"/>
      <c r="H1012"/>
      <c r="I1012"/>
      <c r="J1012"/>
    </row>
    <row r="1013" spans="1:10" x14ac:dyDescent="0.25">
      <c r="A1013"/>
      <c r="B1013"/>
      <c r="C1013"/>
      <c r="D1013"/>
      <c r="E1013"/>
      <c r="F1013"/>
      <c r="G1013"/>
      <c r="H1013"/>
      <c r="I1013"/>
      <c r="J1013"/>
    </row>
    <row r="1014" spans="1:10" x14ac:dyDescent="0.25">
      <c r="A1014"/>
      <c r="B1014"/>
      <c r="C1014"/>
      <c r="D1014"/>
      <c r="E1014"/>
      <c r="F1014"/>
      <c r="G1014"/>
      <c r="H1014"/>
      <c r="I1014"/>
      <c r="J1014"/>
    </row>
    <row r="1015" spans="1:10" x14ac:dyDescent="0.25">
      <c r="A1015"/>
      <c r="B1015"/>
      <c r="C1015"/>
      <c r="D1015"/>
      <c r="E1015"/>
      <c r="F1015"/>
      <c r="G1015"/>
      <c r="H1015"/>
      <c r="I1015"/>
      <c r="J1015"/>
    </row>
    <row r="1016" spans="1:10" x14ac:dyDescent="0.25">
      <c r="A1016"/>
      <c r="B1016"/>
      <c r="C1016"/>
      <c r="D1016"/>
      <c r="E1016"/>
      <c r="F1016"/>
      <c r="G1016"/>
      <c r="H1016"/>
      <c r="I1016"/>
      <c r="J1016"/>
    </row>
    <row r="1017" spans="1:10" x14ac:dyDescent="0.25">
      <c r="A1017"/>
      <c r="B1017"/>
      <c r="C1017"/>
      <c r="D1017"/>
      <c r="E1017"/>
      <c r="F1017"/>
      <c r="G1017"/>
      <c r="H1017"/>
      <c r="I1017"/>
      <c r="J1017"/>
    </row>
    <row r="1018" spans="1:10" x14ac:dyDescent="0.25">
      <c r="A1018"/>
      <c r="B1018"/>
      <c r="C1018"/>
      <c r="D1018"/>
      <c r="E1018"/>
      <c r="F1018"/>
      <c r="G1018"/>
      <c r="H1018"/>
      <c r="I1018"/>
      <c r="J1018"/>
    </row>
    <row r="1019" spans="1:10" x14ac:dyDescent="0.25">
      <c r="A1019"/>
      <c r="B1019"/>
      <c r="C1019"/>
      <c r="D1019"/>
      <c r="E1019"/>
      <c r="F1019"/>
      <c r="G1019"/>
      <c r="H1019"/>
      <c r="I1019"/>
      <c r="J1019"/>
    </row>
    <row r="1020" spans="1:10" x14ac:dyDescent="0.25">
      <c r="A1020"/>
      <c r="B1020"/>
      <c r="C1020"/>
      <c r="D1020"/>
      <c r="E1020"/>
      <c r="F1020"/>
      <c r="G1020"/>
      <c r="H1020"/>
      <c r="I1020"/>
      <c r="J1020"/>
    </row>
    <row r="1021" spans="1:10" x14ac:dyDescent="0.25">
      <c r="A1021"/>
      <c r="B1021"/>
      <c r="C1021"/>
      <c r="D1021"/>
      <c r="E1021"/>
      <c r="F1021"/>
      <c r="G1021"/>
      <c r="H1021"/>
      <c r="I1021"/>
      <c r="J1021"/>
    </row>
    <row r="1022" spans="1:10" x14ac:dyDescent="0.25">
      <c r="A1022"/>
      <c r="B1022"/>
      <c r="C1022"/>
      <c r="D1022"/>
      <c r="E1022"/>
      <c r="F1022"/>
      <c r="G1022"/>
      <c r="H1022"/>
      <c r="I1022"/>
      <c r="J1022"/>
    </row>
    <row r="1023" spans="1:10" x14ac:dyDescent="0.25">
      <c r="A1023"/>
      <c r="B1023"/>
      <c r="C1023"/>
      <c r="D1023"/>
      <c r="E1023"/>
      <c r="F1023"/>
      <c r="G1023"/>
      <c r="H1023"/>
      <c r="I1023"/>
      <c r="J1023"/>
    </row>
    <row r="1024" spans="1:10" x14ac:dyDescent="0.25">
      <c r="A1024"/>
      <c r="B1024"/>
      <c r="C1024"/>
      <c r="D1024"/>
      <c r="E1024"/>
      <c r="F1024"/>
      <c r="G1024"/>
      <c r="H1024"/>
      <c r="I1024"/>
      <c r="J1024"/>
    </row>
    <row r="1025" spans="1:10" x14ac:dyDescent="0.25">
      <c r="A1025"/>
      <c r="B1025"/>
      <c r="C1025"/>
      <c r="D1025"/>
      <c r="E1025"/>
      <c r="F1025"/>
      <c r="G1025"/>
      <c r="H1025"/>
      <c r="I1025"/>
      <c r="J1025"/>
    </row>
    <row r="1026" spans="1:10" x14ac:dyDescent="0.25">
      <c r="A1026"/>
      <c r="B1026"/>
      <c r="C1026"/>
      <c r="D1026"/>
      <c r="E1026"/>
      <c r="F1026"/>
      <c r="G1026"/>
      <c r="H1026"/>
      <c r="I1026"/>
      <c r="J1026"/>
    </row>
    <row r="1027" spans="1:10" x14ac:dyDescent="0.25">
      <c r="A1027"/>
      <c r="B1027"/>
      <c r="C1027"/>
      <c r="D1027"/>
      <c r="E1027"/>
      <c r="F1027"/>
      <c r="G1027"/>
      <c r="H1027"/>
      <c r="I1027"/>
      <c r="J1027"/>
    </row>
    <row r="1028" spans="1:10" x14ac:dyDescent="0.25">
      <c r="A1028"/>
      <c r="B1028"/>
      <c r="C1028"/>
      <c r="D1028"/>
      <c r="E1028"/>
      <c r="F1028"/>
      <c r="G1028"/>
      <c r="H1028"/>
      <c r="I1028"/>
      <c r="J1028"/>
    </row>
    <row r="1029" spans="1:10" x14ac:dyDescent="0.25">
      <c r="A1029"/>
      <c r="B1029"/>
      <c r="C1029"/>
      <c r="D1029"/>
      <c r="E1029"/>
      <c r="F1029"/>
      <c r="G1029"/>
      <c r="H1029"/>
      <c r="I1029"/>
      <c r="J1029"/>
    </row>
    <row r="1030" spans="1:10" x14ac:dyDescent="0.25">
      <c r="A1030"/>
      <c r="B1030"/>
      <c r="C1030"/>
      <c r="D1030"/>
      <c r="E1030"/>
      <c r="F1030"/>
      <c r="G1030"/>
      <c r="H1030"/>
      <c r="I1030"/>
      <c r="J1030"/>
    </row>
    <row r="1031" spans="1:10" x14ac:dyDescent="0.25">
      <c r="A1031"/>
      <c r="B1031"/>
      <c r="C1031"/>
      <c r="D1031"/>
      <c r="E1031"/>
      <c r="F1031"/>
      <c r="G1031"/>
      <c r="H1031"/>
      <c r="I1031"/>
      <c r="J1031"/>
    </row>
    <row r="1032" spans="1:10" x14ac:dyDescent="0.25">
      <c r="A1032"/>
      <c r="B1032"/>
      <c r="C1032"/>
      <c r="D1032"/>
      <c r="E1032"/>
      <c r="F1032"/>
      <c r="G1032"/>
      <c r="H1032"/>
      <c r="I1032"/>
      <c r="J1032"/>
    </row>
    <row r="1033" spans="1:10" x14ac:dyDescent="0.25">
      <c r="A1033"/>
      <c r="B1033"/>
      <c r="C1033"/>
      <c r="D1033"/>
      <c r="E1033"/>
      <c r="F1033"/>
      <c r="G1033"/>
      <c r="H1033"/>
      <c r="I1033"/>
      <c r="J1033"/>
    </row>
    <row r="1034" spans="1:10" x14ac:dyDescent="0.25">
      <c r="A1034"/>
      <c r="B1034"/>
      <c r="C1034"/>
      <c r="D1034"/>
      <c r="E1034"/>
      <c r="F1034"/>
      <c r="G1034"/>
      <c r="H1034"/>
      <c r="I1034"/>
      <c r="J1034"/>
    </row>
    <row r="1035" spans="1:10" x14ac:dyDescent="0.25">
      <c r="A1035"/>
      <c r="B1035"/>
      <c r="C1035"/>
      <c r="D1035"/>
      <c r="E1035"/>
      <c r="F1035"/>
      <c r="G1035"/>
      <c r="H1035"/>
      <c r="I1035"/>
      <c r="J1035"/>
    </row>
    <row r="1036" spans="1:10" x14ac:dyDescent="0.25">
      <c r="A1036"/>
      <c r="B1036"/>
      <c r="C1036"/>
      <c r="D1036"/>
      <c r="E1036"/>
      <c r="F1036"/>
      <c r="G1036"/>
      <c r="H1036"/>
      <c r="I1036"/>
      <c r="J1036"/>
    </row>
    <row r="1037" spans="1:10" x14ac:dyDescent="0.25">
      <c r="A1037"/>
      <c r="B1037"/>
      <c r="C1037"/>
      <c r="D1037"/>
      <c r="E1037"/>
      <c r="F1037"/>
      <c r="G1037"/>
      <c r="H1037"/>
      <c r="I1037"/>
      <c r="J1037"/>
    </row>
    <row r="1038" spans="1:10" x14ac:dyDescent="0.25">
      <c r="A1038"/>
      <c r="B1038"/>
      <c r="C1038"/>
      <c r="D1038"/>
      <c r="E1038"/>
      <c r="F1038"/>
      <c r="G1038"/>
      <c r="H1038"/>
      <c r="I1038"/>
      <c r="J1038"/>
    </row>
    <row r="1039" spans="1:10" x14ac:dyDescent="0.25">
      <c r="A1039"/>
      <c r="B1039"/>
      <c r="C1039"/>
      <c r="D1039"/>
      <c r="E1039"/>
      <c r="F1039"/>
      <c r="G1039"/>
      <c r="H1039"/>
      <c r="I1039"/>
      <c r="J1039"/>
    </row>
    <row r="1040" spans="1:10" x14ac:dyDescent="0.25">
      <c r="A1040"/>
      <c r="B1040"/>
      <c r="C1040"/>
      <c r="D1040"/>
      <c r="E1040"/>
      <c r="F1040"/>
      <c r="G1040"/>
      <c r="H1040"/>
      <c r="I1040"/>
      <c r="J1040"/>
    </row>
    <row r="1041" spans="1:10" x14ac:dyDescent="0.25">
      <c r="A1041"/>
      <c r="B1041"/>
      <c r="C1041"/>
      <c r="D1041"/>
      <c r="E1041"/>
      <c r="F1041"/>
      <c r="G1041"/>
      <c r="H1041"/>
      <c r="I1041"/>
      <c r="J1041"/>
    </row>
    <row r="1042" spans="1:10" x14ac:dyDescent="0.25">
      <c r="A1042"/>
      <c r="B1042"/>
      <c r="C1042"/>
      <c r="D1042"/>
      <c r="E1042"/>
      <c r="F1042"/>
      <c r="G1042"/>
      <c r="H1042"/>
      <c r="I1042"/>
      <c r="J1042"/>
    </row>
    <row r="1043" spans="1:10" x14ac:dyDescent="0.25">
      <c r="A1043"/>
      <c r="B1043"/>
      <c r="C1043"/>
      <c r="D1043"/>
      <c r="E1043"/>
      <c r="F1043"/>
      <c r="G1043"/>
      <c r="H1043"/>
      <c r="I1043"/>
      <c r="J1043"/>
    </row>
    <row r="1044" spans="1:10" x14ac:dyDescent="0.25">
      <c r="A1044"/>
      <c r="B1044"/>
      <c r="C1044"/>
      <c r="D1044"/>
      <c r="E1044"/>
      <c r="F1044"/>
      <c r="G1044"/>
      <c r="H1044"/>
      <c r="I1044"/>
      <c r="J1044"/>
    </row>
    <row r="1045" spans="1:10" x14ac:dyDescent="0.25">
      <c r="A1045"/>
      <c r="B1045"/>
      <c r="C1045"/>
      <c r="D1045"/>
      <c r="E1045"/>
      <c r="F1045"/>
      <c r="G1045"/>
      <c r="H1045"/>
      <c r="I1045"/>
      <c r="J1045"/>
    </row>
    <row r="1046" spans="1:10" x14ac:dyDescent="0.25">
      <c r="A1046"/>
      <c r="B1046"/>
      <c r="C1046"/>
      <c r="D1046"/>
      <c r="E1046"/>
      <c r="F1046"/>
      <c r="G1046"/>
      <c r="H1046"/>
      <c r="I1046"/>
      <c r="J1046"/>
    </row>
    <row r="1047" spans="1:10" x14ac:dyDescent="0.25">
      <c r="A1047"/>
      <c r="B1047"/>
      <c r="C1047"/>
      <c r="D1047"/>
      <c r="E1047"/>
      <c r="F1047"/>
      <c r="G1047"/>
      <c r="H1047"/>
      <c r="I1047"/>
      <c r="J1047"/>
    </row>
    <row r="1048" spans="1:10" x14ac:dyDescent="0.25">
      <c r="A1048"/>
      <c r="B1048"/>
      <c r="C1048"/>
      <c r="D1048"/>
      <c r="E1048"/>
      <c r="F1048"/>
      <c r="G1048"/>
      <c r="H1048"/>
      <c r="I1048"/>
      <c r="J1048"/>
    </row>
    <row r="1049" spans="1:10" x14ac:dyDescent="0.25">
      <c r="A1049"/>
      <c r="B1049"/>
      <c r="C1049"/>
      <c r="D1049"/>
      <c r="E1049"/>
      <c r="F1049"/>
      <c r="G1049"/>
      <c r="H1049"/>
      <c r="I1049"/>
      <c r="J1049"/>
    </row>
    <row r="1050" spans="1:10" x14ac:dyDescent="0.25">
      <c r="A1050"/>
      <c r="B1050"/>
      <c r="C1050"/>
      <c r="D1050"/>
      <c r="E1050"/>
      <c r="F1050"/>
      <c r="G1050"/>
      <c r="H1050"/>
      <c r="I1050"/>
      <c r="J1050"/>
    </row>
    <row r="1051" spans="1:10" x14ac:dyDescent="0.25">
      <c r="A1051"/>
      <c r="B1051"/>
      <c r="C1051"/>
      <c r="D1051"/>
      <c r="E1051"/>
      <c r="F1051"/>
      <c r="G1051"/>
      <c r="H1051"/>
      <c r="I1051"/>
      <c r="J1051"/>
    </row>
    <row r="1052" spans="1:10" x14ac:dyDescent="0.25">
      <c r="A1052"/>
      <c r="B1052"/>
      <c r="C1052"/>
      <c r="D1052"/>
      <c r="E1052"/>
      <c r="F1052"/>
      <c r="G1052"/>
      <c r="H1052"/>
      <c r="I1052"/>
      <c r="J1052"/>
    </row>
    <row r="1053" spans="1:10" x14ac:dyDescent="0.25">
      <c r="A1053"/>
      <c r="B1053"/>
      <c r="C1053"/>
      <c r="D1053"/>
      <c r="E1053"/>
      <c r="F1053"/>
      <c r="G1053"/>
      <c r="H1053"/>
      <c r="I1053"/>
      <c r="J1053"/>
    </row>
    <row r="1054" spans="1:10" x14ac:dyDescent="0.25">
      <c r="A1054"/>
      <c r="B1054"/>
      <c r="C1054"/>
      <c r="D1054"/>
      <c r="E1054"/>
      <c r="F1054"/>
      <c r="G1054"/>
      <c r="H1054"/>
      <c r="I1054"/>
      <c r="J1054"/>
    </row>
    <row r="1055" spans="1:10" x14ac:dyDescent="0.25">
      <c r="A1055"/>
      <c r="B1055"/>
      <c r="C1055"/>
      <c r="D1055"/>
      <c r="E1055"/>
      <c r="F1055"/>
      <c r="G1055"/>
      <c r="H1055"/>
      <c r="I1055"/>
      <c r="J1055"/>
    </row>
    <row r="1056" spans="1:10" x14ac:dyDescent="0.25">
      <c r="A1056"/>
      <c r="B1056"/>
      <c r="C1056"/>
      <c r="D1056"/>
      <c r="E1056"/>
      <c r="F1056"/>
      <c r="G1056"/>
      <c r="H1056"/>
      <c r="I1056"/>
      <c r="J1056"/>
    </row>
    <row r="1057" spans="1:10" x14ac:dyDescent="0.25">
      <c r="A1057"/>
      <c r="B1057"/>
      <c r="C1057"/>
      <c r="D1057"/>
      <c r="E1057"/>
      <c r="F1057"/>
      <c r="G1057"/>
      <c r="H1057"/>
      <c r="I1057"/>
      <c r="J1057"/>
    </row>
    <row r="1058" spans="1:10" x14ac:dyDescent="0.25">
      <c r="A1058"/>
      <c r="B1058"/>
      <c r="C1058"/>
      <c r="D1058"/>
      <c r="E1058"/>
      <c r="F1058"/>
      <c r="G1058"/>
      <c r="H1058"/>
      <c r="I1058"/>
      <c r="J1058"/>
    </row>
    <row r="1059" spans="1:10" x14ac:dyDescent="0.25">
      <c r="A1059"/>
      <c r="B1059"/>
      <c r="C1059"/>
      <c r="D1059"/>
      <c r="E1059"/>
      <c r="F1059"/>
      <c r="G1059"/>
      <c r="H1059"/>
      <c r="I1059"/>
      <c r="J1059"/>
    </row>
    <row r="1060" spans="1:10" x14ac:dyDescent="0.25">
      <c r="A1060"/>
      <c r="B1060"/>
      <c r="C1060"/>
      <c r="D1060"/>
      <c r="E1060"/>
      <c r="F1060"/>
      <c r="G1060"/>
      <c r="H1060"/>
      <c r="I1060"/>
      <c r="J1060"/>
    </row>
    <row r="1061" spans="1:10" x14ac:dyDescent="0.25">
      <c r="A1061"/>
      <c r="B1061"/>
      <c r="C1061"/>
      <c r="D1061"/>
      <c r="E1061"/>
      <c r="F1061"/>
      <c r="G1061"/>
      <c r="H1061"/>
      <c r="I1061"/>
      <c r="J1061"/>
    </row>
    <row r="1062" spans="1:10" x14ac:dyDescent="0.25">
      <c r="A1062"/>
      <c r="B1062"/>
      <c r="C1062"/>
      <c r="D1062"/>
      <c r="E1062"/>
      <c r="F1062"/>
      <c r="G1062"/>
      <c r="H1062"/>
      <c r="I1062"/>
      <c r="J1062"/>
    </row>
    <row r="1063" spans="1:10" x14ac:dyDescent="0.25">
      <c r="A1063"/>
      <c r="B1063"/>
      <c r="C1063"/>
      <c r="D1063"/>
      <c r="E1063"/>
      <c r="F1063"/>
      <c r="G1063"/>
      <c r="H1063"/>
      <c r="I1063"/>
      <c r="J1063"/>
    </row>
    <row r="1064" spans="1:10" x14ac:dyDescent="0.25">
      <c r="A1064"/>
      <c r="B1064"/>
      <c r="C1064"/>
      <c r="D1064"/>
      <c r="E1064"/>
      <c r="F1064"/>
      <c r="G1064"/>
      <c r="H1064"/>
      <c r="I1064"/>
      <c r="J1064"/>
    </row>
    <row r="1065" spans="1:10" x14ac:dyDescent="0.25">
      <c r="A1065"/>
      <c r="B1065"/>
      <c r="C1065"/>
      <c r="D1065"/>
      <c r="E1065"/>
      <c r="F1065"/>
      <c r="G1065"/>
      <c r="H1065"/>
      <c r="I1065"/>
      <c r="J1065"/>
    </row>
    <row r="1066" spans="1:10" x14ac:dyDescent="0.25">
      <c r="A1066"/>
      <c r="B1066"/>
      <c r="C1066"/>
      <c r="D1066"/>
      <c r="E1066"/>
      <c r="F1066"/>
      <c r="G1066"/>
      <c r="H1066"/>
      <c r="I1066"/>
      <c r="J1066"/>
    </row>
    <row r="1067" spans="1:10" x14ac:dyDescent="0.25">
      <c r="A1067"/>
      <c r="B1067"/>
      <c r="C1067"/>
      <c r="D1067"/>
      <c r="E1067"/>
      <c r="F1067"/>
      <c r="G1067"/>
      <c r="H1067"/>
      <c r="I1067"/>
      <c r="J1067"/>
    </row>
    <row r="1068" spans="1:10" x14ac:dyDescent="0.25">
      <c r="A1068"/>
      <c r="B1068"/>
      <c r="C1068"/>
      <c r="D1068"/>
      <c r="E1068"/>
      <c r="F1068"/>
      <c r="G1068"/>
      <c r="H1068"/>
      <c r="I1068"/>
      <c r="J1068"/>
    </row>
    <row r="1069" spans="1:10" x14ac:dyDescent="0.25">
      <c r="A1069"/>
      <c r="B1069"/>
      <c r="C1069"/>
      <c r="D1069"/>
      <c r="E1069"/>
      <c r="F1069"/>
      <c r="G1069"/>
      <c r="H1069"/>
      <c r="I1069"/>
      <c r="J1069"/>
    </row>
    <row r="1070" spans="1:10" x14ac:dyDescent="0.25">
      <c r="A1070"/>
      <c r="B1070"/>
      <c r="C1070"/>
      <c r="D1070"/>
      <c r="E1070"/>
      <c r="F1070"/>
      <c r="G1070"/>
      <c r="H1070"/>
      <c r="I1070"/>
      <c r="J1070"/>
    </row>
    <row r="1071" spans="1:10" x14ac:dyDescent="0.25">
      <c r="A1071"/>
      <c r="B1071"/>
      <c r="C1071"/>
      <c r="D1071"/>
      <c r="E1071"/>
      <c r="F1071"/>
      <c r="G1071"/>
      <c r="H1071"/>
      <c r="I1071"/>
      <c r="J1071"/>
    </row>
    <row r="1072" spans="1:10" x14ac:dyDescent="0.25">
      <c r="A1072"/>
      <c r="B1072"/>
      <c r="C1072"/>
      <c r="D1072"/>
      <c r="E1072"/>
      <c r="F1072"/>
      <c r="G1072"/>
      <c r="H1072"/>
      <c r="I1072"/>
      <c r="J1072"/>
    </row>
    <row r="1073" spans="1:10" x14ac:dyDescent="0.25">
      <c r="A1073"/>
      <c r="B1073"/>
      <c r="C1073"/>
      <c r="D1073"/>
      <c r="E1073"/>
      <c r="F1073"/>
      <c r="G1073"/>
      <c r="H1073"/>
      <c r="I1073"/>
      <c r="J1073"/>
    </row>
    <row r="1074" spans="1:10" x14ac:dyDescent="0.25">
      <c r="A1074"/>
      <c r="B1074"/>
      <c r="C1074"/>
      <c r="D1074"/>
      <c r="E1074"/>
      <c r="F1074"/>
      <c r="G1074"/>
      <c r="H1074"/>
      <c r="I1074"/>
      <c r="J1074"/>
    </row>
    <row r="1075" spans="1:10" x14ac:dyDescent="0.25">
      <c r="A1075"/>
      <c r="B1075"/>
      <c r="C1075"/>
      <c r="D1075"/>
      <c r="E1075"/>
      <c r="F1075"/>
      <c r="G1075"/>
      <c r="H1075"/>
      <c r="I1075"/>
      <c r="J1075"/>
    </row>
    <row r="1076" spans="1:10" x14ac:dyDescent="0.25">
      <c r="A1076"/>
      <c r="B1076"/>
      <c r="C1076"/>
      <c r="D1076"/>
      <c r="E1076"/>
      <c r="F1076"/>
      <c r="G1076"/>
      <c r="H1076"/>
      <c r="I1076"/>
      <c r="J1076"/>
    </row>
    <row r="1077" spans="1:10" x14ac:dyDescent="0.25">
      <c r="A1077"/>
      <c r="B1077"/>
      <c r="C1077"/>
      <c r="D1077"/>
      <c r="E1077"/>
      <c r="F1077"/>
      <c r="G1077"/>
      <c r="H1077"/>
      <c r="I1077"/>
      <c r="J1077"/>
    </row>
    <row r="1078" spans="1:10" x14ac:dyDescent="0.25">
      <c r="A1078"/>
      <c r="B1078"/>
      <c r="C1078"/>
      <c r="D1078"/>
      <c r="E1078"/>
      <c r="F1078"/>
      <c r="G1078"/>
      <c r="H1078"/>
      <c r="I1078"/>
      <c r="J1078"/>
    </row>
    <row r="1079" spans="1:10" x14ac:dyDescent="0.25">
      <c r="A1079"/>
      <c r="B1079"/>
      <c r="C1079"/>
      <c r="D1079"/>
      <c r="E1079"/>
      <c r="F1079"/>
      <c r="G1079"/>
      <c r="H1079"/>
      <c r="I1079"/>
      <c r="J1079"/>
    </row>
    <row r="1080" spans="1:10" x14ac:dyDescent="0.25">
      <c r="A1080"/>
      <c r="B1080"/>
      <c r="C1080"/>
      <c r="D1080"/>
      <c r="E1080"/>
      <c r="F1080"/>
      <c r="G1080"/>
      <c r="H1080"/>
      <c r="I1080"/>
      <c r="J1080"/>
    </row>
    <row r="1081" spans="1:10" x14ac:dyDescent="0.25">
      <c r="A1081"/>
      <c r="B1081"/>
      <c r="C1081"/>
      <c r="D1081"/>
      <c r="E1081"/>
      <c r="F1081"/>
      <c r="G1081"/>
      <c r="H1081"/>
      <c r="I1081"/>
      <c r="J1081"/>
    </row>
    <row r="1082" spans="1:10" x14ac:dyDescent="0.25">
      <c r="A1082"/>
      <c r="B1082"/>
      <c r="C1082"/>
      <c r="D1082"/>
      <c r="E1082"/>
      <c r="F1082"/>
      <c r="G1082"/>
      <c r="H1082"/>
      <c r="I1082"/>
      <c r="J1082"/>
    </row>
    <row r="1083" spans="1:10" x14ac:dyDescent="0.25">
      <c r="A1083"/>
      <c r="B1083"/>
      <c r="C1083"/>
      <c r="D1083"/>
      <c r="E1083"/>
      <c r="F1083"/>
      <c r="G1083"/>
      <c r="H1083"/>
      <c r="I1083"/>
      <c r="J1083"/>
    </row>
    <row r="1084" spans="1:10" x14ac:dyDescent="0.25">
      <c r="A1084"/>
      <c r="B1084"/>
      <c r="C1084"/>
      <c r="D1084"/>
      <c r="E1084"/>
      <c r="F1084"/>
      <c r="G1084"/>
      <c r="H1084"/>
      <c r="I1084"/>
      <c r="J1084"/>
    </row>
    <row r="1085" spans="1:10" x14ac:dyDescent="0.25">
      <c r="A1085"/>
      <c r="B1085"/>
      <c r="C1085"/>
      <c r="D1085"/>
      <c r="E1085"/>
      <c r="F1085"/>
      <c r="G1085"/>
      <c r="H1085"/>
      <c r="I1085"/>
      <c r="J1085"/>
    </row>
    <row r="1086" spans="1:10" x14ac:dyDescent="0.25">
      <c r="A1086"/>
      <c r="B1086"/>
      <c r="C1086"/>
      <c r="D1086"/>
      <c r="E1086"/>
      <c r="F1086"/>
      <c r="G1086"/>
      <c r="H1086"/>
      <c r="I1086"/>
      <c r="J1086"/>
    </row>
    <row r="1087" spans="1:10" x14ac:dyDescent="0.25">
      <c r="A1087"/>
      <c r="B1087"/>
      <c r="C1087"/>
      <c r="D1087"/>
      <c r="E1087"/>
      <c r="F1087"/>
      <c r="G1087"/>
      <c r="H1087"/>
      <c r="I1087"/>
      <c r="J1087"/>
    </row>
    <row r="1088" spans="1:10" x14ac:dyDescent="0.25">
      <c r="A1088"/>
      <c r="B1088"/>
      <c r="C1088"/>
      <c r="D1088"/>
      <c r="E1088"/>
      <c r="F1088"/>
      <c r="G1088"/>
      <c r="H1088"/>
      <c r="I1088"/>
      <c r="J1088"/>
    </row>
    <row r="1089" spans="1:10" x14ac:dyDescent="0.25">
      <c r="A1089"/>
      <c r="B1089"/>
      <c r="C1089"/>
      <c r="D1089"/>
      <c r="E1089"/>
      <c r="F1089"/>
      <c r="G1089"/>
      <c r="H1089"/>
      <c r="I1089"/>
      <c r="J1089"/>
    </row>
    <row r="1090" spans="1:10" x14ac:dyDescent="0.25">
      <c r="A1090"/>
      <c r="B1090"/>
      <c r="C1090"/>
      <c r="D1090"/>
      <c r="E1090"/>
      <c r="F1090"/>
      <c r="G1090"/>
      <c r="H1090"/>
      <c r="I1090"/>
      <c r="J1090"/>
    </row>
    <row r="1091" spans="1:10" x14ac:dyDescent="0.25">
      <c r="A1091"/>
      <c r="B1091"/>
      <c r="C1091"/>
      <c r="D1091"/>
      <c r="E1091"/>
      <c r="F1091"/>
      <c r="G1091"/>
      <c r="H1091"/>
      <c r="I1091"/>
      <c r="J1091"/>
    </row>
    <row r="1092" spans="1:10" x14ac:dyDescent="0.25">
      <c r="A1092"/>
      <c r="B1092"/>
      <c r="C1092"/>
      <c r="D1092"/>
      <c r="E1092"/>
      <c r="F1092"/>
      <c r="G1092"/>
      <c r="H1092"/>
      <c r="I1092"/>
      <c r="J1092"/>
    </row>
    <row r="1093" spans="1:10" x14ac:dyDescent="0.25">
      <c r="A1093"/>
      <c r="B1093"/>
      <c r="C1093"/>
      <c r="D1093"/>
      <c r="E1093"/>
      <c r="F1093"/>
      <c r="G1093"/>
      <c r="H1093"/>
      <c r="I1093"/>
      <c r="J1093"/>
    </row>
    <row r="1094" spans="1:10" x14ac:dyDescent="0.25">
      <c r="A1094"/>
      <c r="B1094"/>
      <c r="C1094"/>
      <c r="D1094"/>
      <c r="E1094"/>
      <c r="F1094"/>
      <c r="G1094"/>
      <c r="H1094"/>
      <c r="I1094"/>
      <c r="J1094"/>
    </row>
    <row r="1095" spans="1:10" x14ac:dyDescent="0.25">
      <c r="A1095"/>
      <c r="B1095"/>
      <c r="C1095"/>
      <c r="D1095"/>
      <c r="E1095"/>
      <c r="F1095"/>
      <c r="G1095"/>
      <c r="H1095"/>
      <c r="I1095"/>
      <c r="J1095"/>
    </row>
    <row r="1096" spans="1:10" x14ac:dyDescent="0.25">
      <c r="A1096"/>
      <c r="B1096"/>
      <c r="C1096"/>
      <c r="D1096"/>
      <c r="E1096"/>
      <c r="F1096"/>
      <c r="G1096"/>
      <c r="H1096"/>
      <c r="I1096"/>
      <c r="J1096"/>
    </row>
    <row r="1097" spans="1:10" x14ac:dyDescent="0.25">
      <c r="A1097"/>
      <c r="B1097"/>
      <c r="C1097"/>
      <c r="D1097"/>
      <c r="E1097"/>
      <c r="F1097"/>
      <c r="G1097"/>
      <c r="H1097"/>
      <c r="I1097"/>
      <c r="J1097"/>
    </row>
    <row r="1098" spans="1:10" x14ac:dyDescent="0.25">
      <c r="A1098"/>
      <c r="B1098"/>
      <c r="C1098"/>
      <c r="D1098"/>
      <c r="E1098"/>
      <c r="F1098"/>
      <c r="G1098"/>
      <c r="H1098"/>
      <c r="I1098"/>
      <c r="J1098"/>
    </row>
    <row r="1099" spans="1:10" x14ac:dyDescent="0.25">
      <c r="A1099"/>
      <c r="B1099"/>
      <c r="C1099"/>
      <c r="D1099"/>
      <c r="E1099"/>
      <c r="F1099"/>
      <c r="G1099"/>
      <c r="H1099"/>
      <c r="I1099"/>
      <c r="J1099"/>
    </row>
    <row r="1100" spans="1:10" x14ac:dyDescent="0.25">
      <c r="A1100"/>
      <c r="B1100"/>
      <c r="C1100"/>
      <c r="D1100"/>
      <c r="E1100"/>
      <c r="F1100"/>
      <c r="G1100"/>
      <c r="H1100"/>
      <c r="I1100"/>
      <c r="J1100"/>
    </row>
    <row r="1101" spans="1:10" x14ac:dyDescent="0.25">
      <c r="A1101"/>
      <c r="B1101"/>
      <c r="C1101"/>
      <c r="D1101"/>
      <c r="E1101"/>
      <c r="F1101"/>
      <c r="G1101"/>
      <c r="H1101"/>
      <c r="I1101"/>
      <c r="J1101"/>
    </row>
    <row r="1102" spans="1:10" x14ac:dyDescent="0.25">
      <c r="A1102"/>
      <c r="B1102"/>
      <c r="C1102"/>
      <c r="D1102"/>
      <c r="E1102"/>
      <c r="F1102"/>
      <c r="G1102"/>
      <c r="H1102"/>
      <c r="I1102"/>
      <c r="J1102"/>
    </row>
    <row r="1103" spans="1:10" x14ac:dyDescent="0.25">
      <c r="A1103"/>
      <c r="B1103"/>
      <c r="C1103"/>
      <c r="D1103"/>
      <c r="E1103"/>
      <c r="F1103"/>
      <c r="G1103"/>
      <c r="H1103"/>
      <c r="I1103"/>
      <c r="J1103"/>
    </row>
    <row r="1104" spans="1:10" x14ac:dyDescent="0.25">
      <c r="A1104"/>
      <c r="B1104"/>
      <c r="C1104"/>
      <c r="D1104"/>
      <c r="E1104"/>
      <c r="F1104"/>
      <c r="G1104"/>
      <c r="H1104"/>
      <c r="I1104"/>
      <c r="J1104"/>
    </row>
    <row r="1105" spans="1:10" x14ac:dyDescent="0.25">
      <c r="A1105"/>
      <c r="B1105"/>
      <c r="C1105"/>
      <c r="D1105"/>
      <c r="E1105"/>
      <c r="F1105"/>
      <c r="G1105"/>
      <c r="H1105"/>
      <c r="I1105"/>
      <c r="J1105"/>
    </row>
    <row r="1106" spans="1:10" x14ac:dyDescent="0.25">
      <c r="A1106"/>
      <c r="B1106"/>
      <c r="C1106"/>
      <c r="D1106"/>
      <c r="E1106"/>
      <c r="F1106"/>
      <c r="G1106"/>
      <c r="H1106"/>
      <c r="I1106"/>
      <c r="J1106"/>
    </row>
    <row r="1107" spans="1:10" x14ac:dyDescent="0.25">
      <c r="A1107"/>
      <c r="B1107"/>
      <c r="C1107"/>
      <c r="D1107"/>
      <c r="E1107"/>
      <c r="F1107"/>
      <c r="G1107"/>
      <c r="H1107"/>
      <c r="I1107"/>
      <c r="J1107"/>
    </row>
    <row r="1108" spans="1:10" x14ac:dyDescent="0.25">
      <c r="A1108"/>
      <c r="B1108"/>
      <c r="C1108"/>
      <c r="D1108"/>
      <c r="E1108"/>
      <c r="F1108"/>
      <c r="G1108"/>
      <c r="H1108"/>
      <c r="I1108"/>
      <c r="J1108"/>
    </row>
    <row r="1109" spans="1:10" x14ac:dyDescent="0.25">
      <c r="A1109"/>
      <c r="B1109"/>
      <c r="C1109"/>
      <c r="D1109"/>
      <c r="E1109"/>
      <c r="F1109"/>
      <c r="G1109"/>
      <c r="H1109"/>
      <c r="I1109"/>
      <c r="J1109"/>
    </row>
    <row r="1110" spans="1:10" x14ac:dyDescent="0.25">
      <c r="A1110"/>
      <c r="B1110"/>
      <c r="C1110"/>
      <c r="D1110"/>
      <c r="E1110"/>
      <c r="F1110"/>
      <c r="G1110"/>
      <c r="H1110"/>
      <c r="I1110"/>
      <c r="J1110"/>
    </row>
    <row r="1111" spans="1:10" x14ac:dyDescent="0.25">
      <c r="A1111"/>
      <c r="B1111"/>
      <c r="C1111"/>
      <c r="D1111"/>
      <c r="E1111"/>
      <c r="F1111"/>
      <c r="G1111"/>
      <c r="H1111"/>
      <c r="I1111"/>
      <c r="J1111"/>
    </row>
    <row r="1112" spans="1:10" x14ac:dyDescent="0.25">
      <c r="A1112"/>
      <c r="B1112"/>
      <c r="C1112"/>
      <c r="D1112"/>
      <c r="E1112"/>
      <c r="F1112"/>
      <c r="G1112"/>
      <c r="H1112"/>
      <c r="I1112"/>
      <c r="J1112"/>
    </row>
    <row r="1113" spans="1:10" x14ac:dyDescent="0.25">
      <c r="A1113"/>
      <c r="B1113"/>
      <c r="C1113"/>
      <c r="D1113"/>
      <c r="E1113"/>
      <c r="F1113"/>
      <c r="G1113"/>
      <c r="H1113"/>
      <c r="I1113"/>
      <c r="J1113"/>
    </row>
    <row r="1114" spans="1:10" x14ac:dyDescent="0.25">
      <c r="A1114"/>
      <c r="B1114"/>
      <c r="C1114"/>
      <c r="D1114"/>
      <c r="E1114"/>
      <c r="F1114"/>
      <c r="G1114"/>
      <c r="H1114"/>
      <c r="I1114"/>
      <c r="J1114"/>
    </row>
    <row r="1115" spans="1:10" x14ac:dyDescent="0.25">
      <c r="A1115"/>
      <c r="B1115"/>
      <c r="C1115"/>
      <c r="D1115"/>
      <c r="E1115"/>
      <c r="F1115"/>
      <c r="G1115"/>
      <c r="H1115"/>
      <c r="I1115"/>
      <c r="J1115"/>
    </row>
    <row r="1116" spans="1:10" x14ac:dyDescent="0.25">
      <c r="A1116"/>
      <c r="B1116"/>
      <c r="C1116"/>
      <c r="D1116"/>
      <c r="E1116"/>
      <c r="F1116"/>
      <c r="G1116"/>
      <c r="H1116"/>
      <c r="I1116"/>
      <c r="J1116"/>
    </row>
    <row r="1117" spans="1:10" x14ac:dyDescent="0.25">
      <c r="A1117"/>
      <c r="B1117"/>
      <c r="C1117"/>
      <c r="D1117"/>
      <c r="E1117"/>
      <c r="F1117"/>
      <c r="G1117"/>
      <c r="H1117"/>
      <c r="I1117"/>
      <c r="J1117"/>
    </row>
    <row r="1118" spans="1:10" x14ac:dyDescent="0.25">
      <c r="A1118"/>
      <c r="B1118"/>
      <c r="C1118"/>
      <c r="D1118"/>
      <c r="E1118"/>
      <c r="F1118"/>
      <c r="G1118"/>
      <c r="H1118"/>
      <c r="I1118"/>
      <c r="J1118"/>
    </row>
    <row r="1119" spans="1:10" x14ac:dyDescent="0.25">
      <c r="A1119"/>
      <c r="B1119"/>
      <c r="C1119"/>
      <c r="D1119"/>
      <c r="E1119"/>
      <c r="F1119"/>
      <c r="G1119"/>
      <c r="H1119"/>
      <c r="I1119"/>
      <c r="J1119"/>
    </row>
    <row r="1120" spans="1:10" x14ac:dyDescent="0.25">
      <c r="A1120"/>
      <c r="B1120"/>
      <c r="C1120"/>
      <c r="D1120"/>
      <c r="E1120"/>
      <c r="F1120"/>
      <c r="G1120"/>
      <c r="H1120"/>
      <c r="I1120"/>
      <c r="J1120"/>
    </row>
    <row r="1121" spans="1:10" x14ac:dyDescent="0.25">
      <c r="A1121"/>
      <c r="B1121"/>
      <c r="C1121"/>
      <c r="D1121"/>
      <c r="E1121"/>
      <c r="F1121"/>
      <c r="G1121"/>
      <c r="H1121"/>
      <c r="I1121"/>
      <c r="J1121"/>
    </row>
    <row r="1122" spans="1:10" x14ac:dyDescent="0.25">
      <c r="A1122"/>
      <c r="B1122"/>
      <c r="C1122"/>
      <c r="D1122"/>
      <c r="E1122"/>
      <c r="F1122"/>
      <c r="G1122"/>
      <c r="H1122"/>
      <c r="I1122"/>
      <c r="J1122"/>
    </row>
    <row r="1123" spans="1:10" x14ac:dyDescent="0.25">
      <c r="A1123"/>
      <c r="B1123"/>
      <c r="C1123"/>
      <c r="D1123"/>
      <c r="E1123"/>
      <c r="F1123"/>
      <c r="G1123"/>
      <c r="H1123"/>
      <c r="I1123"/>
      <c r="J1123"/>
    </row>
    <row r="1124" spans="1:10" x14ac:dyDescent="0.25">
      <c r="A1124"/>
      <c r="B1124"/>
      <c r="C1124"/>
      <c r="D1124"/>
      <c r="E1124"/>
      <c r="F1124"/>
      <c r="G1124"/>
      <c r="H1124"/>
      <c r="I1124"/>
      <c r="J1124"/>
    </row>
    <row r="1125" spans="1:10" x14ac:dyDescent="0.25">
      <c r="A1125"/>
      <c r="B1125"/>
      <c r="C1125"/>
      <c r="D1125"/>
      <c r="E1125"/>
      <c r="F1125"/>
      <c r="G1125"/>
      <c r="H1125"/>
      <c r="I1125"/>
      <c r="J1125"/>
    </row>
    <row r="1126" spans="1:10" x14ac:dyDescent="0.25">
      <c r="A1126"/>
      <c r="B1126"/>
      <c r="C1126"/>
      <c r="D1126"/>
      <c r="E1126"/>
      <c r="F1126"/>
      <c r="G1126"/>
      <c r="H1126"/>
      <c r="I1126"/>
      <c r="J1126"/>
    </row>
    <row r="1127" spans="1:10" x14ac:dyDescent="0.25">
      <c r="A1127"/>
      <c r="B1127"/>
      <c r="C1127"/>
      <c r="D1127"/>
      <c r="E1127"/>
      <c r="F1127"/>
      <c r="G1127"/>
      <c r="H1127"/>
      <c r="I1127"/>
      <c r="J1127"/>
    </row>
    <row r="1128" spans="1:10" x14ac:dyDescent="0.25">
      <c r="A1128"/>
      <c r="B1128"/>
      <c r="C1128"/>
      <c r="D1128"/>
      <c r="E1128"/>
      <c r="F1128"/>
      <c r="G1128"/>
      <c r="H1128"/>
      <c r="I1128"/>
      <c r="J1128"/>
    </row>
    <row r="1129" spans="1:10" x14ac:dyDescent="0.25">
      <c r="A1129"/>
      <c r="B1129"/>
      <c r="C1129"/>
      <c r="D1129"/>
      <c r="E1129"/>
      <c r="F1129"/>
      <c r="G1129"/>
      <c r="H1129"/>
      <c r="I1129"/>
      <c r="J1129"/>
    </row>
    <row r="1130" spans="1:10" x14ac:dyDescent="0.25">
      <c r="A1130"/>
      <c r="B1130"/>
      <c r="C1130"/>
      <c r="D1130"/>
      <c r="E1130"/>
      <c r="F1130"/>
      <c r="G1130"/>
      <c r="H1130"/>
      <c r="I1130"/>
      <c r="J1130"/>
    </row>
    <row r="1131" spans="1:10" x14ac:dyDescent="0.25">
      <c r="A1131"/>
      <c r="B1131"/>
      <c r="C1131"/>
      <c r="D1131"/>
      <c r="E1131"/>
      <c r="F1131"/>
      <c r="G1131"/>
      <c r="H1131"/>
      <c r="I1131"/>
      <c r="J1131"/>
    </row>
    <row r="1132" spans="1:10" x14ac:dyDescent="0.25">
      <c r="A1132"/>
      <c r="B1132"/>
      <c r="C1132"/>
      <c r="D1132"/>
      <c r="E1132"/>
      <c r="F1132"/>
      <c r="G1132"/>
      <c r="H1132"/>
      <c r="I1132"/>
      <c r="J1132"/>
    </row>
    <row r="1133" spans="1:10" x14ac:dyDescent="0.25">
      <c r="A1133"/>
      <c r="B1133"/>
      <c r="C1133"/>
      <c r="D1133"/>
      <c r="E1133"/>
      <c r="F1133"/>
      <c r="G1133"/>
      <c r="H1133"/>
      <c r="I1133"/>
      <c r="J1133"/>
    </row>
    <row r="1134" spans="1:10" x14ac:dyDescent="0.25">
      <c r="A1134"/>
      <c r="B1134"/>
      <c r="C1134"/>
      <c r="D1134"/>
      <c r="E1134"/>
      <c r="F1134"/>
      <c r="G1134"/>
      <c r="H1134"/>
      <c r="I1134"/>
      <c r="J1134"/>
    </row>
    <row r="1135" spans="1:10" x14ac:dyDescent="0.25">
      <c r="A1135"/>
      <c r="B1135"/>
      <c r="C1135"/>
      <c r="D1135"/>
      <c r="E1135"/>
      <c r="F1135"/>
      <c r="G1135"/>
      <c r="H1135"/>
      <c r="I1135"/>
      <c r="J1135"/>
    </row>
    <row r="1136" spans="1:10" x14ac:dyDescent="0.25">
      <c r="A1136"/>
      <c r="B1136"/>
      <c r="C1136"/>
      <c r="D1136"/>
      <c r="E1136"/>
      <c r="F1136"/>
      <c r="G1136"/>
      <c r="H1136"/>
      <c r="I1136"/>
      <c r="J1136"/>
    </row>
    <row r="1137" spans="1:10" x14ac:dyDescent="0.25">
      <c r="A1137"/>
      <c r="B1137"/>
      <c r="C1137"/>
      <c r="D1137"/>
      <c r="E1137"/>
      <c r="F1137"/>
      <c r="G1137"/>
      <c r="H1137"/>
      <c r="I1137"/>
      <c r="J1137"/>
    </row>
    <row r="1138" spans="1:10" x14ac:dyDescent="0.25">
      <c r="A1138"/>
      <c r="B1138"/>
      <c r="C1138"/>
      <c r="D1138"/>
      <c r="E1138"/>
      <c r="F1138"/>
      <c r="G1138"/>
      <c r="H1138"/>
      <c r="I1138"/>
      <c r="J1138"/>
    </row>
    <row r="1139" spans="1:10" x14ac:dyDescent="0.25">
      <c r="A1139"/>
      <c r="B1139"/>
      <c r="C1139"/>
      <c r="D1139"/>
      <c r="E1139"/>
      <c r="F1139"/>
      <c r="G1139"/>
      <c r="H1139"/>
      <c r="I1139"/>
      <c r="J1139"/>
    </row>
    <row r="1140" spans="1:10" x14ac:dyDescent="0.25">
      <c r="A1140"/>
      <c r="B1140"/>
      <c r="C1140"/>
      <c r="D1140"/>
      <c r="E1140"/>
      <c r="F1140"/>
      <c r="G1140"/>
      <c r="H1140"/>
      <c r="I1140"/>
      <c r="J1140"/>
    </row>
    <row r="1141" spans="1:10" x14ac:dyDescent="0.25">
      <c r="A1141"/>
      <c r="B1141"/>
      <c r="C1141"/>
      <c r="D1141"/>
      <c r="E1141"/>
      <c r="F1141"/>
      <c r="G1141"/>
      <c r="H1141"/>
      <c r="I1141"/>
      <c r="J1141"/>
    </row>
    <row r="1142" spans="1:10" x14ac:dyDescent="0.25">
      <c r="A1142"/>
      <c r="B1142"/>
      <c r="C1142"/>
      <c r="D1142"/>
      <c r="E1142"/>
      <c r="F1142"/>
      <c r="G1142"/>
      <c r="H1142"/>
      <c r="I1142"/>
      <c r="J1142"/>
    </row>
    <row r="1143" spans="1:10" x14ac:dyDescent="0.25">
      <c r="A1143"/>
      <c r="B1143"/>
      <c r="C1143"/>
      <c r="D1143"/>
      <c r="E1143"/>
      <c r="F1143"/>
      <c r="G1143"/>
      <c r="H1143"/>
      <c r="I1143"/>
      <c r="J1143"/>
    </row>
    <row r="1144" spans="1:10" x14ac:dyDescent="0.25">
      <c r="A1144"/>
      <c r="B1144"/>
      <c r="C1144"/>
      <c r="D1144"/>
      <c r="E1144"/>
      <c r="F1144"/>
      <c r="G1144"/>
      <c r="H1144"/>
      <c r="I1144"/>
      <c r="J1144"/>
    </row>
    <row r="1145" spans="1:10" x14ac:dyDescent="0.25">
      <c r="A1145"/>
      <c r="B1145"/>
      <c r="C1145"/>
      <c r="D1145"/>
      <c r="E1145"/>
      <c r="F1145"/>
      <c r="G1145"/>
      <c r="H1145"/>
      <c r="I1145"/>
      <c r="J1145"/>
    </row>
    <row r="1146" spans="1:10" x14ac:dyDescent="0.25">
      <c r="A1146"/>
      <c r="B1146"/>
      <c r="C1146"/>
      <c r="D1146"/>
      <c r="E1146"/>
      <c r="F1146"/>
      <c r="G1146"/>
      <c r="H1146"/>
      <c r="I1146"/>
      <c r="J1146"/>
    </row>
    <row r="1147" spans="1:10" x14ac:dyDescent="0.25">
      <c r="A1147"/>
      <c r="B1147"/>
      <c r="C1147"/>
      <c r="D1147"/>
      <c r="E1147"/>
      <c r="F1147"/>
      <c r="G1147"/>
      <c r="H1147"/>
      <c r="I1147"/>
      <c r="J1147"/>
    </row>
    <row r="1148" spans="1:10" x14ac:dyDescent="0.25">
      <c r="A1148"/>
      <c r="B1148"/>
      <c r="C1148"/>
      <c r="D1148"/>
      <c r="E1148"/>
      <c r="F1148"/>
      <c r="G1148"/>
      <c r="H1148"/>
      <c r="I1148"/>
      <c r="J1148"/>
    </row>
    <row r="1149" spans="1:10" x14ac:dyDescent="0.25">
      <c r="A1149"/>
      <c r="B1149"/>
      <c r="C1149"/>
      <c r="D1149"/>
      <c r="E1149"/>
      <c r="F1149"/>
      <c r="G1149"/>
      <c r="H1149"/>
      <c r="I1149"/>
      <c r="J1149"/>
    </row>
    <row r="1150" spans="1:10" x14ac:dyDescent="0.25">
      <c r="A1150"/>
      <c r="B1150"/>
      <c r="C1150"/>
      <c r="D1150"/>
      <c r="E1150"/>
      <c r="F1150"/>
      <c r="G1150"/>
      <c r="H1150"/>
      <c r="I1150"/>
      <c r="J1150"/>
    </row>
    <row r="1151" spans="1:10" x14ac:dyDescent="0.25">
      <c r="A1151"/>
      <c r="B1151"/>
      <c r="C1151"/>
      <c r="D1151"/>
      <c r="E1151"/>
      <c r="F1151"/>
      <c r="G1151"/>
      <c r="H1151"/>
      <c r="I1151"/>
      <c r="J1151"/>
    </row>
    <row r="1152" spans="1:10" x14ac:dyDescent="0.25">
      <c r="A1152"/>
      <c r="B1152"/>
      <c r="C1152"/>
      <c r="D1152"/>
      <c r="E1152"/>
      <c r="F1152"/>
      <c r="G1152"/>
      <c r="H1152"/>
      <c r="I1152"/>
      <c r="J1152"/>
    </row>
    <row r="1153" spans="1:10" x14ac:dyDescent="0.25">
      <c r="A1153"/>
      <c r="B1153"/>
      <c r="C1153"/>
      <c r="D1153"/>
      <c r="E1153"/>
      <c r="F1153"/>
      <c r="G1153"/>
      <c r="H1153"/>
      <c r="I1153"/>
      <c r="J1153"/>
    </row>
    <row r="1154" spans="1:10" x14ac:dyDescent="0.25">
      <c r="A1154"/>
      <c r="B1154"/>
      <c r="C1154"/>
      <c r="D1154"/>
      <c r="E1154"/>
      <c r="F1154"/>
      <c r="G1154"/>
      <c r="H1154"/>
      <c r="I1154"/>
      <c r="J1154"/>
    </row>
    <row r="1155" spans="1:10" x14ac:dyDescent="0.25">
      <c r="A1155"/>
      <c r="B1155"/>
      <c r="C1155"/>
      <c r="D1155"/>
      <c r="E1155"/>
      <c r="F1155"/>
      <c r="G1155"/>
      <c r="H1155"/>
      <c r="I1155"/>
      <c r="J1155"/>
    </row>
    <row r="1156" spans="1:10" x14ac:dyDescent="0.25">
      <c r="A1156"/>
      <c r="B1156"/>
      <c r="C1156"/>
      <c r="D1156"/>
      <c r="E1156"/>
      <c r="F1156"/>
      <c r="G1156"/>
      <c r="H1156"/>
      <c r="I1156"/>
      <c r="J1156"/>
    </row>
    <row r="1157" spans="1:10" x14ac:dyDescent="0.25">
      <c r="A1157"/>
      <c r="B1157"/>
      <c r="C1157"/>
      <c r="D1157"/>
      <c r="E1157"/>
      <c r="F1157"/>
      <c r="G1157"/>
      <c r="H1157"/>
      <c r="I1157"/>
      <c r="J1157"/>
    </row>
    <row r="1158" spans="1:10" x14ac:dyDescent="0.25">
      <c r="A1158"/>
      <c r="B1158"/>
      <c r="C1158"/>
      <c r="D1158"/>
      <c r="E1158"/>
      <c r="F1158"/>
      <c r="G1158"/>
      <c r="H1158"/>
      <c r="I1158"/>
      <c r="J1158"/>
    </row>
    <row r="1159" spans="1:10" x14ac:dyDescent="0.25">
      <c r="A1159"/>
      <c r="B1159"/>
      <c r="C1159"/>
      <c r="D1159"/>
      <c r="E1159"/>
      <c r="F1159"/>
      <c r="G1159"/>
      <c r="H1159"/>
      <c r="I1159"/>
      <c r="J1159"/>
    </row>
    <row r="1160" spans="1:10" x14ac:dyDescent="0.25">
      <c r="A1160"/>
      <c r="B1160"/>
      <c r="C1160"/>
      <c r="D1160"/>
      <c r="E1160"/>
      <c r="F1160"/>
      <c r="G1160"/>
      <c r="H1160"/>
      <c r="I1160"/>
      <c r="J1160"/>
    </row>
    <row r="1161" spans="1:10" x14ac:dyDescent="0.25">
      <c r="A1161"/>
      <c r="B1161"/>
      <c r="C1161"/>
      <c r="D1161"/>
      <c r="E1161"/>
      <c r="F1161"/>
      <c r="G1161"/>
      <c r="H1161"/>
      <c r="I1161"/>
      <c r="J1161"/>
    </row>
    <row r="1162" spans="1:10" x14ac:dyDescent="0.25">
      <c r="A1162"/>
      <c r="B1162"/>
      <c r="C1162"/>
      <c r="D1162"/>
      <c r="E1162"/>
      <c r="F1162"/>
      <c r="G1162"/>
      <c r="H1162"/>
      <c r="I1162"/>
      <c r="J1162"/>
    </row>
    <row r="1163" spans="1:10" x14ac:dyDescent="0.25">
      <c r="A1163"/>
      <c r="B1163"/>
      <c r="C1163"/>
      <c r="D1163"/>
      <c r="E1163"/>
      <c r="F1163"/>
      <c r="G1163"/>
      <c r="H1163"/>
      <c r="I1163"/>
      <c r="J1163"/>
    </row>
    <row r="1164" spans="1:10" x14ac:dyDescent="0.25">
      <c r="A1164"/>
      <c r="B1164"/>
      <c r="C1164"/>
      <c r="D1164"/>
      <c r="E1164"/>
      <c r="F1164"/>
      <c r="G1164"/>
      <c r="H1164"/>
      <c r="I1164"/>
      <c r="J1164"/>
    </row>
    <row r="1165" spans="1:10" x14ac:dyDescent="0.25">
      <c r="A1165"/>
      <c r="B1165"/>
      <c r="C1165"/>
      <c r="D1165"/>
      <c r="E1165"/>
      <c r="F1165"/>
      <c r="G1165"/>
      <c r="H1165"/>
      <c r="I1165"/>
      <c r="J1165"/>
    </row>
    <row r="1166" spans="1:10" x14ac:dyDescent="0.25">
      <c r="A1166"/>
      <c r="B1166"/>
      <c r="C1166"/>
      <c r="D1166"/>
      <c r="E1166"/>
      <c r="F1166"/>
      <c r="G1166"/>
      <c r="H1166"/>
      <c r="I1166"/>
      <c r="J1166"/>
    </row>
    <row r="1167" spans="1:10" x14ac:dyDescent="0.25">
      <c r="A1167"/>
      <c r="B1167"/>
      <c r="C1167"/>
      <c r="D1167"/>
      <c r="E1167"/>
      <c r="F1167"/>
      <c r="G1167"/>
      <c r="H1167"/>
      <c r="I1167"/>
      <c r="J1167"/>
    </row>
    <row r="1168" spans="1:10" x14ac:dyDescent="0.25">
      <c r="A1168"/>
      <c r="B1168"/>
      <c r="C1168"/>
      <c r="D1168"/>
      <c r="E1168"/>
      <c r="F1168"/>
      <c r="G1168"/>
      <c r="H1168"/>
      <c r="I1168"/>
      <c r="J1168"/>
    </row>
    <row r="1169" spans="1:10" x14ac:dyDescent="0.25">
      <c r="A1169"/>
      <c r="B1169"/>
      <c r="C1169"/>
      <c r="D1169"/>
      <c r="E1169"/>
      <c r="F1169"/>
      <c r="G1169"/>
      <c r="H1169"/>
      <c r="I1169"/>
      <c r="J1169"/>
    </row>
    <row r="1170" spans="1:10" x14ac:dyDescent="0.25">
      <c r="A1170"/>
      <c r="B1170"/>
      <c r="C1170"/>
      <c r="D1170"/>
      <c r="E1170"/>
      <c r="F1170"/>
      <c r="G1170"/>
      <c r="H1170"/>
      <c r="I1170"/>
      <c r="J1170"/>
    </row>
    <row r="1171" spans="1:10" x14ac:dyDescent="0.25">
      <c r="A1171"/>
      <c r="B1171"/>
      <c r="C1171"/>
      <c r="D1171"/>
      <c r="E1171"/>
      <c r="F1171"/>
      <c r="G1171"/>
      <c r="H1171"/>
      <c r="I1171"/>
      <c r="J1171"/>
    </row>
    <row r="1172" spans="1:10" x14ac:dyDescent="0.25">
      <c r="A1172"/>
      <c r="B1172"/>
      <c r="C1172"/>
      <c r="D1172"/>
      <c r="E1172"/>
      <c r="F1172"/>
      <c r="G1172"/>
      <c r="H1172"/>
      <c r="I1172"/>
      <c r="J1172"/>
    </row>
    <row r="1173" spans="1:10" x14ac:dyDescent="0.25">
      <c r="A1173"/>
      <c r="B1173"/>
      <c r="C1173"/>
      <c r="D1173"/>
      <c r="E1173"/>
      <c r="F1173"/>
      <c r="G1173"/>
      <c r="H1173"/>
      <c r="I1173"/>
      <c r="J1173"/>
    </row>
    <row r="1174" spans="1:10" x14ac:dyDescent="0.25">
      <c r="A1174"/>
      <c r="B1174"/>
      <c r="C1174"/>
      <c r="D1174"/>
      <c r="E1174"/>
      <c r="F1174"/>
      <c r="G1174"/>
      <c r="H1174"/>
      <c r="I1174"/>
      <c r="J1174"/>
    </row>
    <row r="1175" spans="1:10" x14ac:dyDescent="0.25">
      <c r="A1175"/>
      <c r="B1175"/>
      <c r="C1175"/>
      <c r="D1175"/>
      <c r="E1175"/>
      <c r="F1175"/>
      <c r="G1175"/>
      <c r="H1175"/>
      <c r="I1175"/>
      <c r="J1175"/>
    </row>
    <row r="1176" spans="1:10" x14ac:dyDescent="0.25">
      <c r="A1176"/>
      <c r="B1176"/>
      <c r="C1176"/>
      <c r="D1176"/>
      <c r="E1176"/>
      <c r="F1176"/>
      <c r="G1176"/>
      <c r="H1176"/>
      <c r="I1176"/>
      <c r="J1176"/>
    </row>
    <row r="1177" spans="1:10" x14ac:dyDescent="0.25">
      <c r="A1177"/>
      <c r="B1177"/>
      <c r="C1177"/>
      <c r="D1177"/>
      <c r="E1177"/>
      <c r="F1177"/>
      <c r="G1177"/>
      <c r="H1177"/>
      <c r="I1177"/>
      <c r="J1177"/>
    </row>
    <row r="1178" spans="1:10" x14ac:dyDescent="0.25">
      <c r="A1178"/>
      <c r="B1178"/>
      <c r="C1178"/>
      <c r="D1178"/>
      <c r="E1178"/>
      <c r="F1178"/>
      <c r="G1178"/>
      <c r="H1178"/>
      <c r="I1178"/>
      <c r="J1178"/>
    </row>
    <row r="1179" spans="1:10" x14ac:dyDescent="0.25">
      <c r="A1179"/>
      <c r="B1179"/>
      <c r="C1179"/>
      <c r="D1179"/>
      <c r="E1179"/>
      <c r="F1179"/>
      <c r="G1179"/>
      <c r="H1179"/>
      <c r="I1179"/>
      <c r="J1179"/>
    </row>
    <row r="1180" spans="1:10" x14ac:dyDescent="0.25">
      <c r="A1180"/>
      <c r="B1180"/>
      <c r="C1180"/>
      <c r="D1180"/>
      <c r="E1180"/>
      <c r="F1180"/>
      <c r="G1180"/>
      <c r="H1180"/>
      <c r="I1180"/>
      <c r="J1180"/>
    </row>
    <row r="1181" spans="1:10" x14ac:dyDescent="0.25">
      <c r="A1181"/>
      <c r="B1181"/>
      <c r="C1181"/>
      <c r="D1181"/>
      <c r="E1181"/>
      <c r="F1181"/>
      <c r="G1181"/>
      <c r="H1181"/>
      <c r="I1181"/>
      <c r="J1181"/>
    </row>
    <row r="1182" spans="1:10" x14ac:dyDescent="0.25">
      <c r="A1182"/>
      <c r="B1182"/>
      <c r="C1182"/>
      <c r="D1182"/>
      <c r="E1182"/>
      <c r="F1182"/>
      <c r="G1182"/>
      <c r="H1182"/>
      <c r="I1182"/>
      <c r="J1182"/>
    </row>
    <row r="1183" spans="1:10" x14ac:dyDescent="0.25">
      <c r="A1183"/>
      <c r="B1183"/>
      <c r="C1183"/>
      <c r="D1183"/>
      <c r="E1183"/>
      <c r="F1183"/>
      <c r="G1183"/>
      <c r="H1183"/>
      <c r="I1183"/>
      <c r="J1183"/>
    </row>
    <row r="1184" spans="1:10" x14ac:dyDescent="0.25">
      <c r="A1184"/>
      <c r="B1184"/>
      <c r="C1184"/>
      <c r="D1184"/>
      <c r="E1184"/>
      <c r="F1184"/>
      <c r="G1184"/>
      <c r="H1184"/>
      <c r="I1184"/>
      <c r="J1184"/>
    </row>
    <row r="1185" spans="1:10" x14ac:dyDescent="0.25">
      <c r="A1185"/>
      <c r="B1185"/>
      <c r="C1185"/>
      <c r="D1185"/>
      <c r="E1185"/>
      <c r="F1185"/>
      <c r="G1185"/>
      <c r="H1185"/>
      <c r="I1185"/>
      <c r="J1185"/>
    </row>
    <row r="1186" spans="1:10" x14ac:dyDescent="0.25">
      <c r="A1186"/>
      <c r="B1186"/>
      <c r="C1186"/>
      <c r="D1186"/>
      <c r="E1186"/>
      <c r="F1186"/>
      <c r="G1186"/>
      <c r="H1186"/>
      <c r="I1186"/>
      <c r="J1186"/>
    </row>
    <row r="1187" spans="1:10" x14ac:dyDescent="0.25">
      <c r="A1187"/>
      <c r="B1187"/>
      <c r="C1187"/>
      <c r="D1187"/>
      <c r="E1187"/>
      <c r="F1187"/>
      <c r="G1187"/>
      <c r="H1187"/>
      <c r="I1187"/>
      <c r="J1187"/>
    </row>
    <row r="1188" spans="1:10" x14ac:dyDescent="0.25">
      <c r="A1188"/>
      <c r="B1188"/>
      <c r="C1188"/>
      <c r="D1188"/>
      <c r="E1188"/>
      <c r="F1188"/>
      <c r="G1188"/>
      <c r="H1188"/>
      <c r="I1188"/>
      <c r="J1188"/>
    </row>
    <row r="1189" spans="1:10" x14ac:dyDescent="0.25">
      <c r="A1189"/>
      <c r="B1189"/>
      <c r="C1189"/>
      <c r="D1189"/>
      <c r="E1189"/>
      <c r="F1189"/>
      <c r="G1189"/>
      <c r="H1189"/>
      <c r="I1189"/>
      <c r="J1189"/>
    </row>
    <row r="1190" spans="1:10" x14ac:dyDescent="0.25">
      <c r="A1190"/>
      <c r="B1190"/>
      <c r="C1190"/>
      <c r="D1190"/>
      <c r="E1190"/>
      <c r="F1190"/>
      <c r="G1190"/>
      <c r="H1190"/>
      <c r="I1190"/>
      <c r="J1190"/>
    </row>
    <row r="1191" spans="1:10" x14ac:dyDescent="0.25">
      <c r="A1191"/>
      <c r="B1191"/>
      <c r="C1191"/>
      <c r="D1191"/>
      <c r="E1191"/>
      <c r="F1191"/>
      <c r="G1191"/>
      <c r="H1191"/>
      <c r="I1191"/>
      <c r="J1191"/>
    </row>
    <row r="1192" spans="1:10" x14ac:dyDescent="0.25">
      <c r="A1192"/>
      <c r="B1192"/>
      <c r="C1192"/>
      <c r="D1192"/>
      <c r="E1192"/>
      <c r="F1192"/>
      <c r="G1192"/>
      <c r="H1192"/>
      <c r="I1192"/>
      <c r="J1192"/>
    </row>
    <row r="1193" spans="1:10" x14ac:dyDescent="0.25">
      <c r="A1193"/>
      <c r="B1193"/>
      <c r="C1193"/>
      <c r="D1193"/>
      <c r="E1193"/>
      <c r="F1193"/>
      <c r="G1193"/>
      <c r="H1193"/>
      <c r="I1193"/>
      <c r="J1193"/>
    </row>
    <row r="1194" spans="1:10" x14ac:dyDescent="0.25">
      <c r="A1194"/>
      <c r="B1194"/>
      <c r="C1194"/>
      <c r="D1194"/>
      <c r="E1194"/>
      <c r="F1194"/>
      <c r="G1194"/>
      <c r="H1194"/>
      <c r="I1194"/>
      <c r="J1194"/>
    </row>
    <row r="1195" spans="1:10" x14ac:dyDescent="0.25">
      <c r="A1195"/>
      <c r="B1195"/>
      <c r="C1195"/>
      <c r="D1195"/>
      <c r="E1195"/>
      <c r="F1195"/>
      <c r="G1195"/>
      <c r="H1195"/>
      <c r="I1195"/>
      <c r="J1195"/>
    </row>
    <row r="1196" spans="1:10" x14ac:dyDescent="0.25">
      <c r="A1196"/>
      <c r="B1196"/>
      <c r="C1196"/>
      <c r="D1196"/>
      <c r="E1196"/>
      <c r="F1196"/>
      <c r="G1196"/>
      <c r="H1196"/>
      <c r="I1196"/>
      <c r="J1196"/>
    </row>
    <row r="1197" spans="1:10" x14ac:dyDescent="0.25">
      <c r="A1197"/>
      <c r="B1197"/>
      <c r="C1197"/>
      <c r="D1197"/>
      <c r="E1197"/>
      <c r="F1197"/>
      <c r="G1197"/>
      <c r="H1197"/>
      <c r="I1197"/>
      <c r="J1197"/>
    </row>
    <row r="1198" spans="1:10" x14ac:dyDescent="0.25">
      <c r="A1198"/>
      <c r="B1198"/>
      <c r="C1198"/>
      <c r="D1198"/>
      <c r="E1198"/>
      <c r="F1198"/>
      <c r="G1198"/>
      <c r="H1198"/>
      <c r="I1198"/>
      <c r="J1198"/>
    </row>
    <row r="1199" spans="1:10" x14ac:dyDescent="0.25">
      <c r="A1199"/>
      <c r="B1199"/>
      <c r="C1199"/>
      <c r="D1199"/>
      <c r="E1199"/>
      <c r="F1199"/>
      <c r="G1199"/>
      <c r="H1199"/>
      <c r="I1199"/>
      <c r="J1199"/>
    </row>
    <row r="1200" spans="1:10" x14ac:dyDescent="0.25">
      <c r="A1200"/>
      <c r="B1200"/>
      <c r="C1200"/>
      <c r="D1200"/>
      <c r="E1200"/>
      <c r="F1200"/>
      <c r="G1200"/>
      <c r="H1200"/>
      <c r="I1200"/>
      <c r="J1200"/>
    </row>
    <row r="1201" spans="1:10" x14ac:dyDescent="0.25">
      <c r="A1201"/>
      <c r="B1201"/>
      <c r="C1201"/>
      <c r="D1201"/>
      <c r="E1201"/>
      <c r="F1201"/>
      <c r="G1201"/>
      <c r="H1201"/>
      <c r="I1201"/>
      <c r="J1201"/>
    </row>
    <row r="1202" spans="1:10" x14ac:dyDescent="0.25">
      <c r="A1202"/>
      <c r="B1202"/>
      <c r="C1202"/>
      <c r="D1202"/>
      <c r="E1202"/>
      <c r="F1202"/>
      <c r="G1202"/>
      <c r="H1202"/>
      <c r="I1202"/>
      <c r="J1202"/>
    </row>
    <row r="1203" spans="1:10" x14ac:dyDescent="0.25">
      <c r="A1203"/>
      <c r="B1203"/>
      <c r="C1203"/>
      <c r="D1203"/>
      <c r="E1203"/>
      <c r="F1203"/>
      <c r="G1203"/>
      <c r="H1203"/>
      <c r="I1203"/>
      <c r="J1203"/>
    </row>
    <row r="1204" spans="1:10" x14ac:dyDescent="0.25">
      <c r="A1204"/>
      <c r="B1204"/>
      <c r="C1204"/>
      <c r="D1204"/>
      <c r="E1204"/>
      <c r="F1204"/>
      <c r="G1204"/>
      <c r="H1204"/>
      <c r="I1204"/>
      <c r="J1204"/>
    </row>
    <row r="1205" spans="1:10" x14ac:dyDescent="0.25">
      <c r="A1205"/>
      <c r="B1205"/>
      <c r="C1205"/>
      <c r="D1205"/>
      <c r="E1205"/>
      <c r="F1205"/>
      <c r="G1205"/>
      <c r="H1205"/>
      <c r="I1205"/>
      <c r="J1205"/>
    </row>
    <row r="1206" spans="1:10" x14ac:dyDescent="0.25">
      <c r="A1206"/>
      <c r="B1206"/>
      <c r="C1206"/>
      <c r="D1206"/>
      <c r="E1206"/>
      <c r="F1206"/>
      <c r="G1206"/>
      <c r="H1206"/>
      <c r="I1206"/>
      <c r="J1206"/>
    </row>
    <row r="1207" spans="1:10" x14ac:dyDescent="0.25">
      <c r="A1207"/>
      <c r="B1207"/>
      <c r="C1207"/>
      <c r="D1207"/>
      <c r="E1207"/>
      <c r="F1207"/>
      <c r="G1207"/>
      <c r="H1207"/>
      <c r="I1207"/>
      <c r="J1207"/>
    </row>
    <row r="1208" spans="1:10" x14ac:dyDescent="0.25">
      <c r="A1208"/>
      <c r="B1208"/>
      <c r="C1208"/>
      <c r="D1208"/>
      <c r="E1208"/>
      <c r="F1208"/>
      <c r="G1208"/>
      <c r="H1208"/>
      <c r="I1208"/>
      <c r="J1208"/>
    </row>
    <row r="1209" spans="1:10" x14ac:dyDescent="0.25">
      <c r="A1209"/>
      <c r="B1209"/>
      <c r="C1209"/>
      <c r="D1209"/>
      <c r="E1209"/>
      <c r="F1209"/>
      <c r="G1209"/>
      <c r="H1209"/>
      <c r="I1209"/>
      <c r="J1209"/>
    </row>
    <row r="1210" spans="1:10" x14ac:dyDescent="0.25">
      <c r="A1210"/>
      <c r="B1210"/>
      <c r="C1210"/>
      <c r="D1210"/>
      <c r="E1210"/>
      <c r="F1210"/>
      <c r="G1210"/>
      <c r="H1210"/>
      <c r="I1210"/>
      <c r="J1210"/>
    </row>
    <row r="1211" spans="1:10" x14ac:dyDescent="0.25">
      <c r="A1211"/>
      <c r="B1211"/>
      <c r="C1211"/>
      <c r="D1211"/>
      <c r="E1211"/>
      <c r="F1211"/>
      <c r="G1211"/>
      <c r="H1211"/>
      <c r="I1211"/>
      <c r="J1211"/>
    </row>
    <row r="1212" spans="1:10" x14ac:dyDescent="0.25">
      <c r="A1212"/>
      <c r="B1212"/>
      <c r="C1212"/>
      <c r="D1212"/>
      <c r="E1212"/>
      <c r="F1212"/>
      <c r="G1212"/>
      <c r="H1212"/>
      <c r="I1212"/>
      <c r="J1212"/>
    </row>
    <row r="1213" spans="1:10" x14ac:dyDescent="0.25">
      <c r="A1213"/>
      <c r="B1213"/>
      <c r="C1213"/>
      <c r="D1213"/>
      <c r="E1213"/>
      <c r="F1213"/>
      <c r="G1213"/>
      <c r="H1213"/>
      <c r="I1213"/>
      <c r="J1213"/>
    </row>
    <row r="1214" spans="1:10" x14ac:dyDescent="0.25">
      <c r="A1214"/>
      <c r="B1214"/>
      <c r="C1214"/>
      <c r="D1214"/>
      <c r="E1214"/>
      <c r="F1214"/>
      <c r="G1214"/>
      <c r="H1214"/>
      <c r="I1214"/>
      <c r="J1214"/>
    </row>
    <row r="1215" spans="1:10" x14ac:dyDescent="0.25">
      <c r="A1215"/>
      <c r="B1215"/>
      <c r="C1215"/>
      <c r="D1215"/>
      <c r="E1215"/>
      <c r="F1215"/>
      <c r="G1215"/>
      <c r="H1215"/>
      <c r="I1215"/>
      <c r="J1215"/>
    </row>
    <row r="1216" spans="1:10" x14ac:dyDescent="0.25">
      <c r="A1216"/>
      <c r="B1216"/>
      <c r="C1216"/>
      <c r="D1216"/>
      <c r="E1216"/>
      <c r="F1216"/>
      <c r="G1216"/>
      <c r="H1216"/>
      <c r="I1216"/>
      <c r="J1216"/>
    </row>
    <row r="1217" spans="1:10" x14ac:dyDescent="0.25">
      <c r="A1217"/>
      <c r="B1217"/>
      <c r="C1217"/>
      <c r="D1217"/>
      <c r="E1217"/>
      <c r="F1217"/>
      <c r="G1217"/>
      <c r="H1217"/>
      <c r="I1217"/>
      <c r="J1217"/>
    </row>
    <row r="1218" spans="1:10" x14ac:dyDescent="0.25">
      <c r="A1218"/>
      <c r="B1218"/>
      <c r="C1218"/>
      <c r="D1218"/>
      <c r="E1218"/>
      <c r="F1218"/>
      <c r="G1218"/>
      <c r="H1218"/>
      <c r="I1218"/>
      <c r="J1218"/>
    </row>
    <row r="1219" spans="1:10" x14ac:dyDescent="0.25">
      <c r="A1219"/>
      <c r="B1219"/>
      <c r="C1219"/>
      <c r="D1219"/>
      <c r="E1219"/>
      <c r="F1219"/>
      <c r="G1219"/>
      <c r="H1219"/>
      <c r="I1219"/>
      <c r="J1219"/>
    </row>
    <row r="1220" spans="1:10" x14ac:dyDescent="0.25">
      <c r="A1220"/>
      <c r="B1220"/>
      <c r="C1220"/>
      <c r="D1220"/>
      <c r="E1220"/>
      <c r="F1220"/>
      <c r="G1220"/>
      <c r="H1220"/>
      <c r="I1220"/>
      <c r="J1220"/>
    </row>
    <row r="1221" spans="1:10" x14ac:dyDescent="0.25">
      <c r="A1221"/>
      <c r="B1221"/>
      <c r="C1221"/>
      <c r="D1221"/>
      <c r="E1221"/>
      <c r="F1221"/>
      <c r="G1221"/>
      <c r="H1221"/>
      <c r="I1221"/>
      <c r="J1221"/>
    </row>
    <row r="1222" spans="1:10" x14ac:dyDescent="0.25">
      <c r="A1222"/>
      <c r="B1222"/>
      <c r="C1222"/>
      <c r="D1222"/>
      <c r="E1222"/>
      <c r="F1222"/>
      <c r="G1222"/>
      <c r="H1222"/>
      <c r="I1222"/>
      <c r="J1222"/>
    </row>
    <row r="1223" spans="1:10" x14ac:dyDescent="0.25">
      <c r="A1223"/>
      <c r="B1223"/>
      <c r="C1223"/>
      <c r="D1223"/>
      <c r="E1223"/>
      <c r="F1223"/>
      <c r="G1223"/>
      <c r="H1223"/>
      <c r="I1223"/>
      <c r="J1223"/>
    </row>
    <row r="1224" spans="1:10" x14ac:dyDescent="0.25">
      <c r="A1224"/>
      <c r="B1224"/>
      <c r="C1224"/>
      <c r="D1224"/>
      <c r="E1224"/>
      <c r="F1224"/>
      <c r="G1224"/>
      <c r="H1224"/>
      <c r="I1224"/>
      <c r="J1224"/>
    </row>
    <row r="1225" spans="1:10" x14ac:dyDescent="0.25">
      <c r="A1225"/>
      <c r="B1225"/>
      <c r="C1225"/>
      <c r="D1225"/>
      <c r="E1225"/>
      <c r="F1225"/>
      <c r="G1225"/>
      <c r="H1225"/>
      <c r="I1225"/>
      <c r="J1225"/>
    </row>
    <row r="1226" spans="1:10" x14ac:dyDescent="0.25">
      <c r="A1226"/>
      <c r="B1226"/>
      <c r="C1226"/>
      <c r="D1226"/>
      <c r="E1226"/>
      <c r="F1226"/>
      <c r="G1226"/>
      <c r="H1226"/>
      <c r="I1226"/>
      <c r="J1226"/>
    </row>
    <row r="1227" spans="1:10" x14ac:dyDescent="0.25">
      <c r="A1227"/>
      <c r="B1227"/>
      <c r="C1227"/>
      <c r="D1227"/>
      <c r="E1227"/>
      <c r="F1227"/>
      <c r="G1227"/>
      <c r="H1227"/>
      <c r="I1227"/>
      <c r="J1227"/>
    </row>
    <row r="1228" spans="1:10" x14ac:dyDescent="0.25">
      <c r="A1228"/>
      <c r="B1228"/>
      <c r="C1228"/>
      <c r="D1228"/>
      <c r="E1228"/>
      <c r="F1228"/>
      <c r="G1228"/>
      <c r="H1228"/>
      <c r="I1228"/>
      <c r="J1228"/>
    </row>
    <row r="1229" spans="1:10" x14ac:dyDescent="0.25">
      <c r="A1229"/>
      <c r="B1229"/>
      <c r="C1229"/>
      <c r="D1229"/>
      <c r="E1229"/>
      <c r="F1229"/>
      <c r="G1229"/>
      <c r="H1229"/>
      <c r="I1229"/>
      <c r="J1229"/>
    </row>
    <row r="1230" spans="1:10" x14ac:dyDescent="0.25">
      <c r="A1230"/>
      <c r="B1230"/>
      <c r="C1230"/>
      <c r="D1230"/>
      <c r="E1230"/>
      <c r="F1230"/>
      <c r="G1230"/>
      <c r="H1230"/>
      <c r="I1230"/>
      <c r="J1230"/>
    </row>
    <row r="1231" spans="1:10" x14ac:dyDescent="0.25">
      <c r="A1231"/>
      <c r="B1231"/>
      <c r="C1231"/>
      <c r="D1231"/>
      <c r="E1231"/>
      <c r="F1231"/>
      <c r="G1231"/>
      <c r="H1231"/>
      <c r="I1231"/>
      <c r="J1231"/>
    </row>
    <row r="1232" spans="1:10" x14ac:dyDescent="0.25">
      <c r="A1232"/>
      <c r="B1232"/>
      <c r="C1232"/>
      <c r="D1232"/>
      <c r="E1232"/>
      <c r="F1232"/>
      <c r="G1232"/>
      <c r="H1232"/>
      <c r="I1232"/>
      <c r="J1232"/>
    </row>
    <row r="1233" spans="1:10" x14ac:dyDescent="0.25">
      <c r="A1233"/>
      <c r="B1233"/>
      <c r="C1233"/>
      <c r="D1233"/>
      <c r="E1233"/>
      <c r="F1233"/>
      <c r="G1233"/>
      <c r="H1233"/>
      <c r="I1233"/>
      <c r="J1233"/>
    </row>
    <row r="1234" spans="1:10" x14ac:dyDescent="0.25">
      <c r="A1234"/>
      <c r="B1234"/>
      <c r="C1234"/>
      <c r="D1234"/>
      <c r="E1234"/>
      <c r="F1234"/>
      <c r="G1234"/>
      <c r="H1234"/>
      <c r="I1234"/>
      <c r="J1234"/>
    </row>
    <row r="1235" spans="1:10" x14ac:dyDescent="0.25">
      <c r="A1235"/>
      <c r="B1235"/>
      <c r="C1235"/>
      <c r="D1235"/>
      <c r="E1235"/>
      <c r="F1235"/>
      <c r="G1235"/>
      <c r="H1235"/>
      <c r="I1235"/>
      <c r="J1235"/>
    </row>
    <row r="1236" spans="1:10" x14ac:dyDescent="0.25">
      <c r="A1236"/>
      <c r="B1236"/>
      <c r="C1236"/>
      <c r="D1236"/>
      <c r="E1236"/>
      <c r="F1236"/>
      <c r="G1236"/>
      <c r="H1236"/>
      <c r="I1236"/>
      <c r="J1236"/>
    </row>
    <row r="1237" spans="1:10" x14ac:dyDescent="0.25">
      <c r="A1237"/>
      <c r="B1237"/>
      <c r="C1237"/>
      <c r="D1237"/>
      <c r="E1237"/>
      <c r="F1237"/>
      <c r="G1237"/>
      <c r="H1237"/>
      <c r="I1237"/>
      <c r="J1237"/>
    </row>
    <row r="1238" spans="1:10" x14ac:dyDescent="0.25">
      <c r="A1238"/>
      <c r="B1238"/>
      <c r="C1238"/>
      <c r="D1238"/>
      <c r="E1238"/>
      <c r="F1238"/>
      <c r="G1238"/>
      <c r="H1238"/>
      <c r="I1238"/>
      <c r="J1238"/>
    </row>
    <row r="1239" spans="1:10" x14ac:dyDescent="0.25">
      <c r="A1239"/>
      <c r="B1239"/>
      <c r="C1239"/>
      <c r="D1239"/>
      <c r="E1239"/>
      <c r="F1239"/>
      <c r="G1239"/>
      <c r="H1239"/>
      <c r="I1239"/>
      <c r="J1239"/>
    </row>
    <row r="1240" spans="1:10" x14ac:dyDescent="0.25">
      <c r="A1240"/>
      <c r="B1240"/>
      <c r="C1240"/>
      <c r="D1240"/>
      <c r="E1240"/>
      <c r="F1240"/>
      <c r="G1240"/>
      <c r="H1240"/>
      <c r="I1240"/>
      <c r="J1240"/>
    </row>
    <row r="1241" spans="1:10" x14ac:dyDescent="0.25">
      <c r="A1241"/>
      <c r="B1241"/>
      <c r="C1241"/>
      <c r="D1241"/>
      <c r="E1241"/>
      <c r="F1241"/>
      <c r="G1241"/>
      <c r="H1241"/>
      <c r="I1241"/>
      <c r="J1241"/>
    </row>
    <row r="1242" spans="1:10" x14ac:dyDescent="0.25">
      <c r="A1242"/>
      <c r="B1242"/>
      <c r="C1242"/>
      <c r="D1242"/>
      <c r="E1242"/>
      <c r="F1242"/>
      <c r="G1242"/>
      <c r="H1242"/>
      <c r="I1242"/>
      <c r="J1242"/>
    </row>
    <row r="1243" spans="1:10" x14ac:dyDescent="0.25">
      <c r="A1243"/>
      <c r="B1243"/>
      <c r="C1243"/>
      <c r="D1243"/>
      <c r="E1243"/>
      <c r="F1243"/>
      <c r="G1243"/>
      <c r="H1243"/>
      <c r="I1243"/>
      <c r="J1243"/>
    </row>
    <row r="1244" spans="1:10" x14ac:dyDescent="0.25">
      <c r="A1244"/>
      <c r="B1244"/>
      <c r="C1244"/>
      <c r="D1244"/>
      <c r="E1244"/>
      <c r="F1244"/>
      <c r="G1244"/>
      <c r="H1244"/>
      <c r="I1244"/>
      <c r="J1244"/>
    </row>
    <row r="1245" spans="1:10" x14ac:dyDescent="0.25">
      <c r="A1245"/>
      <c r="B1245"/>
      <c r="C1245"/>
      <c r="D1245"/>
      <c r="E1245"/>
      <c r="F1245"/>
      <c r="G1245"/>
      <c r="H1245"/>
      <c r="I1245"/>
      <c r="J1245"/>
    </row>
    <row r="1246" spans="1:10" x14ac:dyDescent="0.25">
      <c r="A1246"/>
      <c r="B1246"/>
      <c r="C1246"/>
      <c r="D1246"/>
      <c r="E1246"/>
      <c r="F1246"/>
      <c r="G1246"/>
      <c r="H1246"/>
      <c r="I1246"/>
      <c r="J1246"/>
    </row>
    <row r="1247" spans="1:10" x14ac:dyDescent="0.25">
      <c r="A1247"/>
      <c r="B1247"/>
      <c r="C1247"/>
      <c r="D1247"/>
      <c r="E1247"/>
      <c r="F1247"/>
      <c r="G1247"/>
      <c r="H1247"/>
      <c r="I1247"/>
      <c r="J1247"/>
    </row>
    <row r="1248" spans="1:10" x14ac:dyDescent="0.25">
      <c r="A1248"/>
      <c r="B1248"/>
      <c r="C1248"/>
      <c r="D1248"/>
      <c r="E1248"/>
      <c r="F1248"/>
      <c r="G1248"/>
      <c r="H1248"/>
      <c r="I1248"/>
      <c r="J1248"/>
    </row>
    <row r="1249" spans="1:10" x14ac:dyDescent="0.25">
      <c r="A1249"/>
      <c r="B1249"/>
      <c r="C1249"/>
      <c r="D1249"/>
      <c r="E1249"/>
      <c r="F1249"/>
      <c r="G1249"/>
      <c r="H1249"/>
      <c r="I1249"/>
      <c r="J1249"/>
    </row>
    <row r="1250" spans="1:10" x14ac:dyDescent="0.25">
      <c r="A1250"/>
      <c r="B1250"/>
      <c r="C1250"/>
      <c r="D1250"/>
      <c r="E1250"/>
      <c r="F1250"/>
      <c r="G1250"/>
      <c r="H1250"/>
      <c r="I1250"/>
      <c r="J1250"/>
    </row>
    <row r="1251" spans="1:10" x14ac:dyDescent="0.25">
      <c r="A1251"/>
      <c r="B1251"/>
      <c r="C1251"/>
      <c r="D1251"/>
      <c r="E1251"/>
      <c r="F1251"/>
      <c r="G1251"/>
      <c r="H1251"/>
      <c r="I1251"/>
      <c r="J1251"/>
    </row>
    <row r="1252" spans="1:10" x14ac:dyDescent="0.25">
      <c r="A1252"/>
      <c r="B1252"/>
      <c r="C1252"/>
      <c r="D1252"/>
      <c r="E1252"/>
      <c r="F1252"/>
      <c r="G1252"/>
      <c r="H1252"/>
      <c r="I1252"/>
      <c r="J1252"/>
    </row>
    <row r="1253" spans="1:10" x14ac:dyDescent="0.25">
      <c r="A1253"/>
      <c r="B1253"/>
      <c r="C1253"/>
      <c r="D1253"/>
      <c r="E1253"/>
      <c r="F1253"/>
      <c r="G1253"/>
      <c r="H1253"/>
      <c r="I1253"/>
      <c r="J1253"/>
    </row>
    <row r="1254" spans="1:10" x14ac:dyDescent="0.25">
      <c r="A1254"/>
      <c r="B1254"/>
      <c r="C1254"/>
      <c r="D1254"/>
      <c r="E1254"/>
      <c r="F1254"/>
      <c r="G1254"/>
      <c r="H1254"/>
      <c r="I1254"/>
      <c r="J1254"/>
    </row>
    <row r="1255" spans="1:10" x14ac:dyDescent="0.25">
      <c r="A1255"/>
      <c r="B1255"/>
      <c r="C1255"/>
      <c r="D1255"/>
      <c r="E1255"/>
      <c r="F1255"/>
      <c r="G1255"/>
      <c r="H1255"/>
      <c r="I1255"/>
      <c r="J1255"/>
    </row>
    <row r="1256" spans="1:10" x14ac:dyDescent="0.25">
      <c r="A1256"/>
      <c r="B1256"/>
      <c r="C1256"/>
      <c r="D1256"/>
      <c r="E1256"/>
      <c r="F1256"/>
      <c r="G1256"/>
      <c r="H1256"/>
      <c r="I1256"/>
      <c r="J1256"/>
    </row>
    <row r="1257" spans="1:10" x14ac:dyDescent="0.25">
      <c r="A1257"/>
      <c r="B1257"/>
      <c r="C1257"/>
      <c r="D1257"/>
      <c r="E1257"/>
      <c r="F1257"/>
      <c r="G1257"/>
      <c r="H1257"/>
      <c r="I1257"/>
      <c r="J1257"/>
    </row>
    <row r="1258" spans="1:10" x14ac:dyDescent="0.25">
      <c r="A1258"/>
      <c r="B1258"/>
      <c r="C1258"/>
      <c r="D1258"/>
      <c r="E1258"/>
      <c r="F1258"/>
      <c r="G1258"/>
      <c r="H1258"/>
      <c r="I1258"/>
      <c r="J1258"/>
    </row>
    <row r="1259" spans="1:10" x14ac:dyDescent="0.25">
      <c r="A1259"/>
      <c r="B1259"/>
      <c r="C1259"/>
      <c r="D1259"/>
      <c r="E1259"/>
      <c r="F1259"/>
      <c r="G1259"/>
      <c r="H1259"/>
      <c r="I1259"/>
      <c r="J1259"/>
    </row>
    <row r="1260" spans="1:10" x14ac:dyDescent="0.25">
      <c r="A1260"/>
      <c r="B1260"/>
      <c r="C1260"/>
      <c r="D1260"/>
      <c r="E1260"/>
      <c r="F1260"/>
      <c r="G1260"/>
      <c r="H1260"/>
      <c r="I1260"/>
      <c r="J1260"/>
    </row>
    <row r="1261" spans="1:10" x14ac:dyDescent="0.25">
      <c r="A1261"/>
      <c r="B1261"/>
      <c r="C1261"/>
      <c r="D1261"/>
      <c r="E1261"/>
      <c r="F1261"/>
      <c r="G1261"/>
      <c r="H1261"/>
      <c r="I1261"/>
      <c r="J1261"/>
    </row>
    <row r="1262" spans="1:10" x14ac:dyDescent="0.25">
      <c r="A1262"/>
      <c r="B1262"/>
      <c r="C1262"/>
      <c r="D1262"/>
      <c r="E1262"/>
      <c r="F1262"/>
      <c r="G1262"/>
      <c r="H1262"/>
      <c r="I1262"/>
      <c r="J1262"/>
    </row>
    <row r="1263" spans="1:10" x14ac:dyDescent="0.25">
      <c r="A1263"/>
      <c r="B1263"/>
      <c r="C1263"/>
      <c r="D1263"/>
      <c r="E1263"/>
      <c r="F1263"/>
      <c r="G1263"/>
      <c r="H1263"/>
      <c r="I1263"/>
      <c r="J1263"/>
    </row>
    <row r="1264" spans="1:10" x14ac:dyDescent="0.25">
      <c r="A1264"/>
      <c r="B1264"/>
      <c r="C1264"/>
      <c r="D1264"/>
      <c r="E1264"/>
      <c r="F1264"/>
      <c r="G1264"/>
      <c r="H1264"/>
      <c r="I1264"/>
      <c r="J1264"/>
    </row>
    <row r="1265" spans="1:10" x14ac:dyDescent="0.25">
      <c r="A1265"/>
      <c r="B1265"/>
      <c r="C1265"/>
      <c r="D1265"/>
      <c r="E1265"/>
      <c r="F1265"/>
      <c r="G1265"/>
      <c r="H1265"/>
      <c r="I1265"/>
      <c r="J1265"/>
    </row>
    <row r="1266" spans="1:10" x14ac:dyDescent="0.25">
      <c r="A1266"/>
      <c r="B1266"/>
      <c r="C1266"/>
      <c r="D1266"/>
      <c r="E1266"/>
      <c r="F1266"/>
      <c r="G1266"/>
      <c r="H1266"/>
      <c r="I1266"/>
      <c r="J1266"/>
    </row>
    <row r="1267" spans="1:10" x14ac:dyDescent="0.25">
      <c r="A1267"/>
      <c r="B1267"/>
      <c r="C1267"/>
      <c r="D1267"/>
      <c r="E1267"/>
      <c r="F1267"/>
      <c r="G1267"/>
      <c r="H1267"/>
      <c r="I1267"/>
      <c r="J1267"/>
    </row>
    <row r="1268" spans="1:10" x14ac:dyDescent="0.25">
      <c r="A1268"/>
      <c r="B1268"/>
      <c r="C1268"/>
      <c r="D1268"/>
      <c r="E1268"/>
      <c r="F1268"/>
      <c r="G1268"/>
      <c r="H1268"/>
      <c r="I1268"/>
      <c r="J1268"/>
    </row>
    <row r="1269" spans="1:10" x14ac:dyDescent="0.25">
      <c r="A1269"/>
      <c r="B1269"/>
      <c r="C1269"/>
      <c r="D1269"/>
      <c r="E1269"/>
      <c r="F1269"/>
      <c r="G1269"/>
      <c r="H1269"/>
      <c r="I1269"/>
      <c r="J1269"/>
    </row>
    <row r="1270" spans="1:10" x14ac:dyDescent="0.25">
      <c r="A1270"/>
      <c r="B1270"/>
      <c r="C1270"/>
      <c r="D1270"/>
      <c r="E1270"/>
      <c r="F1270"/>
      <c r="G1270"/>
      <c r="H1270"/>
      <c r="I1270"/>
      <c r="J1270"/>
    </row>
    <row r="1271" spans="1:10" x14ac:dyDescent="0.25">
      <c r="A1271"/>
      <c r="B1271"/>
      <c r="C1271"/>
      <c r="D1271"/>
      <c r="E1271"/>
      <c r="F1271"/>
      <c r="G1271"/>
      <c r="H1271"/>
      <c r="I1271"/>
      <c r="J1271"/>
    </row>
    <row r="1272" spans="1:10" x14ac:dyDescent="0.25">
      <c r="A1272"/>
      <c r="B1272"/>
      <c r="C1272"/>
      <c r="D1272"/>
      <c r="E1272"/>
      <c r="F1272"/>
      <c r="G1272"/>
      <c r="H1272"/>
      <c r="I1272"/>
      <c r="J1272"/>
    </row>
    <row r="1273" spans="1:10" x14ac:dyDescent="0.25">
      <c r="A1273"/>
      <c r="B1273"/>
      <c r="C1273"/>
      <c r="D1273"/>
      <c r="E1273"/>
      <c r="F1273"/>
      <c r="G1273"/>
      <c r="H1273"/>
      <c r="I1273"/>
      <c r="J1273"/>
    </row>
    <row r="1274" spans="1:10" x14ac:dyDescent="0.25">
      <c r="A1274"/>
      <c r="B1274"/>
      <c r="C1274"/>
      <c r="D1274"/>
      <c r="E1274"/>
      <c r="F1274"/>
      <c r="G1274"/>
      <c r="H1274"/>
      <c r="I1274"/>
      <c r="J1274"/>
    </row>
    <row r="1275" spans="1:10" x14ac:dyDescent="0.25">
      <c r="A1275"/>
      <c r="B1275"/>
      <c r="C1275"/>
      <c r="D1275"/>
      <c r="E1275"/>
      <c r="F1275"/>
      <c r="G1275"/>
      <c r="H1275"/>
      <c r="I1275"/>
      <c r="J1275"/>
    </row>
    <row r="1276" spans="1:10" x14ac:dyDescent="0.25">
      <c r="A1276"/>
      <c r="B1276"/>
      <c r="C1276"/>
      <c r="D1276"/>
      <c r="E1276"/>
      <c r="F1276"/>
      <c r="G1276"/>
      <c r="H1276"/>
      <c r="I1276"/>
      <c r="J1276"/>
    </row>
    <row r="1277" spans="1:10" x14ac:dyDescent="0.25">
      <c r="A1277"/>
      <c r="B1277"/>
      <c r="C1277"/>
      <c r="D1277"/>
      <c r="E1277"/>
      <c r="F1277"/>
      <c r="G1277"/>
      <c r="H1277"/>
      <c r="I1277"/>
      <c r="J1277"/>
    </row>
    <row r="1278" spans="1:10" x14ac:dyDescent="0.25">
      <c r="A1278"/>
      <c r="B1278"/>
      <c r="C1278"/>
      <c r="D1278"/>
      <c r="E1278"/>
      <c r="F1278"/>
      <c r="G1278"/>
      <c r="H1278"/>
      <c r="I1278"/>
      <c r="J1278"/>
    </row>
    <row r="1279" spans="1:10" x14ac:dyDescent="0.25">
      <c r="A1279"/>
      <c r="B1279"/>
      <c r="C1279"/>
      <c r="D1279"/>
      <c r="E1279"/>
      <c r="F1279"/>
      <c r="G1279"/>
      <c r="H1279"/>
      <c r="I1279"/>
      <c r="J1279"/>
    </row>
    <row r="1280" spans="1:10" x14ac:dyDescent="0.25">
      <c r="A1280"/>
      <c r="B1280"/>
      <c r="C1280"/>
      <c r="D1280"/>
      <c r="E1280"/>
      <c r="F1280"/>
      <c r="G1280"/>
      <c r="H1280"/>
      <c r="I1280"/>
      <c r="J1280"/>
    </row>
    <row r="1281" spans="1:10" x14ac:dyDescent="0.25">
      <c r="A1281"/>
      <c r="B1281"/>
      <c r="C1281"/>
      <c r="D1281"/>
      <c r="E1281"/>
      <c r="F1281"/>
      <c r="G1281"/>
      <c r="H1281"/>
      <c r="I1281"/>
      <c r="J1281"/>
    </row>
    <row r="1282" spans="1:10" x14ac:dyDescent="0.25">
      <c r="A1282"/>
      <c r="B1282"/>
      <c r="C1282"/>
      <c r="D1282"/>
      <c r="E1282"/>
      <c r="F1282"/>
      <c r="G1282"/>
      <c r="H1282"/>
      <c r="I1282"/>
      <c r="J1282"/>
    </row>
    <row r="1283" spans="1:10" x14ac:dyDescent="0.25">
      <c r="A1283"/>
      <c r="B1283"/>
      <c r="C1283"/>
      <c r="D1283"/>
      <c r="E1283"/>
      <c r="F1283"/>
      <c r="G1283"/>
      <c r="H1283"/>
      <c r="I1283"/>
      <c r="J1283"/>
    </row>
    <row r="1284" spans="1:10" x14ac:dyDescent="0.25">
      <c r="A1284"/>
      <c r="B1284"/>
      <c r="C1284"/>
      <c r="D1284"/>
      <c r="E1284"/>
      <c r="F1284"/>
      <c r="G1284"/>
      <c r="H1284"/>
      <c r="I1284"/>
      <c r="J1284"/>
    </row>
    <row r="1285" spans="1:10" x14ac:dyDescent="0.25">
      <c r="A1285"/>
      <c r="B1285"/>
      <c r="C1285"/>
      <c r="D1285"/>
      <c r="E1285"/>
      <c r="F1285"/>
      <c r="G1285"/>
      <c r="H1285"/>
      <c r="I1285"/>
      <c r="J1285"/>
    </row>
    <row r="1286" spans="1:10" x14ac:dyDescent="0.25">
      <c r="A1286"/>
      <c r="B1286"/>
      <c r="C1286"/>
      <c r="D1286"/>
      <c r="E1286"/>
      <c r="F1286"/>
      <c r="G1286"/>
      <c r="H1286"/>
      <c r="I1286"/>
      <c r="J1286"/>
    </row>
    <row r="1287" spans="1:10" x14ac:dyDescent="0.25">
      <c r="A1287"/>
      <c r="B1287"/>
      <c r="C1287"/>
      <c r="D1287"/>
      <c r="E1287"/>
      <c r="F1287"/>
      <c r="G1287"/>
      <c r="H1287"/>
      <c r="I1287"/>
      <c r="J1287"/>
    </row>
    <row r="1288" spans="1:10" x14ac:dyDescent="0.25">
      <c r="A1288"/>
      <c r="B1288"/>
      <c r="C1288"/>
      <c r="D1288"/>
      <c r="E1288"/>
      <c r="F1288"/>
      <c r="G1288"/>
      <c r="H1288"/>
      <c r="I1288"/>
      <c r="J1288"/>
    </row>
    <row r="1289" spans="1:10" x14ac:dyDescent="0.25">
      <c r="A1289"/>
      <c r="B1289"/>
      <c r="C1289"/>
      <c r="D1289"/>
      <c r="E1289"/>
      <c r="F1289"/>
      <c r="G1289"/>
      <c r="H1289"/>
      <c r="I1289"/>
      <c r="J1289"/>
    </row>
    <row r="1290" spans="1:10" x14ac:dyDescent="0.25">
      <c r="A1290"/>
      <c r="B1290"/>
      <c r="C1290"/>
      <c r="D1290"/>
      <c r="E1290"/>
      <c r="F1290"/>
      <c r="G1290"/>
      <c r="H1290"/>
      <c r="I1290"/>
      <c r="J1290"/>
    </row>
    <row r="1291" spans="1:10" x14ac:dyDescent="0.25">
      <c r="A1291"/>
      <c r="B1291"/>
      <c r="C1291"/>
      <c r="D1291"/>
      <c r="E1291"/>
      <c r="F1291"/>
      <c r="G1291"/>
      <c r="H1291"/>
      <c r="I1291"/>
      <c r="J1291"/>
    </row>
    <row r="1292" spans="1:10" x14ac:dyDescent="0.25">
      <c r="A1292"/>
      <c r="B1292"/>
      <c r="C1292"/>
      <c r="D1292"/>
      <c r="E1292"/>
      <c r="F1292"/>
      <c r="G1292"/>
      <c r="H1292"/>
      <c r="I1292"/>
      <c r="J1292"/>
    </row>
    <row r="1293" spans="1:10" x14ac:dyDescent="0.25">
      <c r="A1293"/>
      <c r="B1293"/>
      <c r="C1293"/>
      <c r="D1293"/>
      <c r="E1293"/>
      <c r="F1293"/>
      <c r="G1293"/>
      <c r="H1293"/>
      <c r="I1293"/>
      <c r="J1293"/>
    </row>
    <row r="1294" spans="1:10" x14ac:dyDescent="0.25">
      <c r="A1294"/>
      <c r="B1294"/>
      <c r="C1294"/>
      <c r="D1294"/>
      <c r="E1294"/>
      <c r="F1294"/>
      <c r="G1294"/>
      <c r="H1294"/>
      <c r="I1294"/>
      <c r="J1294"/>
    </row>
    <row r="1295" spans="1:10" x14ac:dyDescent="0.25">
      <c r="A1295"/>
      <c r="B1295"/>
      <c r="C1295"/>
      <c r="D1295"/>
      <c r="E1295"/>
      <c r="F1295"/>
      <c r="G1295"/>
      <c r="H1295"/>
      <c r="I1295"/>
      <c r="J1295"/>
    </row>
    <row r="1296" spans="1:10" x14ac:dyDescent="0.25">
      <c r="A1296"/>
      <c r="B1296"/>
      <c r="C1296"/>
      <c r="D1296"/>
      <c r="E1296"/>
      <c r="F1296"/>
      <c r="G1296"/>
      <c r="H1296"/>
      <c r="I1296"/>
      <c r="J1296"/>
    </row>
    <row r="1297" spans="1:10" x14ac:dyDescent="0.25">
      <c r="A1297"/>
      <c r="B1297"/>
      <c r="C1297"/>
      <c r="D1297"/>
      <c r="E1297"/>
      <c r="F1297"/>
      <c r="G1297"/>
      <c r="H1297"/>
      <c r="I1297"/>
      <c r="J1297"/>
    </row>
    <row r="1298" spans="1:10" x14ac:dyDescent="0.25">
      <c r="A1298"/>
      <c r="B1298"/>
      <c r="C1298"/>
      <c r="D1298"/>
      <c r="E1298"/>
      <c r="F1298"/>
      <c r="G1298"/>
      <c r="H1298"/>
      <c r="I1298"/>
      <c r="J1298"/>
    </row>
    <row r="1299" spans="1:10" x14ac:dyDescent="0.25">
      <c r="A1299"/>
      <c r="B1299"/>
      <c r="C1299"/>
      <c r="D1299"/>
      <c r="E1299"/>
      <c r="F1299"/>
      <c r="G1299"/>
      <c r="H1299"/>
      <c r="I1299"/>
      <c r="J1299"/>
    </row>
    <row r="1300" spans="1:10" x14ac:dyDescent="0.25">
      <c r="A1300"/>
      <c r="B1300"/>
      <c r="C1300"/>
      <c r="D1300"/>
      <c r="E1300"/>
      <c r="F1300"/>
      <c r="G1300"/>
      <c r="H1300"/>
      <c r="I1300"/>
      <c r="J1300"/>
    </row>
    <row r="1301" spans="1:10" x14ac:dyDescent="0.25">
      <c r="A1301"/>
      <c r="B1301"/>
      <c r="C1301"/>
      <c r="D1301"/>
      <c r="E1301"/>
      <c r="F1301"/>
      <c r="G1301"/>
      <c r="H1301"/>
      <c r="I1301"/>
      <c r="J1301"/>
    </row>
    <row r="1302" spans="1:10" x14ac:dyDescent="0.25">
      <c r="A1302"/>
      <c r="B1302"/>
      <c r="C1302"/>
      <c r="D1302"/>
      <c r="E1302"/>
      <c r="F1302"/>
      <c r="G1302"/>
      <c r="H1302"/>
      <c r="I1302"/>
      <c r="J1302"/>
    </row>
    <row r="1303" spans="1:10" x14ac:dyDescent="0.25">
      <c r="A1303"/>
      <c r="B1303"/>
      <c r="C1303"/>
      <c r="D1303"/>
      <c r="E1303"/>
      <c r="F1303"/>
      <c r="G1303"/>
      <c r="H1303"/>
      <c r="I1303"/>
      <c r="J1303"/>
    </row>
    <row r="1304" spans="1:10" x14ac:dyDescent="0.25">
      <c r="A1304"/>
      <c r="B1304"/>
      <c r="C1304"/>
      <c r="D1304"/>
      <c r="E1304"/>
      <c r="F1304"/>
      <c r="G1304"/>
      <c r="H1304"/>
      <c r="I1304"/>
      <c r="J1304"/>
    </row>
    <row r="1305" spans="1:10" x14ac:dyDescent="0.25">
      <c r="A1305"/>
      <c r="B1305"/>
      <c r="C1305"/>
      <c r="D1305"/>
      <c r="E1305"/>
      <c r="F1305"/>
      <c r="G1305"/>
      <c r="H1305"/>
      <c r="I1305"/>
      <c r="J1305"/>
    </row>
    <row r="1306" spans="1:10" x14ac:dyDescent="0.25">
      <c r="A1306"/>
      <c r="B1306"/>
      <c r="C1306"/>
      <c r="D1306"/>
      <c r="E1306"/>
      <c r="F1306"/>
      <c r="G1306"/>
      <c r="H1306"/>
      <c r="I1306"/>
      <c r="J1306"/>
    </row>
    <row r="1307" spans="1:10" x14ac:dyDescent="0.25">
      <c r="A1307"/>
      <c r="B1307"/>
      <c r="C1307"/>
      <c r="D1307"/>
      <c r="E1307"/>
      <c r="F1307"/>
      <c r="G1307"/>
      <c r="H1307"/>
      <c r="I1307"/>
      <c r="J1307"/>
    </row>
    <row r="1308" spans="1:10" x14ac:dyDescent="0.25">
      <c r="A1308"/>
      <c r="B1308"/>
      <c r="C1308"/>
      <c r="D1308"/>
      <c r="E1308"/>
      <c r="F1308"/>
      <c r="G1308"/>
      <c r="H1308"/>
      <c r="I1308"/>
      <c r="J1308"/>
    </row>
    <row r="1309" spans="1:10" x14ac:dyDescent="0.25">
      <c r="A1309"/>
      <c r="B1309"/>
      <c r="C1309"/>
      <c r="D1309"/>
      <c r="E1309"/>
      <c r="F1309"/>
      <c r="G1309"/>
      <c r="H1309"/>
      <c r="I1309"/>
      <c r="J1309"/>
    </row>
    <row r="1310" spans="1:10" x14ac:dyDescent="0.25">
      <c r="A1310"/>
      <c r="B1310"/>
      <c r="C1310"/>
      <c r="D1310"/>
      <c r="E1310"/>
      <c r="F1310"/>
      <c r="G1310"/>
      <c r="H1310"/>
      <c r="I1310"/>
      <c r="J1310"/>
    </row>
    <row r="1311" spans="1:10" x14ac:dyDescent="0.25">
      <c r="A1311"/>
      <c r="B1311"/>
      <c r="C1311"/>
      <c r="D1311"/>
      <c r="E1311"/>
      <c r="F1311"/>
      <c r="G1311"/>
      <c r="H1311"/>
      <c r="I1311"/>
      <c r="J1311"/>
    </row>
    <row r="1312" spans="1:10" x14ac:dyDescent="0.25">
      <c r="A1312"/>
      <c r="B1312"/>
      <c r="C1312"/>
      <c r="D1312"/>
      <c r="E1312"/>
      <c r="F1312"/>
      <c r="G1312"/>
      <c r="H1312"/>
      <c r="I1312"/>
      <c r="J1312"/>
    </row>
    <row r="1313" spans="1:10" x14ac:dyDescent="0.25">
      <c r="A1313"/>
      <c r="B1313"/>
      <c r="C1313"/>
      <c r="D1313"/>
      <c r="E1313"/>
      <c r="F1313"/>
      <c r="G1313"/>
      <c r="H1313"/>
      <c r="I1313"/>
      <c r="J1313"/>
    </row>
    <row r="1314" spans="1:10" x14ac:dyDescent="0.25">
      <c r="A1314"/>
      <c r="B1314"/>
      <c r="C1314"/>
      <c r="D1314"/>
      <c r="E1314"/>
      <c r="F1314"/>
      <c r="G1314"/>
      <c r="H1314"/>
      <c r="I1314"/>
      <c r="J1314"/>
    </row>
    <row r="1315" spans="1:10" x14ac:dyDescent="0.25">
      <c r="A1315"/>
      <c r="B1315"/>
      <c r="C1315"/>
      <c r="D1315"/>
      <c r="E1315"/>
      <c r="F1315"/>
      <c r="G1315"/>
      <c r="H1315"/>
      <c r="I1315"/>
      <c r="J1315"/>
    </row>
    <row r="1316" spans="1:10" x14ac:dyDescent="0.25">
      <c r="A1316"/>
      <c r="B1316"/>
      <c r="C1316"/>
      <c r="D1316"/>
      <c r="E1316"/>
      <c r="F1316"/>
      <c r="G1316"/>
      <c r="H1316"/>
      <c r="I1316"/>
      <c r="J1316"/>
    </row>
    <row r="1317" spans="1:10" x14ac:dyDescent="0.25">
      <c r="A1317"/>
      <c r="B1317"/>
      <c r="C1317"/>
      <c r="D1317"/>
      <c r="E1317"/>
      <c r="F1317"/>
      <c r="G1317"/>
      <c r="H1317"/>
      <c r="I1317"/>
      <c r="J1317"/>
    </row>
    <row r="1318" spans="1:10" x14ac:dyDescent="0.25">
      <c r="A1318"/>
      <c r="B1318"/>
      <c r="C1318"/>
      <c r="D1318"/>
      <c r="E1318"/>
      <c r="F1318"/>
      <c r="G1318"/>
      <c r="H1318"/>
      <c r="I1318"/>
      <c r="J1318"/>
    </row>
    <row r="1319" spans="1:10" x14ac:dyDescent="0.25">
      <c r="A1319"/>
      <c r="B1319"/>
      <c r="C1319"/>
      <c r="D1319"/>
      <c r="E1319"/>
      <c r="F1319"/>
      <c r="G1319"/>
      <c r="H1319"/>
      <c r="I1319"/>
      <c r="J1319"/>
    </row>
    <row r="1320" spans="1:10" x14ac:dyDescent="0.25">
      <c r="A1320"/>
      <c r="B1320"/>
      <c r="C1320"/>
      <c r="D1320"/>
      <c r="E1320"/>
      <c r="F1320"/>
      <c r="G1320"/>
      <c r="H1320"/>
      <c r="I1320"/>
      <c r="J1320"/>
    </row>
    <row r="1321" spans="1:10" x14ac:dyDescent="0.25">
      <c r="A1321"/>
      <c r="B1321"/>
      <c r="C1321"/>
      <c r="D1321"/>
      <c r="E1321"/>
      <c r="F1321"/>
      <c r="G1321"/>
      <c r="H1321"/>
      <c r="I1321"/>
      <c r="J1321"/>
    </row>
    <row r="1322" spans="1:10" x14ac:dyDescent="0.25">
      <c r="A1322"/>
      <c r="B1322"/>
      <c r="C1322"/>
      <c r="D1322"/>
      <c r="E1322"/>
      <c r="F1322"/>
      <c r="G1322"/>
      <c r="H1322"/>
      <c r="I1322"/>
      <c r="J1322"/>
    </row>
    <row r="1323" spans="1:10" x14ac:dyDescent="0.25">
      <c r="A1323"/>
      <c r="B1323"/>
      <c r="C1323"/>
      <c r="D1323"/>
      <c r="E1323"/>
      <c r="F1323"/>
      <c r="G1323"/>
      <c r="H1323"/>
      <c r="I1323"/>
      <c r="J1323"/>
    </row>
    <row r="1324" spans="1:10" x14ac:dyDescent="0.25">
      <c r="A1324"/>
      <c r="B1324"/>
      <c r="C1324"/>
      <c r="D1324"/>
      <c r="E1324"/>
      <c r="F1324"/>
      <c r="G1324"/>
      <c r="H1324"/>
      <c r="I1324"/>
      <c r="J1324"/>
    </row>
    <row r="1325" spans="1:10" x14ac:dyDescent="0.25">
      <c r="A1325"/>
      <c r="B1325"/>
      <c r="C1325"/>
      <c r="D1325"/>
      <c r="E1325"/>
      <c r="F1325"/>
      <c r="G1325"/>
      <c r="H1325"/>
      <c r="I1325"/>
      <c r="J1325"/>
    </row>
    <row r="1326" spans="1:10" x14ac:dyDescent="0.25">
      <c r="A1326"/>
      <c r="B1326"/>
      <c r="C1326"/>
      <c r="D1326"/>
      <c r="E1326"/>
      <c r="F1326"/>
      <c r="G1326"/>
      <c r="H1326"/>
      <c r="I1326"/>
      <c r="J1326"/>
    </row>
    <row r="1327" spans="1:10" x14ac:dyDescent="0.25">
      <c r="A1327"/>
      <c r="B1327"/>
      <c r="C1327"/>
      <c r="D1327"/>
      <c r="E1327"/>
      <c r="F1327"/>
      <c r="G1327"/>
      <c r="H1327"/>
      <c r="I1327"/>
      <c r="J1327"/>
    </row>
    <row r="1328" spans="1:10" x14ac:dyDescent="0.25">
      <c r="A1328"/>
      <c r="B1328"/>
      <c r="C1328"/>
      <c r="D1328"/>
      <c r="E1328"/>
      <c r="F1328"/>
      <c r="G1328"/>
      <c r="H1328"/>
      <c r="I1328"/>
      <c r="J1328"/>
    </row>
    <row r="1329" spans="1:10" x14ac:dyDescent="0.25">
      <c r="A1329"/>
      <c r="B1329"/>
      <c r="C1329"/>
      <c r="D1329"/>
      <c r="E1329"/>
      <c r="F1329"/>
      <c r="G1329"/>
      <c r="H1329"/>
      <c r="I1329"/>
      <c r="J1329"/>
    </row>
    <row r="1330" spans="1:10" x14ac:dyDescent="0.25">
      <c r="A1330"/>
      <c r="B1330"/>
      <c r="C1330"/>
      <c r="D1330"/>
      <c r="E1330"/>
      <c r="F1330"/>
      <c r="G1330"/>
      <c r="H1330"/>
      <c r="I1330"/>
      <c r="J1330"/>
    </row>
    <row r="1331" spans="1:10" x14ac:dyDescent="0.25">
      <c r="A1331"/>
      <c r="B1331"/>
      <c r="C1331"/>
      <c r="D1331"/>
      <c r="E1331"/>
      <c r="F1331"/>
      <c r="G1331"/>
      <c r="H1331"/>
      <c r="I1331"/>
      <c r="J1331"/>
    </row>
    <row r="1332" spans="1:10" x14ac:dyDescent="0.25">
      <c r="A1332"/>
      <c r="B1332"/>
      <c r="C1332"/>
      <c r="D1332"/>
      <c r="E1332"/>
      <c r="F1332"/>
      <c r="G1332"/>
      <c r="H1332"/>
      <c r="I1332"/>
      <c r="J1332"/>
    </row>
    <row r="1333" spans="1:10" x14ac:dyDescent="0.25">
      <c r="A1333"/>
      <c r="B1333"/>
      <c r="C1333"/>
      <c r="D1333"/>
      <c r="E1333"/>
      <c r="F1333"/>
      <c r="G1333"/>
      <c r="H1333"/>
      <c r="I1333"/>
      <c r="J1333"/>
    </row>
    <row r="1334" spans="1:10" x14ac:dyDescent="0.25">
      <c r="A1334"/>
      <c r="B1334"/>
      <c r="C1334"/>
      <c r="D1334"/>
      <c r="E1334"/>
      <c r="F1334"/>
      <c r="G1334"/>
      <c r="H1334"/>
      <c r="I1334"/>
      <c r="J1334"/>
    </row>
    <row r="1335" spans="1:10" x14ac:dyDescent="0.25">
      <c r="A1335"/>
      <c r="B1335"/>
      <c r="C1335"/>
      <c r="D1335"/>
      <c r="E1335"/>
      <c r="F1335"/>
      <c r="G1335"/>
      <c r="H1335"/>
      <c r="I1335"/>
      <c r="J1335"/>
    </row>
    <row r="1336" spans="1:10" x14ac:dyDescent="0.25">
      <c r="A1336"/>
      <c r="B1336"/>
      <c r="C1336"/>
      <c r="D1336"/>
      <c r="E1336"/>
      <c r="F1336"/>
      <c r="G1336"/>
      <c r="H1336"/>
      <c r="I1336"/>
      <c r="J1336"/>
    </row>
    <row r="1337" spans="1:10" x14ac:dyDescent="0.25">
      <c r="A1337"/>
      <c r="B1337"/>
      <c r="C1337"/>
      <c r="D1337"/>
      <c r="E1337"/>
      <c r="F1337"/>
      <c r="G1337"/>
      <c r="H1337"/>
      <c r="I1337"/>
      <c r="J1337"/>
    </row>
    <row r="1338" spans="1:10" x14ac:dyDescent="0.25">
      <c r="A1338"/>
      <c r="B1338"/>
      <c r="C1338"/>
      <c r="D1338"/>
      <c r="E1338"/>
      <c r="F1338"/>
      <c r="G1338"/>
      <c r="H1338"/>
      <c r="I1338"/>
      <c r="J1338"/>
    </row>
    <row r="1339" spans="1:10" x14ac:dyDescent="0.25">
      <c r="A1339"/>
      <c r="B1339"/>
      <c r="C1339"/>
      <c r="D1339"/>
      <c r="E1339"/>
      <c r="F1339"/>
      <c r="G1339"/>
      <c r="H1339"/>
      <c r="I1339"/>
      <c r="J1339"/>
    </row>
    <row r="1340" spans="1:10" x14ac:dyDescent="0.25">
      <c r="A1340"/>
      <c r="B1340"/>
      <c r="C1340"/>
      <c r="D1340"/>
      <c r="E1340"/>
      <c r="F1340"/>
      <c r="G1340"/>
      <c r="H1340"/>
      <c r="I1340"/>
      <c r="J1340"/>
    </row>
    <row r="1341" spans="1:10" x14ac:dyDescent="0.25">
      <c r="A1341"/>
      <c r="B1341"/>
      <c r="C1341"/>
      <c r="D1341"/>
      <c r="E1341"/>
      <c r="F1341"/>
      <c r="G1341"/>
      <c r="H1341"/>
      <c r="I1341"/>
      <c r="J1341"/>
    </row>
    <row r="1342" spans="1:10" x14ac:dyDescent="0.25">
      <c r="A1342"/>
      <c r="B1342"/>
      <c r="C1342"/>
      <c r="D1342"/>
      <c r="E1342"/>
      <c r="F1342"/>
      <c r="G1342"/>
      <c r="H1342"/>
      <c r="I1342"/>
      <c r="J1342"/>
    </row>
    <row r="1343" spans="1:10" x14ac:dyDescent="0.25">
      <c r="A1343"/>
      <c r="B1343"/>
      <c r="C1343"/>
      <c r="D1343"/>
      <c r="E1343"/>
      <c r="F1343"/>
      <c r="G1343"/>
      <c r="H1343"/>
      <c r="I1343"/>
      <c r="J1343"/>
    </row>
    <row r="1344" spans="1:10" x14ac:dyDescent="0.25">
      <c r="A1344"/>
      <c r="B1344"/>
      <c r="C1344"/>
      <c r="D1344"/>
      <c r="E1344"/>
      <c r="F1344"/>
      <c r="G1344"/>
      <c r="H1344"/>
      <c r="I1344"/>
      <c r="J1344"/>
    </row>
    <row r="1345" spans="1:10" x14ac:dyDescent="0.25">
      <c r="A1345"/>
      <c r="B1345"/>
      <c r="C1345"/>
      <c r="D1345"/>
      <c r="E1345"/>
      <c r="F1345"/>
      <c r="G1345"/>
      <c r="H1345"/>
      <c r="I1345"/>
      <c r="J1345"/>
    </row>
    <row r="1346" spans="1:10" x14ac:dyDescent="0.25">
      <c r="A1346"/>
      <c r="B1346"/>
      <c r="C1346"/>
      <c r="D1346"/>
      <c r="E1346"/>
      <c r="F1346"/>
      <c r="G1346"/>
      <c r="H1346"/>
      <c r="I1346"/>
      <c r="J1346"/>
    </row>
    <row r="1347" spans="1:10" x14ac:dyDescent="0.25">
      <c r="A1347"/>
      <c r="B1347"/>
      <c r="C1347"/>
      <c r="D1347"/>
      <c r="E1347"/>
      <c r="F1347"/>
      <c r="G1347"/>
      <c r="H1347"/>
      <c r="I1347"/>
      <c r="J1347"/>
    </row>
    <row r="1348" spans="1:10" x14ac:dyDescent="0.25">
      <c r="A1348"/>
      <c r="B1348"/>
      <c r="C1348"/>
      <c r="D1348"/>
      <c r="E1348"/>
      <c r="F1348"/>
      <c r="G1348"/>
      <c r="H1348"/>
      <c r="I1348"/>
      <c r="J1348"/>
    </row>
    <row r="1349" spans="1:10" x14ac:dyDescent="0.25">
      <c r="A1349"/>
      <c r="B1349"/>
      <c r="C1349"/>
      <c r="D1349"/>
      <c r="E1349"/>
      <c r="F1349"/>
      <c r="G1349"/>
      <c r="H1349"/>
      <c r="I1349"/>
      <c r="J1349"/>
    </row>
    <row r="1350" spans="1:10" x14ac:dyDescent="0.25">
      <c r="A1350"/>
      <c r="B1350"/>
      <c r="C1350"/>
      <c r="D1350"/>
      <c r="E1350"/>
      <c r="F1350"/>
      <c r="G1350"/>
      <c r="H1350"/>
      <c r="I1350"/>
      <c r="J1350"/>
    </row>
    <row r="1351" spans="1:10" x14ac:dyDescent="0.25">
      <c r="A1351"/>
      <c r="B1351"/>
      <c r="C1351"/>
      <c r="D1351"/>
      <c r="E1351"/>
      <c r="F1351"/>
      <c r="G1351"/>
      <c r="H1351"/>
      <c r="I1351"/>
      <c r="J1351"/>
    </row>
    <row r="1352" spans="1:10" x14ac:dyDescent="0.25">
      <c r="A1352"/>
      <c r="B1352"/>
      <c r="C1352"/>
      <c r="D1352"/>
      <c r="E1352"/>
      <c r="F1352"/>
      <c r="G1352"/>
      <c r="H1352"/>
      <c r="I1352"/>
      <c r="J1352"/>
    </row>
    <row r="1353" spans="1:10" x14ac:dyDescent="0.25">
      <c r="A1353"/>
      <c r="B1353"/>
      <c r="C1353"/>
      <c r="D1353"/>
      <c r="E1353"/>
      <c r="F1353"/>
      <c r="G1353"/>
      <c r="H1353"/>
      <c r="I1353"/>
      <c r="J1353"/>
    </row>
    <row r="1354" spans="1:10" x14ac:dyDescent="0.25">
      <c r="A1354"/>
      <c r="B1354"/>
      <c r="C1354"/>
      <c r="D1354"/>
      <c r="E1354"/>
      <c r="F1354"/>
      <c r="G1354"/>
      <c r="H1354"/>
      <c r="I1354"/>
      <c r="J1354"/>
    </row>
    <row r="1355" spans="1:10" x14ac:dyDescent="0.25">
      <c r="A1355"/>
      <c r="B1355"/>
      <c r="C1355"/>
      <c r="D1355"/>
      <c r="E1355"/>
      <c r="F1355"/>
      <c r="G1355"/>
      <c r="H1355"/>
      <c r="I1355"/>
      <c r="J1355"/>
    </row>
    <row r="1356" spans="1:10" x14ac:dyDescent="0.25">
      <c r="A1356"/>
      <c r="B1356"/>
      <c r="C1356"/>
      <c r="D1356"/>
      <c r="E1356"/>
      <c r="F1356"/>
      <c r="G1356"/>
      <c r="H1356"/>
      <c r="I1356"/>
      <c r="J1356"/>
    </row>
    <row r="1357" spans="1:10" x14ac:dyDescent="0.25">
      <c r="A1357"/>
      <c r="B1357"/>
      <c r="C1357"/>
      <c r="D1357"/>
      <c r="E1357"/>
      <c r="F1357"/>
      <c r="G1357"/>
      <c r="H1357"/>
      <c r="I1357"/>
      <c r="J1357"/>
    </row>
    <row r="1358" spans="1:10" x14ac:dyDescent="0.25">
      <c r="A1358"/>
      <c r="B1358"/>
      <c r="C1358"/>
      <c r="D1358"/>
      <c r="E1358"/>
      <c r="F1358"/>
      <c r="G1358"/>
      <c r="H1358"/>
      <c r="I1358"/>
      <c r="J1358"/>
    </row>
    <row r="1359" spans="1:10" x14ac:dyDescent="0.25">
      <c r="A1359"/>
      <c r="B1359"/>
      <c r="C1359"/>
      <c r="D1359"/>
      <c r="E1359"/>
      <c r="F1359"/>
      <c r="G1359"/>
      <c r="H1359"/>
      <c r="I1359"/>
      <c r="J1359"/>
    </row>
    <row r="1360" spans="1:10" x14ac:dyDescent="0.25">
      <c r="A1360"/>
      <c r="B1360"/>
      <c r="C1360"/>
      <c r="D1360"/>
      <c r="E1360"/>
      <c r="F1360"/>
      <c r="G1360"/>
      <c r="H1360"/>
      <c r="I1360"/>
      <c r="J1360"/>
    </row>
    <row r="1361" spans="1:10" x14ac:dyDescent="0.25">
      <c r="A1361"/>
      <c r="B1361"/>
      <c r="C1361"/>
      <c r="D1361"/>
      <c r="E1361"/>
      <c r="F1361"/>
      <c r="G1361"/>
      <c r="H1361"/>
      <c r="I1361"/>
      <c r="J1361"/>
    </row>
    <row r="1362" spans="1:10" x14ac:dyDescent="0.25">
      <c r="A1362"/>
      <c r="B1362"/>
      <c r="C1362"/>
      <c r="D1362"/>
      <c r="E1362"/>
      <c r="F1362"/>
      <c r="G1362"/>
      <c r="H1362"/>
      <c r="I1362"/>
      <c r="J1362"/>
    </row>
    <row r="1363" spans="1:10" x14ac:dyDescent="0.25">
      <c r="A1363"/>
      <c r="B1363"/>
      <c r="C1363"/>
      <c r="D1363"/>
      <c r="E1363"/>
      <c r="F1363"/>
      <c r="G1363"/>
      <c r="H1363"/>
      <c r="I1363"/>
      <c r="J1363"/>
    </row>
    <row r="1364" spans="1:10" x14ac:dyDescent="0.25">
      <c r="A1364"/>
      <c r="B1364"/>
      <c r="C1364"/>
      <c r="D1364"/>
      <c r="E1364"/>
      <c r="F1364"/>
      <c r="G1364"/>
      <c r="H1364"/>
      <c r="I1364"/>
      <c r="J1364"/>
    </row>
    <row r="1365" spans="1:10" x14ac:dyDescent="0.25">
      <c r="A1365"/>
      <c r="B1365"/>
      <c r="C1365"/>
      <c r="D1365"/>
      <c r="E1365"/>
      <c r="F1365"/>
      <c r="G1365"/>
      <c r="H1365"/>
      <c r="I1365"/>
      <c r="J1365"/>
    </row>
    <row r="1366" spans="1:10" x14ac:dyDescent="0.25">
      <c r="A1366"/>
      <c r="B1366"/>
      <c r="C1366"/>
      <c r="D1366"/>
      <c r="E1366"/>
      <c r="F1366"/>
      <c r="G1366"/>
      <c r="H1366"/>
      <c r="I1366"/>
      <c r="J1366"/>
    </row>
    <row r="1367" spans="1:10" x14ac:dyDescent="0.25">
      <c r="A1367"/>
      <c r="B1367"/>
      <c r="C1367"/>
      <c r="D1367"/>
      <c r="E1367"/>
      <c r="F1367"/>
      <c r="G1367"/>
      <c r="H1367"/>
      <c r="I1367"/>
      <c r="J1367"/>
    </row>
    <row r="1368" spans="1:10" x14ac:dyDescent="0.25">
      <c r="A1368"/>
      <c r="B1368"/>
      <c r="C1368"/>
      <c r="D1368"/>
      <c r="E1368"/>
      <c r="F1368"/>
      <c r="G1368"/>
      <c r="H1368"/>
      <c r="I1368"/>
      <c r="J1368"/>
    </row>
    <row r="1369" spans="1:10" x14ac:dyDescent="0.25">
      <c r="A1369"/>
      <c r="B1369"/>
      <c r="C1369"/>
      <c r="D1369"/>
      <c r="E1369"/>
      <c r="F1369"/>
      <c r="G1369"/>
      <c r="H1369"/>
      <c r="I1369"/>
      <c r="J1369"/>
    </row>
    <row r="1370" spans="1:10" x14ac:dyDescent="0.25">
      <c r="A1370"/>
      <c r="B1370"/>
      <c r="C1370"/>
      <c r="D1370"/>
      <c r="E1370"/>
      <c r="F1370"/>
      <c r="G1370"/>
      <c r="H1370"/>
      <c r="I1370"/>
      <c r="J1370"/>
    </row>
    <row r="1371" spans="1:10" x14ac:dyDescent="0.25">
      <c r="A1371"/>
      <c r="B1371"/>
      <c r="C1371"/>
      <c r="D1371"/>
      <c r="E1371"/>
      <c r="F1371"/>
      <c r="G1371"/>
      <c r="H1371"/>
      <c r="I1371"/>
      <c r="J1371"/>
    </row>
    <row r="1372" spans="1:10" x14ac:dyDescent="0.25">
      <c r="A1372"/>
      <c r="B1372"/>
      <c r="C1372"/>
      <c r="D1372"/>
      <c r="E1372"/>
      <c r="F1372"/>
      <c r="G1372"/>
      <c r="H1372"/>
      <c r="I1372"/>
      <c r="J1372"/>
    </row>
    <row r="1373" spans="1:10" x14ac:dyDescent="0.25">
      <c r="A1373"/>
      <c r="B1373"/>
      <c r="C1373"/>
      <c r="D1373"/>
      <c r="E1373"/>
      <c r="F1373"/>
      <c r="G1373"/>
      <c r="H1373"/>
      <c r="I1373"/>
      <c r="J1373"/>
    </row>
    <row r="1374" spans="1:10" x14ac:dyDescent="0.25">
      <c r="A1374"/>
      <c r="B1374"/>
      <c r="C1374"/>
      <c r="D1374"/>
      <c r="E1374"/>
      <c r="F1374"/>
      <c r="G1374"/>
      <c r="H1374"/>
      <c r="I1374"/>
      <c r="J1374"/>
    </row>
    <row r="1375" spans="1:10" x14ac:dyDescent="0.25">
      <c r="A1375"/>
      <c r="B1375"/>
      <c r="C1375"/>
      <c r="D1375"/>
      <c r="E1375"/>
      <c r="F1375"/>
      <c r="G1375"/>
      <c r="H1375"/>
      <c r="I1375"/>
      <c r="J1375"/>
    </row>
    <row r="1376" spans="1:10" x14ac:dyDescent="0.25">
      <c r="A1376"/>
      <c r="B1376"/>
      <c r="C1376"/>
      <c r="D1376"/>
      <c r="E1376"/>
      <c r="F1376"/>
      <c r="G1376"/>
      <c r="H1376"/>
      <c r="I1376"/>
      <c r="J1376"/>
    </row>
    <row r="1377" spans="1:10" x14ac:dyDescent="0.25">
      <c r="A1377"/>
      <c r="B1377"/>
      <c r="C1377"/>
      <c r="D1377"/>
      <c r="E1377"/>
      <c r="F1377"/>
      <c r="G1377"/>
      <c r="H1377"/>
      <c r="I1377"/>
      <c r="J1377"/>
    </row>
    <row r="1378" spans="1:10" x14ac:dyDescent="0.25">
      <c r="A1378"/>
      <c r="B1378"/>
      <c r="C1378"/>
      <c r="D1378"/>
      <c r="E1378"/>
      <c r="F1378"/>
      <c r="G1378"/>
      <c r="H1378"/>
      <c r="I1378"/>
      <c r="J1378"/>
    </row>
    <row r="1379" spans="1:10" x14ac:dyDescent="0.25">
      <c r="A1379"/>
      <c r="B1379"/>
      <c r="C1379"/>
      <c r="D1379"/>
      <c r="E1379"/>
      <c r="F1379"/>
      <c r="G1379"/>
      <c r="H1379"/>
      <c r="I1379"/>
      <c r="J1379"/>
    </row>
    <row r="1380" spans="1:10" x14ac:dyDescent="0.25">
      <c r="A1380"/>
      <c r="B1380"/>
      <c r="C1380"/>
      <c r="D1380"/>
      <c r="E1380"/>
      <c r="F1380"/>
      <c r="G1380"/>
      <c r="H1380"/>
      <c r="I1380"/>
      <c r="J1380"/>
    </row>
    <row r="1381" spans="1:10" x14ac:dyDescent="0.25">
      <c r="A1381"/>
      <c r="B1381"/>
      <c r="C1381"/>
      <c r="D1381"/>
      <c r="E1381"/>
      <c r="F1381"/>
      <c r="G1381"/>
      <c r="H1381"/>
      <c r="I1381"/>
      <c r="J1381"/>
    </row>
    <row r="1382" spans="1:10" x14ac:dyDescent="0.25">
      <c r="A1382"/>
      <c r="B1382"/>
      <c r="C1382"/>
      <c r="D1382"/>
      <c r="E1382"/>
      <c r="F1382"/>
      <c r="G1382"/>
      <c r="H1382"/>
      <c r="I1382"/>
      <c r="J1382"/>
    </row>
    <row r="1383" spans="1:10" x14ac:dyDescent="0.25">
      <c r="A1383"/>
      <c r="B1383"/>
      <c r="C1383"/>
      <c r="D1383"/>
      <c r="E1383"/>
      <c r="F1383"/>
      <c r="G1383"/>
      <c r="H1383"/>
      <c r="I1383"/>
      <c r="J1383"/>
    </row>
    <row r="1384" spans="1:10" x14ac:dyDescent="0.25">
      <c r="A1384"/>
      <c r="B1384"/>
      <c r="C1384"/>
      <c r="D1384"/>
      <c r="E1384"/>
      <c r="F1384"/>
      <c r="G1384"/>
      <c r="H1384"/>
      <c r="I1384"/>
      <c r="J1384"/>
    </row>
    <row r="1385" spans="1:10" x14ac:dyDescent="0.25">
      <c r="A1385"/>
      <c r="B1385"/>
      <c r="C1385"/>
      <c r="D1385"/>
      <c r="E1385"/>
      <c r="F1385"/>
      <c r="G1385"/>
      <c r="H1385"/>
      <c r="I1385"/>
      <c r="J1385"/>
    </row>
    <row r="1386" spans="1:10" x14ac:dyDescent="0.25">
      <c r="A1386"/>
      <c r="B1386"/>
      <c r="C1386"/>
      <c r="D1386"/>
      <c r="E1386"/>
      <c r="F1386"/>
      <c r="G1386"/>
      <c r="H1386"/>
      <c r="I1386"/>
      <c r="J1386"/>
    </row>
    <row r="1387" spans="1:10" x14ac:dyDescent="0.25">
      <c r="A1387"/>
      <c r="B1387"/>
      <c r="C1387"/>
      <c r="D1387"/>
      <c r="E1387"/>
      <c r="F1387"/>
      <c r="G1387"/>
      <c r="H1387"/>
      <c r="I1387"/>
      <c r="J1387"/>
    </row>
    <row r="1388" spans="1:10" x14ac:dyDescent="0.25">
      <c r="A1388"/>
      <c r="B1388"/>
      <c r="C1388"/>
      <c r="D1388"/>
      <c r="E1388"/>
      <c r="F1388"/>
      <c r="G1388"/>
      <c r="H1388"/>
      <c r="I1388"/>
      <c r="J1388"/>
    </row>
    <row r="1389" spans="1:10" x14ac:dyDescent="0.25">
      <c r="A1389"/>
      <c r="B1389"/>
      <c r="C1389"/>
      <c r="D1389"/>
      <c r="E1389"/>
      <c r="F1389"/>
      <c r="G1389"/>
      <c r="H1389"/>
      <c r="I1389"/>
      <c r="J1389"/>
    </row>
    <row r="1390" spans="1:10" x14ac:dyDescent="0.25">
      <c r="A1390"/>
      <c r="B1390"/>
      <c r="C1390"/>
      <c r="D1390"/>
      <c r="E1390"/>
      <c r="F1390"/>
      <c r="G1390"/>
      <c r="H1390"/>
      <c r="I1390"/>
      <c r="J1390"/>
    </row>
    <row r="1391" spans="1:10" x14ac:dyDescent="0.25">
      <c r="A1391"/>
      <c r="B1391"/>
      <c r="C1391"/>
      <c r="D1391"/>
      <c r="E1391"/>
      <c r="F1391"/>
      <c r="G1391"/>
      <c r="H1391"/>
      <c r="I1391"/>
      <c r="J1391"/>
    </row>
    <row r="1392" spans="1:10" x14ac:dyDescent="0.25">
      <c r="A1392"/>
      <c r="B1392"/>
      <c r="C1392"/>
      <c r="D1392"/>
      <c r="E1392"/>
      <c r="F1392"/>
      <c r="G1392"/>
      <c r="H1392"/>
      <c r="I1392"/>
      <c r="J1392"/>
    </row>
    <row r="1393" spans="1:10" x14ac:dyDescent="0.25">
      <c r="A1393"/>
      <c r="B1393"/>
      <c r="C1393"/>
      <c r="D1393"/>
      <c r="E1393"/>
      <c r="F1393"/>
      <c r="G1393"/>
      <c r="H1393"/>
      <c r="I1393"/>
      <c r="J1393"/>
    </row>
    <row r="1394" spans="1:10" x14ac:dyDescent="0.25">
      <c r="A1394"/>
      <c r="B1394"/>
      <c r="C1394"/>
      <c r="D1394"/>
      <c r="E1394"/>
      <c r="F1394"/>
      <c r="G1394"/>
      <c r="H1394"/>
      <c r="I1394"/>
      <c r="J1394"/>
    </row>
    <row r="1395" spans="1:10" x14ac:dyDescent="0.25">
      <c r="A1395"/>
      <c r="B1395"/>
      <c r="C1395"/>
      <c r="D1395"/>
      <c r="E1395"/>
      <c r="F1395"/>
      <c r="G1395"/>
      <c r="H1395"/>
      <c r="I1395"/>
      <c r="J1395"/>
    </row>
    <row r="1396" spans="1:10" x14ac:dyDescent="0.25">
      <c r="A1396"/>
      <c r="B1396"/>
      <c r="C1396"/>
      <c r="D1396"/>
      <c r="E1396"/>
      <c r="F1396"/>
      <c r="G1396"/>
      <c r="H1396"/>
      <c r="I1396"/>
      <c r="J1396"/>
    </row>
    <row r="1397" spans="1:10" x14ac:dyDescent="0.25">
      <c r="A1397"/>
      <c r="B1397"/>
      <c r="C1397"/>
      <c r="D1397"/>
      <c r="E1397"/>
      <c r="F1397"/>
      <c r="G1397"/>
      <c r="H1397"/>
      <c r="I1397"/>
      <c r="J1397"/>
    </row>
    <row r="1398" spans="1:10" x14ac:dyDescent="0.25">
      <c r="A1398"/>
      <c r="B1398"/>
      <c r="C1398"/>
      <c r="D1398"/>
      <c r="E1398"/>
      <c r="F1398"/>
      <c r="G1398"/>
      <c r="H1398"/>
      <c r="I1398"/>
      <c r="J1398"/>
    </row>
    <row r="1399" spans="1:10" x14ac:dyDescent="0.25">
      <c r="A1399"/>
      <c r="B1399"/>
      <c r="C1399"/>
      <c r="D1399"/>
      <c r="E1399"/>
      <c r="F1399"/>
      <c r="G1399"/>
      <c r="H1399"/>
      <c r="I1399"/>
      <c r="J1399"/>
    </row>
    <row r="1400" spans="1:10" x14ac:dyDescent="0.25">
      <c r="A1400"/>
      <c r="B1400"/>
      <c r="C1400"/>
      <c r="D1400"/>
      <c r="E1400"/>
      <c r="F1400"/>
      <c r="G1400"/>
      <c r="H1400"/>
      <c r="I1400"/>
      <c r="J1400"/>
    </row>
    <row r="1401" spans="1:10" x14ac:dyDescent="0.25">
      <c r="A1401"/>
      <c r="B1401"/>
      <c r="C1401"/>
      <c r="D1401"/>
      <c r="E1401"/>
      <c r="F1401"/>
      <c r="G1401"/>
      <c r="H1401"/>
      <c r="I1401"/>
      <c r="J1401"/>
    </row>
    <row r="1402" spans="1:10" x14ac:dyDescent="0.25">
      <c r="A1402"/>
      <c r="B1402"/>
      <c r="C1402"/>
      <c r="D1402"/>
      <c r="E1402"/>
      <c r="F1402"/>
      <c r="G1402"/>
      <c r="H1402"/>
      <c r="I1402"/>
      <c r="J1402"/>
    </row>
    <row r="1403" spans="1:10" x14ac:dyDescent="0.25">
      <c r="A1403"/>
      <c r="B1403"/>
      <c r="C1403"/>
      <c r="D1403"/>
      <c r="E1403"/>
      <c r="F1403"/>
      <c r="G1403"/>
      <c r="H1403"/>
      <c r="I1403"/>
      <c r="J1403"/>
    </row>
    <row r="1404" spans="1:10" x14ac:dyDescent="0.25">
      <c r="A1404"/>
      <c r="B1404"/>
      <c r="C1404"/>
      <c r="D1404"/>
      <c r="E1404"/>
      <c r="F1404"/>
      <c r="G1404"/>
      <c r="H1404"/>
      <c r="I1404"/>
      <c r="J1404"/>
    </row>
    <row r="1405" spans="1:10" x14ac:dyDescent="0.25">
      <c r="A1405"/>
      <c r="B1405"/>
      <c r="C1405"/>
      <c r="D1405"/>
      <c r="E1405"/>
      <c r="F1405"/>
      <c r="G1405"/>
      <c r="H1405"/>
      <c r="I1405"/>
      <c r="J1405"/>
    </row>
    <row r="1406" spans="1:10" x14ac:dyDescent="0.25">
      <c r="A1406"/>
      <c r="B1406"/>
      <c r="C1406"/>
      <c r="D1406"/>
      <c r="E1406"/>
      <c r="F1406"/>
      <c r="G1406"/>
      <c r="H1406"/>
      <c r="I1406"/>
      <c r="J1406"/>
    </row>
    <row r="1407" spans="1:10" x14ac:dyDescent="0.25">
      <c r="A1407"/>
      <c r="B1407"/>
      <c r="C1407"/>
      <c r="D1407"/>
      <c r="E1407"/>
      <c r="F1407"/>
      <c r="G1407"/>
      <c r="H1407"/>
      <c r="I1407"/>
      <c r="J1407"/>
    </row>
    <row r="1408" spans="1:10" x14ac:dyDescent="0.25">
      <c r="A1408"/>
      <c r="B1408"/>
      <c r="C1408"/>
      <c r="D1408"/>
      <c r="E1408"/>
      <c r="F1408"/>
      <c r="G1408"/>
      <c r="H1408"/>
      <c r="I1408"/>
      <c r="J1408"/>
    </row>
    <row r="1409" spans="1:10" x14ac:dyDescent="0.25">
      <c r="A1409"/>
      <c r="B1409"/>
      <c r="C1409"/>
      <c r="D1409"/>
      <c r="E1409"/>
      <c r="F1409"/>
      <c r="G1409"/>
      <c r="H1409"/>
      <c r="I1409"/>
      <c r="J1409"/>
    </row>
    <row r="1410" spans="1:10" x14ac:dyDescent="0.25">
      <c r="A1410"/>
      <c r="B1410"/>
      <c r="C1410"/>
      <c r="D1410"/>
      <c r="E1410"/>
      <c r="F1410"/>
      <c r="G1410"/>
      <c r="H1410"/>
      <c r="I1410"/>
      <c r="J1410"/>
    </row>
    <row r="1411" spans="1:10" x14ac:dyDescent="0.25">
      <c r="A1411"/>
      <c r="B1411"/>
      <c r="C1411"/>
      <c r="D1411"/>
      <c r="E1411"/>
      <c r="F1411"/>
      <c r="G1411"/>
      <c r="H1411"/>
      <c r="I1411"/>
      <c r="J1411"/>
    </row>
    <row r="1412" spans="1:10" x14ac:dyDescent="0.25">
      <c r="A1412"/>
      <c r="B1412"/>
      <c r="C1412"/>
      <c r="D1412"/>
      <c r="E1412"/>
      <c r="F1412"/>
      <c r="G1412"/>
      <c r="H1412"/>
      <c r="I1412"/>
      <c r="J1412"/>
    </row>
    <row r="1413" spans="1:10" x14ac:dyDescent="0.25">
      <c r="A1413"/>
      <c r="B1413"/>
      <c r="C1413"/>
      <c r="D1413"/>
      <c r="E1413"/>
      <c r="F1413"/>
      <c r="G1413"/>
      <c r="H1413"/>
      <c r="I1413"/>
      <c r="J1413"/>
    </row>
    <row r="1414" spans="1:10" x14ac:dyDescent="0.25">
      <c r="A1414"/>
      <c r="B1414"/>
      <c r="C1414"/>
      <c r="D1414"/>
      <c r="E1414"/>
      <c r="F1414"/>
      <c r="G1414"/>
      <c r="H1414"/>
      <c r="I1414"/>
      <c r="J1414"/>
    </row>
    <row r="1415" spans="1:10" x14ac:dyDescent="0.25">
      <c r="A1415"/>
      <c r="B1415"/>
      <c r="C1415"/>
      <c r="D1415"/>
      <c r="E1415"/>
      <c r="F1415"/>
      <c r="G1415"/>
      <c r="H1415"/>
      <c r="I1415"/>
      <c r="J1415"/>
    </row>
    <row r="1416" spans="1:10" x14ac:dyDescent="0.25">
      <c r="A1416"/>
      <c r="B1416"/>
      <c r="C1416"/>
      <c r="D1416"/>
      <c r="E1416"/>
      <c r="F1416"/>
      <c r="G1416"/>
      <c r="H1416"/>
      <c r="I1416"/>
      <c r="J1416"/>
    </row>
    <row r="1417" spans="1:10" x14ac:dyDescent="0.25">
      <c r="A1417"/>
      <c r="B1417"/>
      <c r="C1417"/>
      <c r="D1417"/>
      <c r="E1417"/>
      <c r="F1417"/>
      <c r="G1417"/>
      <c r="H1417"/>
      <c r="I1417"/>
      <c r="J1417"/>
    </row>
    <row r="1418" spans="1:10" x14ac:dyDescent="0.25">
      <c r="A1418"/>
      <c r="B1418"/>
      <c r="C1418"/>
      <c r="D1418"/>
      <c r="E1418"/>
      <c r="F1418"/>
      <c r="G1418"/>
      <c r="H1418"/>
      <c r="I1418"/>
      <c r="J1418"/>
    </row>
    <row r="1419" spans="1:10" x14ac:dyDescent="0.25">
      <c r="A1419"/>
      <c r="B1419"/>
      <c r="C1419"/>
      <c r="D1419"/>
      <c r="E1419"/>
      <c r="F1419"/>
      <c r="G1419"/>
      <c r="H1419"/>
      <c r="I1419"/>
      <c r="J1419"/>
    </row>
    <row r="1420" spans="1:10" x14ac:dyDescent="0.25">
      <c r="A1420"/>
      <c r="B1420"/>
      <c r="C1420"/>
      <c r="D1420"/>
      <c r="E1420"/>
      <c r="F1420"/>
      <c r="G1420"/>
      <c r="H1420"/>
      <c r="I1420"/>
      <c r="J1420"/>
    </row>
    <row r="1421" spans="1:10" x14ac:dyDescent="0.25">
      <c r="A1421"/>
      <c r="B1421"/>
      <c r="C1421"/>
      <c r="D1421"/>
      <c r="E1421"/>
      <c r="F1421"/>
      <c r="G1421"/>
      <c r="H1421"/>
      <c r="I1421"/>
      <c r="J1421"/>
    </row>
    <row r="1422" spans="1:10" x14ac:dyDescent="0.25">
      <c r="A1422"/>
      <c r="B1422"/>
      <c r="C1422"/>
      <c r="D1422"/>
      <c r="E1422"/>
      <c r="F1422"/>
      <c r="G1422"/>
      <c r="H1422"/>
      <c r="I1422"/>
      <c r="J1422"/>
    </row>
    <row r="1423" spans="1:10" x14ac:dyDescent="0.25">
      <c r="A1423"/>
      <c r="B1423"/>
      <c r="C1423"/>
      <c r="D1423"/>
      <c r="E1423"/>
      <c r="F1423"/>
      <c r="G1423"/>
      <c r="H1423"/>
      <c r="I1423"/>
      <c r="J1423"/>
    </row>
    <row r="1424" spans="1:10" x14ac:dyDescent="0.25">
      <c r="A1424"/>
      <c r="B1424"/>
      <c r="C1424"/>
      <c r="D1424"/>
      <c r="E1424"/>
      <c r="F1424"/>
      <c r="G1424"/>
      <c r="H1424"/>
      <c r="I1424"/>
      <c r="J1424"/>
    </row>
    <row r="1425" spans="1:10" x14ac:dyDescent="0.25">
      <c r="A1425"/>
      <c r="B1425"/>
      <c r="C1425"/>
      <c r="D1425"/>
      <c r="E1425"/>
      <c r="F1425"/>
      <c r="G1425"/>
      <c r="H1425"/>
      <c r="I1425"/>
      <c r="J1425"/>
    </row>
    <row r="1426" spans="1:10" x14ac:dyDescent="0.25">
      <c r="A1426"/>
      <c r="B1426"/>
      <c r="C1426"/>
      <c r="D1426"/>
      <c r="E1426"/>
      <c r="F1426"/>
      <c r="G1426"/>
      <c r="H1426"/>
      <c r="I1426"/>
      <c r="J1426"/>
    </row>
    <row r="1427" spans="1:10" x14ac:dyDescent="0.25">
      <c r="A1427"/>
      <c r="B1427"/>
      <c r="C1427"/>
      <c r="D1427"/>
      <c r="E1427"/>
      <c r="F1427"/>
      <c r="G1427"/>
      <c r="H1427"/>
      <c r="I1427"/>
      <c r="J1427"/>
    </row>
    <row r="1428" spans="1:10" x14ac:dyDescent="0.25">
      <c r="A1428"/>
      <c r="B1428"/>
      <c r="C1428"/>
      <c r="D1428"/>
      <c r="E1428"/>
      <c r="F1428"/>
      <c r="G1428"/>
      <c r="H1428"/>
      <c r="I1428"/>
      <c r="J1428"/>
    </row>
    <row r="1429" spans="1:10" x14ac:dyDescent="0.25">
      <c r="A1429"/>
      <c r="B1429"/>
      <c r="C1429"/>
      <c r="D1429"/>
      <c r="E1429"/>
      <c r="F1429"/>
      <c r="G1429"/>
      <c r="H1429"/>
      <c r="I1429"/>
      <c r="J1429"/>
    </row>
    <row r="1430" spans="1:10" x14ac:dyDescent="0.25">
      <c r="A1430"/>
      <c r="B1430"/>
      <c r="C1430"/>
      <c r="D1430"/>
      <c r="E1430"/>
      <c r="F1430"/>
      <c r="G1430"/>
      <c r="H1430"/>
      <c r="I1430"/>
      <c r="J1430"/>
    </row>
    <row r="1431" spans="1:10" x14ac:dyDescent="0.25">
      <c r="A1431"/>
      <c r="B1431"/>
      <c r="C1431"/>
      <c r="D1431"/>
      <c r="E1431"/>
      <c r="F1431"/>
      <c r="G1431"/>
      <c r="H1431"/>
      <c r="I1431"/>
      <c r="J1431"/>
    </row>
    <row r="1432" spans="1:10" x14ac:dyDescent="0.25">
      <c r="A1432"/>
      <c r="B1432"/>
      <c r="C1432"/>
      <c r="D1432"/>
      <c r="E1432"/>
      <c r="F1432"/>
      <c r="G1432"/>
      <c r="H1432"/>
      <c r="I1432"/>
      <c r="J1432"/>
    </row>
    <row r="1433" spans="1:10" x14ac:dyDescent="0.25">
      <c r="A1433"/>
      <c r="B1433"/>
      <c r="C1433"/>
      <c r="D1433"/>
      <c r="E1433"/>
      <c r="F1433"/>
      <c r="G1433"/>
      <c r="H1433"/>
      <c r="I1433"/>
      <c r="J1433"/>
    </row>
    <row r="1434" spans="1:10" x14ac:dyDescent="0.25">
      <c r="A1434"/>
      <c r="B1434"/>
      <c r="C1434"/>
      <c r="D1434"/>
      <c r="E1434"/>
      <c r="F1434"/>
      <c r="G1434"/>
      <c r="H1434"/>
      <c r="I1434"/>
      <c r="J1434"/>
    </row>
    <row r="1435" spans="1:10" x14ac:dyDescent="0.25">
      <c r="A1435"/>
      <c r="B1435"/>
      <c r="C1435"/>
      <c r="D1435"/>
      <c r="E1435"/>
      <c r="F1435"/>
      <c r="G1435"/>
      <c r="H1435"/>
      <c r="I1435"/>
      <c r="J1435"/>
    </row>
    <row r="1436" spans="1:10" x14ac:dyDescent="0.25">
      <c r="A1436"/>
      <c r="B1436"/>
      <c r="C1436"/>
      <c r="D1436"/>
      <c r="E1436"/>
      <c r="F1436"/>
      <c r="G1436"/>
      <c r="H1436"/>
      <c r="I1436"/>
      <c r="J1436"/>
    </row>
    <row r="1437" spans="1:10" x14ac:dyDescent="0.25">
      <c r="A1437"/>
      <c r="B1437"/>
      <c r="C1437"/>
      <c r="D1437"/>
      <c r="E1437"/>
      <c r="F1437"/>
      <c r="G1437"/>
      <c r="H1437"/>
      <c r="I1437"/>
      <c r="J1437"/>
    </row>
    <row r="1438" spans="1:10" x14ac:dyDescent="0.25">
      <c r="A1438"/>
      <c r="B1438"/>
      <c r="C1438"/>
      <c r="D1438"/>
      <c r="E1438"/>
      <c r="F1438"/>
      <c r="G1438"/>
      <c r="H1438"/>
      <c r="I1438"/>
      <c r="J1438"/>
    </row>
    <row r="1439" spans="1:10" x14ac:dyDescent="0.25">
      <c r="A1439"/>
      <c r="B1439"/>
      <c r="C1439"/>
      <c r="D1439"/>
      <c r="E1439"/>
      <c r="F1439"/>
      <c r="G1439"/>
      <c r="H1439"/>
      <c r="I1439"/>
      <c r="J1439"/>
    </row>
    <row r="1440" spans="1:10" x14ac:dyDescent="0.25">
      <c r="A1440"/>
      <c r="B1440"/>
      <c r="C1440"/>
      <c r="D1440"/>
      <c r="E1440"/>
      <c r="F1440"/>
      <c r="G1440"/>
      <c r="H1440"/>
      <c r="I1440"/>
      <c r="J1440"/>
    </row>
    <row r="1441" spans="1:10" x14ac:dyDescent="0.25">
      <c r="A1441"/>
      <c r="B1441"/>
      <c r="C1441"/>
      <c r="D1441"/>
      <c r="E1441"/>
      <c r="F1441"/>
      <c r="G1441"/>
      <c r="H1441"/>
      <c r="I1441"/>
      <c r="J1441"/>
    </row>
    <row r="1442" spans="1:10" x14ac:dyDescent="0.25">
      <c r="A1442"/>
      <c r="B1442"/>
      <c r="C1442"/>
      <c r="D1442"/>
      <c r="E1442"/>
      <c r="F1442"/>
      <c r="G1442"/>
      <c r="H1442"/>
      <c r="I1442"/>
      <c r="J1442"/>
    </row>
    <row r="1443" spans="1:10" x14ac:dyDescent="0.25">
      <c r="A1443"/>
      <c r="B1443"/>
      <c r="C1443"/>
      <c r="D1443"/>
      <c r="E1443"/>
      <c r="F1443"/>
      <c r="G1443"/>
      <c r="H1443"/>
      <c r="I1443"/>
      <c r="J1443"/>
    </row>
    <row r="1444" spans="1:10" x14ac:dyDescent="0.25">
      <c r="A1444"/>
      <c r="B1444"/>
      <c r="C1444"/>
      <c r="D1444"/>
      <c r="E1444"/>
      <c r="F1444"/>
      <c r="G1444"/>
      <c r="H1444"/>
      <c r="I1444"/>
      <c r="J1444"/>
    </row>
    <row r="1445" spans="1:10" x14ac:dyDescent="0.25">
      <c r="A1445"/>
      <c r="B1445"/>
      <c r="C1445"/>
      <c r="D1445"/>
      <c r="E1445"/>
      <c r="F1445"/>
      <c r="G1445"/>
      <c r="H1445"/>
      <c r="I1445"/>
      <c r="J1445"/>
    </row>
    <row r="1446" spans="1:10" x14ac:dyDescent="0.25">
      <c r="A1446"/>
      <c r="B1446"/>
      <c r="C1446"/>
      <c r="D1446"/>
      <c r="E1446"/>
      <c r="F1446"/>
      <c r="G1446"/>
      <c r="H1446"/>
      <c r="I1446"/>
      <c r="J1446"/>
    </row>
    <row r="1447" spans="1:10" x14ac:dyDescent="0.25">
      <c r="A1447"/>
      <c r="B1447"/>
      <c r="C1447"/>
      <c r="D1447"/>
      <c r="E1447"/>
      <c r="F1447"/>
      <c r="G1447"/>
      <c r="H1447"/>
      <c r="I1447"/>
      <c r="J1447"/>
    </row>
    <row r="1448" spans="1:10" x14ac:dyDescent="0.25">
      <c r="A1448"/>
      <c r="B1448"/>
      <c r="C1448"/>
      <c r="D1448"/>
      <c r="E1448"/>
      <c r="F1448"/>
      <c r="G1448"/>
      <c r="H1448"/>
      <c r="I1448"/>
      <c r="J1448"/>
    </row>
    <row r="1449" spans="1:10" x14ac:dyDescent="0.25">
      <c r="A1449"/>
      <c r="B1449"/>
      <c r="C1449"/>
      <c r="D1449"/>
      <c r="E1449"/>
      <c r="F1449"/>
      <c r="G1449"/>
      <c r="H1449"/>
      <c r="I1449"/>
      <c r="J1449"/>
    </row>
    <row r="1450" spans="1:10" x14ac:dyDescent="0.25">
      <c r="A1450"/>
      <c r="B1450"/>
      <c r="C1450"/>
      <c r="D1450"/>
      <c r="E1450"/>
      <c r="F1450"/>
      <c r="G1450"/>
      <c r="H1450"/>
      <c r="I1450"/>
      <c r="J1450"/>
    </row>
    <row r="1451" spans="1:10" x14ac:dyDescent="0.25">
      <c r="A1451"/>
      <c r="B1451"/>
      <c r="C1451"/>
      <c r="D1451"/>
      <c r="E1451"/>
      <c r="F1451"/>
      <c r="G1451"/>
      <c r="H1451"/>
      <c r="I1451"/>
      <c r="J1451"/>
    </row>
    <row r="1452" spans="1:10" x14ac:dyDescent="0.25">
      <c r="A1452"/>
      <c r="B1452"/>
      <c r="C1452"/>
      <c r="D1452"/>
      <c r="E1452"/>
      <c r="F1452"/>
      <c r="G1452"/>
      <c r="H1452"/>
      <c r="I1452"/>
      <c r="J1452"/>
    </row>
    <row r="1453" spans="1:10" x14ac:dyDescent="0.25">
      <c r="A1453"/>
      <c r="B1453"/>
      <c r="C1453"/>
      <c r="D1453"/>
      <c r="E1453"/>
      <c r="F1453"/>
      <c r="G1453"/>
      <c r="H1453"/>
      <c r="I1453"/>
      <c r="J1453"/>
    </row>
    <row r="1454" spans="1:10" x14ac:dyDescent="0.25">
      <c r="A1454"/>
      <c r="B1454"/>
      <c r="C1454"/>
      <c r="D1454"/>
      <c r="E1454"/>
      <c r="F1454"/>
      <c r="G1454"/>
      <c r="H1454"/>
      <c r="I1454"/>
      <c r="J1454"/>
    </row>
    <row r="1455" spans="1:10" x14ac:dyDescent="0.25">
      <c r="A1455"/>
      <c r="B1455"/>
      <c r="C1455"/>
      <c r="D1455"/>
      <c r="E1455"/>
      <c r="F1455"/>
      <c r="G1455"/>
      <c r="H1455"/>
      <c r="I1455"/>
      <c r="J1455"/>
    </row>
    <row r="1456" spans="1:10" x14ac:dyDescent="0.25">
      <c r="A1456"/>
      <c r="B1456"/>
      <c r="C1456"/>
      <c r="D1456"/>
      <c r="E1456"/>
      <c r="F1456"/>
      <c r="G1456"/>
      <c r="H1456"/>
      <c r="I1456"/>
      <c r="J1456"/>
    </row>
    <row r="1457" spans="1:10" x14ac:dyDescent="0.25">
      <c r="A1457"/>
      <c r="B1457"/>
      <c r="C1457"/>
      <c r="D1457"/>
      <c r="E1457"/>
      <c r="F1457"/>
      <c r="G1457"/>
      <c r="H1457"/>
      <c r="I1457"/>
      <c r="J1457"/>
    </row>
    <row r="1458" spans="1:10" x14ac:dyDescent="0.25">
      <c r="A1458"/>
      <c r="B1458"/>
      <c r="C1458"/>
      <c r="D1458"/>
      <c r="E1458"/>
      <c r="F1458"/>
      <c r="G1458"/>
      <c r="H1458"/>
      <c r="I1458"/>
      <c r="J1458"/>
    </row>
    <row r="1459" spans="1:10" x14ac:dyDescent="0.25">
      <c r="A1459"/>
      <c r="B1459"/>
      <c r="C1459"/>
      <c r="D1459"/>
      <c r="E1459"/>
      <c r="F1459"/>
      <c r="G1459"/>
      <c r="H1459"/>
      <c r="I1459"/>
      <c r="J1459"/>
    </row>
    <row r="1460" spans="1:10" x14ac:dyDescent="0.25">
      <c r="A1460"/>
      <c r="B1460"/>
      <c r="C1460"/>
      <c r="D1460"/>
      <c r="E1460"/>
      <c r="F1460"/>
      <c r="G1460"/>
      <c r="H1460"/>
      <c r="I1460"/>
      <c r="J1460"/>
    </row>
    <row r="1461" spans="1:10" x14ac:dyDescent="0.25">
      <c r="A1461"/>
      <c r="B1461"/>
      <c r="C1461"/>
      <c r="D1461"/>
      <c r="E1461"/>
      <c r="F1461"/>
      <c r="G1461"/>
      <c r="H1461"/>
      <c r="I1461"/>
      <c r="J1461"/>
    </row>
    <row r="1462" spans="1:10" x14ac:dyDescent="0.25">
      <c r="A1462"/>
      <c r="B1462"/>
      <c r="C1462"/>
      <c r="D1462"/>
      <c r="E1462"/>
      <c r="F1462"/>
      <c r="G1462"/>
      <c r="H1462"/>
      <c r="I1462"/>
      <c r="J1462"/>
    </row>
    <row r="1463" spans="1:10" x14ac:dyDescent="0.25">
      <c r="A1463"/>
      <c r="B1463"/>
      <c r="C1463"/>
      <c r="D1463"/>
      <c r="E1463"/>
      <c r="F1463"/>
      <c r="G1463"/>
      <c r="H1463"/>
      <c r="I1463"/>
      <c r="J1463"/>
    </row>
    <row r="1464" spans="1:10" x14ac:dyDescent="0.25">
      <c r="A1464"/>
      <c r="B1464"/>
      <c r="C1464"/>
      <c r="D1464"/>
      <c r="E1464"/>
      <c r="F1464"/>
      <c r="G1464"/>
      <c r="H1464"/>
      <c r="I1464"/>
      <c r="J1464"/>
    </row>
    <row r="1465" spans="1:10" x14ac:dyDescent="0.25">
      <c r="A1465"/>
      <c r="B1465"/>
      <c r="C1465"/>
      <c r="D1465"/>
      <c r="E1465"/>
      <c r="F1465"/>
      <c r="G1465"/>
      <c r="H1465"/>
      <c r="I1465"/>
      <c r="J1465"/>
    </row>
    <row r="1466" spans="1:10" x14ac:dyDescent="0.25">
      <c r="A1466"/>
      <c r="B1466"/>
      <c r="C1466"/>
      <c r="D1466"/>
      <c r="E1466"/>
      <c r="F1466"/>
      <c r="G1466"/>
      <c r="H1466"/>
      <c r="I1466"/>
      <c r="J1466"/>
    </row>
    <row r="1467" spans="1:10" x14ac:dyDescent="0.25">
      <c r="A1467"/>
      <c r="B1467"/>
      <c r="C1467"/>
      <c r="D1467"/>
      <c r="E1467"/>
      <c r="F1467"/>
      <c r="G1467"/>
      <c r="H1467"/>
      <c r="I1467"/>
      <c r="J1467"/>
    </row>
    <row r="1468" spans="1:10" x14ac:dyDescent="0.25">
      <c r="A1468"/>
      <c r="B1468"/>
      <c r="C1468"/>
      <c r="D1468"/>
      <c r="E1468"/>
      <c r="F1468"/>
      <c r="G1468"/>
      <c r="H1468"/>
      <c r="I1468"/>
      <c r="J1468"/>
    </row>
    <row r="1469" spans="1:10" x14ac:dyDescent="0.25">
      <c r="A1469"/>
      <c r="B1469"/>
      <c r="C1469"/>
      <c r="D1469"/>
      <c r="E1469"/>
      <c r="F1469"/>
      <c r="G1469"/>
      <c r="H1469"/>
      <c r="I1469"/>
      <c r="J1469"/>
    </row>
    <row r="1470" spans="1:10" x14ac:dyDescent="0.25">
      <c r="A1470"/>
      <c r="B1470"/>
      <c r="C1470"/>
      <c r="D1470"/>
      <c r="E1470"/>
      <c r="F1470"/>
      <c r="G1470"/>
      <c r="H1470"/>
      <c r="I1470"/>
      <c r="J1470"/>
    </row>
    <row r="1471" spans="1:10" x14ac:dyDescent="0.25">
      <c r="A1471"/>
      <c r="B1471"/>
      <c r="C1471"/>
      <c r="D1471"/>
      <c r="E1471"/>
      <c r="F1471"/>
      <c r="G1471"/>
      <c r="H1471"/>
      <c r="I1471"/>
      <c r="J1471"/>
    </row>
    <row r="1472" spans="1:10" x14ac:dyDescent="0.25">
      <c r="A1472"/>
      <c r="B1472"/>
      <c r="C1472"/>
      <c r="D1472"/>
      <c r="E1472"/>
      <c r="F1472"/>
      <c r="G1472"/>
      <c r="H1472"/>
      <c r="I1472"/>
      <c r="J1472"/>
    </row>
    <row r="1473" spans="1:10" x14ac:dyDescent="0.25">
      <c r="A1473"/>
      <c r="B1473"/>
      <c r="C1473"/>
      <c r="D1473"/>
      <c r="E1473"/>
      <c r="F1473"/>
      <c r="G1473"/>
      <c r="H1473"/>
      <c r="I1473"/>
      <c r="J1473"/>
    </row>
    <row r="1474" spans="1:10" x14ac:dyDescent="0.25">
      <c r="A1474"/>
      <c r="B1474"/>
      <c r="C1474"/>
      <c r="D1474"/>
      <c r="E1474"/>
      <c r="F1474"/>
      <c r="G1474"/>
      <c r="H1474"/>
      <c r="I1474"/>
      <c r="J1474"/>
    </row>
    <row r="1475" spans="1:10" x14ac:dyDescent="0.25">
      <c r="A1475"/>
      <c r="B1475"/>
      <c r="C1475"/>
      <c r="D1475"/>
      <c r="E1475"/>
      <c r="F1475"/>
      <c r="G1475"/>
      <c r="H1475"/>
      <c r="I1475"/>
      <c r="J1475"/>
    </row>
    <row r="1476" spans="1:10" x14ac:dyDescent="0.25">
      <c r="A1476"/>
      <c r="B1476"/>
      <c r="C1476"/>
      <c r="D1476"/>
      <c r="E1476"/>
      <c r="F1476"/>
      <c r="G1476"/>
      <c r="H1476"/>
      <c r="I1476"/>
      <c r="J1476"/>
    </row>
    <row r="1477" spans="1:10" x14ac:dyDescent="0.25">
      <c r="A1477"/>
      <c r="B1477"/>
      <c r="C1477"/>
      <c r="D1477"/>
      <c r="E1477"/>
      <c r="F1477"/>
      <c r="G1477"/>
      <c r="H1477"/>
      <c r="I1477"/>
      <c r="J1477"/>
    </row>
    <row r="1478" spans="1:10" x14ac:dyDescent="0.25">
      <c r="A1478"/>
      <c r="B1478"/>
      <c r="C1478"/>
      <c r="D1478"/>
      <c r="E1478"/>
      <c r="F1478"/>
      <c r="G1478"/>
      <c r="H1478"/>
      <c r="I1478"/>
      <c r="J1478"/>
    </row>
    <row r="1479" spans="1:10" x14ac:dyDescent="0.25">
      <c r="A1479"/>
      <c r="B1479"/>
      <c r="C1479"/>
      <c r="D1479"/>
      <c r="E1479"/>
      <c r="F1479"/>
      <c r="G1479"/>
      <c r="H1479"/>
      <c r="I1479"/>
      <c r="J1479"/>
    </row>
    <row r="1480" spans="1:10" x14ac:dyDescent="0.25">
      <c r="A1480"/>
      <c r="B1480"/>
      <c r="C1480"/>
      <c r="D1480"/>
      <c r="E1480"/>
      <c r="F1480"/>
      <c r="G1480"/>
      <c r="H1480"/>
      <c r="I1480"/>
      <c r="J1480"/>
    </row>
    <row r="1481" spans="1:10" x14ac:dyDescent="0.25">
      <c r="A1481"/>
      <c r="B1481"/>
      <c r="C1481"/>
      <c r="D1481"/>
      <c r="E1481"/>
      <c r="F1481"/>
      <c r="G1481"/>
      <c r="H1481"/>
      <c r="I1481"/>
      <c r="J1481"/>
    </row>
    <row r="1482" spans="1:10" x14ac:dyDescent="0.25">
      <c r="A1482"/>
      <c r="B1482"/>
      <c r="C1482"/>
      <c r="D1482"/>
      <c r="E1482"/>
      <c r="F1482"/>
      <c r="G1482"/>
      <c r="H1482"/>
      <c r="I1482"/>
      <c r="J1482"/>
    </row>
    <row r="1483" spans="1:10" x14ac:dyDescent="0.25">
      <c r="A1483"/>
      <c r="B1483"/>
      <c r="C1483"/>
      <c r="D1483"/>
      <c r="E1483"/>
      <c r="F1483"/>
      <c r="G1483"/>
      <c r="H1483"/>
      <c r="I1483"/>
      <c r="J1483"/>
    </row>
    <row r="1484" spans="1:10" x14ac:dyDescent="0.25">
      <c r="A1484"/>
      <c r="B1484"/>
      <c r="C1484"/>
      <c r="D1484"/>
      <c r="E1484"/>
      <c r="F1484"/>
      <c r="G1484"/>
      <c r="H1484"/>
      <c r="I1484"/>
      <c r="J1484"/>
    </row>
    <row r="1485" spans="1:10" x14ac:dyDescent="0.25">
      <c r="A1485"/>
      <c r="B1485"/>
      <c r="C1485"/>
      <c r="D1485"/>
      <c r="E1485"/>
      <c r="F1485"/>
      <c r="G1485"/>
      <c r="H1485"/>
      <c r="I1485"/>
      <c r="J1485"/>
    </row>
    <row r="1486" spans="1:10" x14ac:dyDescent="0.25">
      <c r="A1486"/>
      <c r="B1486"/>
      <c r="C1486"/>
      <c r="D1486"/>
      <c r="E1486"/>
      <c r="F1486"/>
      <c r="G1486"/>
      <c r="H1486"/>
      <c r="I1486"/>
      <c r="J1486"/>
    </row>
    <row r="1487" spans="1:10" x14ac:dyDescent="0.25">
      <c r="A1487"/>
      <c r="B1487"/>
      <c r="C1487"/>
      <c r="D1487"/>
      <c r="E1487"/>
      <c r="F1487"/>
      <c r="G1487"/>
      <c r="H1487"/>
      <c r="I1487"/>
      <c r="J1487"/>
    </row>
    <row r="1488" spans="1:10" x14ac:dyDescent="0.25">
      <c r="A1488"/>
      <c r="B1488"/>
      <c r="C1488"/>
      <c r="D1488"/>
      <c r="E1488"/>
      <c r="F1488"/>
      <c r="G1488"/>
      <c r="H1488"/>
      <c r="I1488"/>
      <c r="J1488"/>
    </row>
    <row r="1489" spans="1:10" x14ac:dyDescent="0.25">
      <c r="A1489"/>
      <c r="B1489"/>
      <c r="C1489"/>
      <c r="D1489"/>
      <c r="E1489"/>
      <c r="F1489"/>
      <c r="G1489"/>
      <c r="H1489"/>
      <c r="I1489"/>
      <c r="J1489"/>
    </row>
    <row r="1490" spans="1:10" x14ac:dyDescent="0.25">
      <c r="A1490"/>
      <c r="B1490"/>
      <c r="C1490"/>
      <c r="D1490"/>
      <c r="E1490"/>
      <c r="F1490"/>
      <c r="G1490"/>
      <c r="H1490"/>
      <c r="I1490"/>
      <c r="J1490"/>
    </row>
    <row r="1491" spans="1:10" x14ac:dyDescent="0.25">
      <c r="A1491"/>
      <c r="B1491"/>
      <c r="C1491"/>
      <c r="D1491"/>
      <c r="E1491"/>
      <c r="F1491"/>
      <c r="G1491"/>
      <c r="H1491"/>
      <c r="I1491"/>
      <c r="J1491"/>
    </row>
    <row r="1492" spans="1:10" x14ac:dyDescent="0.25">
      <c r="A1492"/>
      <c r="B1492"/>
      <c r="C1492"/>
      <c r="D1492"/>
      <c r="E1492"/>
      <c r="F1492"/>
      <c r="G1492"/>
      <c r="H1492"/>
      <c r="I1492"/>
      <c r="J1492"/>
    </row>
    <row r="1493" spans="1:10" x14ac:dyDescent="0.25">
      <c r="A1493"/>
      <c r="B1493"/>
      <c r="C1493"/>
      <c r="D1493"/>
      <c r="E1493"/>
      <c r="F1493"/>
      <c r="G1493"/>
      <c r="H1493"/>
      <c r="I1493"/>
      <c r="J1493"/>
    </row>
    <row r="1494" spans="1:10" x14ac:dyDescent="0.25">
      <c r="A1494"/>
      <c r="B1494"/>
      <c r="C1494"/>
      <c r="D1494"/>
      <c r="E1494"/>
      <c r="F1494"/>
      <c r="G1494"/>
      <c r="H1494"/>
      <c r="I1494"/>
      <c r="J1494"/>
    </row>
    <row r="1495" spans="1:10" x14ac:dyDescent="0.25">
      <c r="A1495"/>
      <c r="B1495"/>
      <c r="C1495"/>
      <c r="D1495"/>
      <c r="E1495"/>
      <c r="F1495"/>
      <c r="G1495"/>
      <c r="H1495"/>
      <c r="I1495"/>
      <c r="J1495"/>
    </row>
    <row r="1496" spans="1:10" x14ac:dyDescent="0.25">
      <c r="A1496"/>
      <c r="B1496"/>
      <c r="C1496"/>
      <c r="D1496"/>
      <c r="E1496"/>
      <c r="F1496"/>
      <c r="G1496"/>
      <c r="H1496"/>
      <c r="I1496"/>
      <c r="J1496"/>
    </row>
    <row r="1497" spans="1:10" x14ac:dyDescent="0.25">
      <c r="A1497"/>
      <c r="B1497"/>
      <c r="C1497"/>
      <c r="D1497"/>
      <c r="E1497"/>
      <c r="F1497"/>
      <c r="G1497"/>
      <c r="H1497"/>
      <c r="I1497"/>
      <c r="J1497"/>
    </row>
    <row r="1498" spans="1:10" x14ac:dyDescent="0.25">
      <c r="A1498"/>
      <c r="B1498"/>
      <c r="C1498"/>
      <c r="D1498"/>
      <c r="E1498"/>
      <c r="F1498"/>
      <c r="G1498"/>
      <c r="H1498"/>
      <c r="I1498"/>
      <c r="J1498"/>
    </row>
    <row r="1499" spans="1:10" x14ac:dyDescent="0.25">
      <c r="A1499"/>
      <c r="B1499"/>
      <c r="C1499"/>
      <c r="D1499"/>
      <c r="E1499"/>
      <c r="F1499"/>
      <c r="G1499"/>
      <c r="H1499"/>
      <c r="I1499"/>
      <c r="J1499"/>
    </row>
    <row r="1500" spans="1:10" x14ac:dyDescent="0.25">
      <c r="A1500"/>
      <c r="B1500"/>
      <c r="C1500"/>
      <c r="D1500"/>
      <c r="E1500"/>
      <c r="F1500"/>
      <c r="G1500"/>
      <c r="H1500"/>
      <c r="I1500"/>
      <c r="J1500"/>
    </row>
    <row r="1501" spans="1:10" x14ac:dyDescent="0.25">
      <c r="A1501"/>
      <c r="B1501"/>
      <c r="C1501"/>
      <c r="D1501"/>
      <c r="E1501"/>
      <c r="F1501"/>
      <c r="G1501"/>
      <c r="H1501"/>
      <c r="I1501"/>
      <c r="J1501"/>
    </row>
    <row r="1502" spans="1:10" x14ac:dyDescent="0.25">
      <c r="A1502"/>
      <c r="B1502"/>
      <c r="C1502"/>
      <c r="D1502"/>
      <c r="E1502"/>
      <c r="F1502"/>
      <c r="G1502"/>
      <c r="H1502"/>
      <c r="I1502"/>
      <c r="J1502"/>
    </row>
    <row r="1503" spans="1:10" x14ac:dyDescent="0.25">
      <c r="A1503"/>
      <c r="B1503"/>
      <c r="C1503"/>
      <c r="D1503"/>
      <c r="E1503"/>
      <c r="F1503"/>
      <c r="G1503"/>
      <c r="H1503"/>
      <c r="I1503"/>
      <c r="J1503"/>
    </row>
    <row r="1504" spans="1:10" x14ac:dyDescent="0.25">
      <c r="A1504"/>
      <c r="B1504"/>
      <c r="C1504"/>
      <c r="D1504"/>
      <c r="E1504"/>
      <c r="F1504"/>
      <c r="G1504"/>
      <c r="H1504"/>
      <c r="I1504"/>
      <c r="J1504"/>
    </row>
    <row r="1505" spans="1:10" x14ac:dyDescent="0.25">
      <c r="A1505"/>
      <c r="B1505"/>
      <c r="C1505"/>
      <c r="D1505"/>
      <c r="E1505"/>
      <c r="F1505"/>
      <c r="G1505"/>
      <c r="H1505"/>
      <c r="I1505"/>
      <c r="J1505"/>
    </row>
    <row r="1506" spans="1:10" x14ac:dyDescent="0.25">
      <c r="A1506"/>
      <c r="B1506"/>
      <c r="C1506"/>
      <c r="D1506"/>
      <c r="E1506"/>
      <c r="F1506"/>
      <c r="G1506"/>
      <c r="H1506"/>
      <c r="I1506"/>
      <c r="J1506"/>
    </row>
    <row r="1507" spans="1:10" x14ac:dyDescent="0.25">
      <c r="A1507"/>
      <c r="B1507"/>
      <c r="C1507"/>
      <c r="D1507"/>
      <c r="E1507"/>
      <c r="F1507"/>
      <c r="G1507"/>
      <c r="H1507"/>
      <c r="I1507"/>
      <c r="J1507"/>
    </row>
    <row r="1508" spans="1:10" x14ac:dyDescent="0.25">
      <c r="A1508"/>
      <c r="B1508"/>
      <c r="C1508"/>
      <c r="D1508"/>
      <c r="E1508"/>
      <c r="F1508"/>
      <c r="G1508"/>
      <c r="H1508"/>
      <c r="I1508"/>
      <c r="J1508"/>
    </row>
    <row r="1509" spans="1:10" x14ac:dyDescent="0.25">
      <c r="A1509"/>
      <c r="B1509"/>
      <c r="C1509"/>
      <c r="D1509"/>
      <c r="E1509"/>
      <c r="F1509"/>
      <c r="G1509"/>
      <c r="H1509"/>
      <c r="I1509"/>
      <c r="J1509"/>
    </row>
    <row r="1510" spans="1:10" x14ac:dyDescent="0.25">
      <c r="A1510"/>
      <c r="B1510"/>
      <c r="C1510"/>
      <c r="D1510"/>
      <c r="E1510"/>
      <c r="F1510"/>
      <c r="G1510"/>
      <c r="H1510"/>
      <c r="I1510"/>
      <c r="J1510"/>
    </row>
    <row r="1511" spans="1:10" x14ac:dyDescent="0.25">
      <c r="A1511"/>
      <c r="B1511"/>
      <c r="C1511"/>
      <c r="D1511"/>
      <c r="E1511"/>
      <c r="F1511"/>
      <c r="G1511"/>
      <c r="H1511"/>
      <c r="I1511"/>
      <c r="J1511"/>
    </row>
    <row r="1512" spans="1:10" x14ac:dyDescent="0.25">
      <c r="A1512"/>
      <c r="B1512"/>
      <c r="C1512"/>
      <c r="D1512"/>
      <c r="E1512"/>
      <c r="F1512"/>
      <c r="G1512"/>
      <c r="H1512"/>
      <c r="I1512"/>
      <c r="J1512"/>
    </row>
    <row r="1513" spans="1:10" x14ac:dyDescent="0.25">
      <c r="A1513"/>
      <c r="B1513"/>
      <c r="C1513"/>
      <c r="D1513"/>
      <c r="E1513"/>
      <c r="F1513"/>
      <c r="G1513"/>
      <c r="H1513"/>
      <c r="I1513"/>
      <c r="J1513"/>
    </row>
    <row r="1514" spans="1:10" x14ac:dyDescent="0.25">
      <c r="A1514"/>
      <c r="B1514"/>
      <c r="C1514"/>
      <c r="D1514"/>
      <c r="E1514"/>
      <c r="F1514"/>
      <c r="G1514"/>
      <c r="H1514"/>
      <c r="I1514"/>
      <c r="J1514"/>
    </row>
    <row r="1515" spans="1:10" x14ac:dyDescent="0.25">
      <c r="A1515"/>
      <c r="B1515"/>
      <c r="C1515"/>
      <c r="D1515"/>
      <c r="E1515"/>
      <c r="F1515"/>
      <c r="G1515"/>
      <c r="H1515"/>
      <c r="I1515"/>
      <c r="J1515"/>
    </row>
    <row r="1516" spans="1:10" x14ac:dyDescent="0.25">
      <c r="A1516"/>
      <c r="B1516"/>
      <c r="C1516"/>
      <c r="D1516"/>
      <c r="E1516"/>
      <c r="F1516"/>
      <c r="G1516"/>
      <c r="H1516"/>
      <c r="I1516"/>
      <c r="J1516"/>
    </row>
    <row r="1517" spans="1:10" x14ac:dyDescent="0.25">
      <c r="A1517"/>
      <c r="B1517"/>
      <c r="C1517"/>
      <c r="D1517"/>
      <c r="E1517"/>
      <c r="F1517"/>
      <c r="G1517"/>
      <c r="H1517"/>
      <c r="I1517"/>
      <c r="J1517"/>
    </row>
    <row r="1518" spans="1:10" x14ac:dyDescent="0.25">
      <c r="A1518"/>
      <c r="B1518"/>
      <c r="C1518"/>
      <c r="D1518"/>
      <c r="E1518"/>
      <c r="F1518"/>
      <c r="G1518"/>
      <c r="H1518"/>
      <c r="I1518"/>
      <c r="J1518"/>
    </row>
    <row r="1519" spans="1:10" x14ac:dyDescent="0.25">
      <c r="A1519"/>
      <c r="B1519"/>
      <c r="C1519"/>
      <c r="D1519"/>
      <c r="E1519"/>
      <c r="F1519"/>
      <c r="G1519"/>
      <c r="H1519"/>
      <c r="I1519"/>
      <c r="J1519"/>
    </row>
    <row r="1520" spans="1:10" x14ac:dyDescent="0.25">
      <c r="A1520"/>
      <c r="B1520"/>
      <c r="C1520"/>
      <c r="D1520"/>
      <c r="E1520"/>
      <c r="F1520"/>
      <c r="G1520"/>
      <c r="H1520"/>
      <c r="I1520"/>
      <c r="J1520"/>
    </row>
    <row r="1521" spans="1:10" x14ac:dyDescent="0.25">
      <c r="A1521"/>
      <c r="B1521"/>
      <c r="C1521"/>
      <c r="D1521"/>
      <c r="E1521"/>
      <c r="F1521"/>
      <c r="G1521"/>
      <c r="H1521"/>
      <c r="I1521"/>
      <c r="J1521"/>
    </row>
    <row r="1522" spans="1:10" x14ac:dyDescent="0.25">
      <c r="A1522"/>
      <c r="B1522"/>
      <c r="C1522"/>
      <c r="D1522"/>
      <c r="E1522"/>
      <c r="F1522"/>
      <c r="G1522"/>
      <c r="H1522"/>
      <c r="I1522"/>
      <c r="J1522"/>
    </row>
    <row r="1523" spans="1:10" x14ac:dyDescent="0.25">
      <c r="A1523"/>
      <c r="B1523"/>
      <c r="C1523"/>
      <c r="D1523"/>
      <c r="E1523"/>
      <c r="F1523"/>
      <c r="G1523"/>
      <c r="H1523"/>
      <c r="I1523"/>
      <c r="J1523"/>
    </row>
    <row r="1524" spans="1:10" x14ac:dyDescent="0.25">
      <c r="A1524"/>
      <c r="B1524"/>
      <c r="C1524"/>
      <c r="D1524"/>
      <c r="E1524"/>
      <c r="F1524"/>
      <c r="G1524"/>
      <c r="H1524"/>
      <c r="I1524"/>
      <c r="J1524"/>
    </row>
    <row r="1525" spans="1:10" x14ac:dyDescent="0.25">
      <c r="A1525"/>
      <c r="B1525"/>
      <c r="C1525"/>
      <c r="D1525"/>
      <c r="E1525"/>
      <c r="F1525"/>
      <c r="G1525"/>
      <c r="H1525"/>
      <c r="I1525"/>
      <c r="J1525"/>
    </row>
    <row r="1526" spans="1:10" x14ac:dyDescent="0.25">
      <c r="A1526"/>
      <c r="B1526"/>
      <c r="C1526"/>
      <c r="D1526"/>
      <c r="E1526"/>
      <c r="F1526"/>
      <c r="G1526"/>
      <c r="H1526"/>
      <c r="I1526"/>
      <c r="J1526"/>
    </row>
    <row r="1527" spans="1:10" x14ac:dyDescent="0.25">
      <c r="A1527"/>
      <c r="B1527"/>
      <c r="C1527"/>
      <c r="D1527"/>
      <c r="E1527"/>
      <c r="F1527"/>
      <c r="G1527"/>
      <c r="H1527"/>
      <c r="I1527"/>
      <c r="J1527"/>
    </row>
    <row r="1528" spans="1:10" x14ac:dyDescent="0.25">
      <c r="A1528"/>
      <c r="B1528"/>
      <c r="C1528"/>
      <c r="D1528"/>
      <c r="E1528"/>
      <c r="F1528"/>
      <c r="G1528"/>
      <c r="H1528"/>
      <c r="I1528"/>
      <c r="J1528"/>
    </row>
    <row r="1529" spans="1:10" x14ac:dyDescent="0.25">
      <c r="A1529"/>
      <c r="B1529"/>
      <c r="C1529"/>
      <c r="D1529"/>
      <c r="E1529"/>
      <c r="F1529"/>
      <c r="G1529"/>
      <c r="H1529"/>
      <c r="I1529"/>
      <c r="J1529"/>
    </row>
    <row r="1530" spans="1:10" x14ac:dyDescent="0.25">
      <c r="A1530"/>
      <c r="B1530"/>
      <c r="C1530"/>
      <c r="D1530"/>
      <c r="E1530"/>
      <c r="F1530"/>
      <c r="G1530"/>
      <c r="H1530"/>
      <c r="I1530"/>
      <c r="J1530"/>
    </row>
    <row r="1531" spans="1:10" x14ac:dyDescent="0.25">
      <c r="A1531"/>
      <c r="B1531"/>
      <c r="C1531"/>
      <c r="D1531"/>
      <c r="E1531"/>
      <c r="F1531"/>
      <c r="G1531"/>
      <c r="H1531"/>
      <c r="I1531"/>
      <c r="J1531"/>
    </row>
    <row r="1532" spans="1:10" x14ac:dyDescent="0.25">
      <c r="A1532"/>
      <c r="B1532"/>
      <c r="C1532"/>
      <c r="D1532"/>
      <c r="E1532"/>
      <c r="F1532"/>
      <c r="G1532"/>
      <c r="H1532"/>
      <c r="I1532"/>
      <c r="J1532"/>
    </row>
    <row r="1533" spans="1:10" x14ac:dyDescent="0.25">
      <c r="A1533"/>
      <c r="B1533"/>
      <c r="C1533"/>
      <c r="D1533"/>
      <c r="E1533"/>
      <c r="F1533"/>
      <c r="G1533"/>
      <c r="H1533"/>
      <c r="I1533"/>
      <c r="J1533"/>
    </row>
    <row r="1534" spans="1:10" x14ac:dyDescent="0.25">
      <c r="A1534"/>
      <c r="B1534"/>
      <c r="C1534"/>
      <c r="D1534"/>
      <c r="E1534"/>
      <c r="F1534"/>
      <c r="G1534"/>
      <c r="H1534"/>
      <c r="I1534"/>
      <c r="J1534"/>
    </row>
    <row r="1535" spans="1:10" x14ac:dyDescent="0.25">
      <c r="A1535"/>
      <c r="B1535"/>
      <c r="C1535"/>
      <c r="D1535"/>
      <c r="E1535"/>
      <c r="F1535"/>
      <c r="G1535"/>
      <c r="H1535"/>
      <c r="I1535"/>
      <c r="J1535"/>
    </row>
    <row r="1536" spans="1:10" x14ac:dyDescent="0.25">
      <c r="A1536"/>
      <c r="B1536"/>
      <c r="C1536"/>
      <c r="D1536"/>
      <c r="E1536"/>
      <c r="F1536"/>
      <c r="G1536"/>
      <c r="H1536"/>
      <c r="I1536"/>
      <c r="J1536"/>
    </row>
    <row r="1537" spans="1:10" x14ac:dyDescent="0.25">
      <c r="A1537"/>
      <c r="B1537"/>
      <c r="C1537"/>
      <c r="D1537"/>
      <c r="E1537"/>
      <c r="F1537"/>
      <c r="G1537"/>
      <c r="H1537"/>
      <c r="I1537"/>
      <c r="J1537"/>
    </row>
    <row r="1538" spans="1:10" x14ac:dyDescent="0.25">
      <c r="A1538"/>
      <c r="B1538"/>
      <c r="C1538"/>
      <c r="D1538"/>
      <c r="E1538"/>
      <c r="F1538"/>
      <c r="G1538"/>
      <c r="H1538"/>
      <c r="I1538"/>
      <c r="J1538"/>
    </row>
    <row r="1539" spans="1:10" x14ac:dyDescent="0.25">
      <c r="A1539"/>
      <c r="B1539"/>
      <c r="C1539"/>
      <c r="D1539"/>
      <c r="E1539"/>
      <c r="F1539"/>
      <c r="G1539"/>
      <c r="H1539"/>
      <c r="I1539"/>
      <c r="J1539"/>
    </row>
    <row r="1540" spans="1:10" x14ac:dyDescent="0.25">
      <c r="A1540"/>
      <c r="B1540"/>
      <c r="C1540"/>
      <c r="D1540"/>
      <c r="E1540"/>
      <c r="F1540"/>
      <c r="G1540"/>
      <c r="H1540"/>
      <c r="I1540"/>
      <c r="J1540"/>
    </row>
    <row r="1541" spans="1:10" x14ac:dyDescent="0.25">
      <c r="A1541"/>
      <c r="B1541"/>
      <c r="C1541"/>
      <c r="D1541"/>
      <c r="E1541"/>
      <c r="F1541"/>
      <c r="G1541"/>
      <c r="H1541"/>
      <c r="I1541"/>
      <c r="J1541"/>
    </row>
    <row r="1542" spans="1:10" x14ac:dyDescent="0.25">
      <c r="A1542"/>
      <c r="B1542"/>
      <c r="C1542"/>
      <c r="D1542"/>
      <c r="E1542"/>
      <c r="F1542"/>
      <c r="G1542"/>
      <c r="H1542"/>
      <c r="I1542"/>
      <c r="J1542"/>
    </row>
    <row r="1543" spans="1:10" x14ac:dyDescent="0.25">
      <c r="A1543"/>
      <c r="B1543"/>
      <c r="C1543"/>
      <c r="D1543"/>
      <c r="E1543"/>
      <c r="F1543"/>
      <c r="G1543"/>
      <c r="H1543"/>
      <c r="I1543"/>
      <c r="J1543"/>
    </row>
    <row r="1544" spans="1:10" x14ac:dyDescent="0.25">
      <c r="A1544"/>
      <c r="B1544"/>
      <c r="C1544"/>
      <c r="D1544"/>
      <c r="E1544"/>
      <c r="F1544"/>
      <c r="G1544"/>
      <c r="H1544"/>
      <c r="I1544"/>
      <c r="J1544"/>
    </row>
    <row r="1545" spans="1:10" x14ac:dyDescent="0.25">
      <c r="A1545"/>
      <c r="B1545"/>
      <c r="C1545"/>
      <c r="D1545"/>
      <c r="E1545"/>
      <c r="F1545"/>
      <c r="G1545"/>
      <c r="H1545"/>
      <c r="I1545"/>
      <c r="J1545"/>
    </row>
    <row r="1546" spans="1:10" x14ac:dyDescent="0.25">
      <c r="A1546"/>
      <c r="B1546"/>
      <c r="C1546"/>
      <c r="D1546"/>
      <c r="E1546"/>
      <c r="F1546"/>
      <c r="G1546"/>
      <c r="H1546"/>
      <c r="I1546"/>
      <c r="J1546"/>
    </row>
    <row r="1547" spans="1:10" x14ac:dyDescent="0.25">
      <c r="A1547"/>
      <c r="B1547"/>
      <c r="C1547"/>
      <c r="D1547"/>
      <c r="E1547"/>
      <c r="F1547"/>
      <c r="G1547"/>
      <c r="H1547"/>
      <c r="I1547"/>
      <c r="J1547"/>
    </row>
    <row r="1548" spans="1:10" x14ac:dyDescent="0.25">
      <c r="A1548"/>
      <c r="B1548"/>
      <c r="C1548"/>
      <c r="D1548"/>
      <c r="E1548"/>
      <c r="F1548"/>
      <c r="G1548"/>
      <c r="H1548"/>
      <c r="I1548"/>
      <c r="J1548"/>
    </row>
    <row r="1549" spans="1:10" x14ac:dyDescent="0.25">
      <c r="A1549"/>
      <c r="B1549"/>
      <c r="C1549"/>
      <c r="D1549"/>
      <c r="E1549"/>
      <c r="F1549"/>
      <c r="G1549"/>
      <c r="H1549"/>
      <c r="I1549"/>
      <c r="J1549"/>
    </row>
    <row r="1550" spans="1:10" x14ac:dyDescent="0.25">
      <c r="A1550"/>
      <c r="B1550"/>
      <c r="C1550"/>
      <c r="D1550"/>
      <c r="E1550"/>
      <c r="F1550"/>
      <c r="G1550"/>
      <c r="H1550"/>
      <c r="I1550"/>
      <c r="J1550"/>
    </row>
    <row r="1551" spans="1:10" x14ac:dyDescent="0.25">
      <c r="A1551"/>
      <c r="B1551"/>
      <c r="C1551"/>
      <c r="D1551"/>
      <c r="E1551"/>
      <c r="F1551"/>
      <c r="G1551"/>
      <c r="H1551"/>
      <c r="I1551"/>
      <c r="J1551"/>
    </row>
    <row r="1552" spans="1:10" x14ac:dyDescent="0.25">
      <c r="A1552"/>
      <c r="B1552"/>
      <c r="C1552"/>
      <c r="D1552"/>
      <c r="E1552"/>
      <c r="F1552"/>
      <c r="G1552"/>
      <c r="H1552"/>
      <c r="I1552"/>
      <c r="J1552"/>
    </row>
    <row r="1553" spans="1:10" x14ac:dyDescent="0.25">
      <c r="A1553"/>
      <c r="B1553"/>
      <c r="C1553"/>
      <c r="D1553"/>
      <c r="E1553"/>
      <c r="F1553"/>
      <c r="G1553"/>
      <c r="H1553"/>
      <c r="I1553"/>
      <c r="J1553"/>
    </row>
    <row r="1554" spans="1:10" x14ac:dyDescent="0.25">
      <c r="A1554"/>
      <c r="B1554"/>
      <c r="C1554"/>
      <c r="D1554"/>
      <c r="E1554"/>
      <c r="F1554"/>
      <c r="G1554"/>
      <c r="H1554"/>
      <c r="I1554"/>
      <c r="J1554"/>
    </row>
    <row r="1555" spans="1:10" x14ac:dyDescent="0.25">
      <c r="A1555"/>
      <c r="B1555"/>
      <c r="C1555"/>
      <c r="D1555"/>
      <c r="E1555"/>
      <c r="F1555"/>
      <c r="G1555"/>
      <c r="H1555"/>
      <c r="I1555"/>
      <c r="J1555"/>
    </row>
    <row r="1556" spans="1:10" x14ac:dyDescent="0.25">
      <c r="A1556"/>
      <c r="B1556"/>
      <c r="C1556"/>
      <c r="D1556"/>
      <c r="E1556"/>
      <c r="F1556"/>
      <c r="G1556"/>
      <c r="H1556"/>
      <c r="I1556"/>
      <c r="J1556"/>
    </row>
    <row r="1557" spans="1:10" x14ac:dyDescent="0.25">
      <c r="A1557"/>
      <c r="B1557"/>
      <c r="C1557"/>
      <c r="D1557"/>
      <c r="E1557"/>
      <c r="F1557"/>
      <c r="G1557"/>
      <c r="H1557"/>
      <c r="I1557"/>
      <c r="J1557"/>
    </row>
    <row r="1558" spans="1:10" x14ac:dyDescent="0.25">
      <c r="A1558"/>
      <c r="B1558"/>
      <c r="C1558"/>
      <c r="D1558"/>
      <c r="E1558"/>
      <c r="F1558"/>
      <c r="G1558"/>
      <c r="H1558"/>
      <c r="I1558"/>
      <c r="J1558"/>
    </row>
    <row r="1559" spans="1:10" x14ac:dyDescent="0.25">
      <c r="A1559"/>
      <c r="B1559"/>
      <c r="C1559"/>
      <c r="D1559"/>
      <c r="E1559"/>
      <c r="F1559"/>
      <c r="G1559"/>
      <c r="H1559"/>
      <c r="I1559"/>
      <c r="J1559"/>
    </row>
    <row r="1560" spans="1:10" x14ac:dyDescent="0.25">
      <c r="A1560"/>
      <c r="B1560"/>
      <c r="C1560"/>
      <c r="D1560"/>
      <c r="E1560"/>
      <c r="F1560"/>
      <c r="G1560"/>
      <c r="H1560"/>
      <c r="I1560"/>
      <c r="J1560"/>
    </row>
    <row r="1561" spans="1:10" x14ac:dyDescent="0.25">
      <c r="A1561"/>
      <c r="B1561"/>
      <c r="C1561"/>
      <c r="D1561"/>
      <c r="E1561"/>
      <c r="F1561"/>
      <c r="G1561"/>
      <c r="H1561"/>
      <c r="I1561"/>
      <c r="J1561"/>
    </row>
    <row r="1562" spans="1:10" x14ac:dyDescent="0.25">
      <c r="A1562"/>
      <c r="B1562"/>
      <c r="C1562"/>
      <c r="D1562"/>
      <c r="E1562"/>
      <c r="F1562"/>
      <c r="G1562"/>
      <c r="H1562"/>
      <c r="I1562"/>
      <c r="J1562"/>
    </row>
    <row r="1563" spans="1:10" x14ac:dyDescent="0.25">
      <c r="A1563"/>
      <c r="B1563"/>
      <c r="C1563"/>
      <c r="D1563"/>
      <c r="E1563"/>
      <c r="F1563"/>
      <c r="G1563"/>
      <c r="H1563"/>
      <c r="I1563"/>
      <c r="J1563"/>
    </row>
    <row r="1564" spans="1:10" x14ac:dyDescent="0.25">
      <c r="A1564"/>
      <c r="B1564"/>
      <c r="C1564"/>
      <c r="D1564"/>
      <c r="E1564"/>
      <c r="F1564"/>
      <c r="G1564"/>
      <c r="H1564"/>
      <c r="I1564"/>
      <c r="J1564"/>
    </row>
    <row r="1565" spans="1:10" x14ac:dyDescent="0.25">
      <c r="A1565"/>
      <c r="B1565"/>
      <c r="C1565"/>
      <c r="D1565"/>
      <c r="E1565"/>
      <c r="F1565"/>
      <c r="G1565"/>
      <c r="H1565"/>
      <c r="I1565"/>
      <c r="J1565"/>
    </row>
    <row r="1566" spans="1:10" x14ac:dyDescent="0.25">
      <c r="A1566"/>
      <c r="B1566"/>
      <c r="C1566"/>
      <c r="D1566"/>
      <c r="E1566"/>
      <c r="F1566"/>
      <c r="G1566"/>
      <c r="H1566"/>
      <c r="I1566"/>
      <c r="J1566"/>
    </row>
    <row r="1567" spans="1:10" x14ac:dyDescent="0.25">
      <c r="A1567"/>
      <c r="B1567"/>
      <c r="C1567"/>
      <c r="D1567"/>
      <c r="E1567"/>
      <c r="F1567"/>
      <c r="G1567"/>
      <c r="H1567"/>
      <c r="I1567"/>
      <c r="J1567"/>
    </row>
    <row r="1568" spans="1:10" x14ac:dyDescent="0.25">
      <c r="A1568"/>
      <c r="B1568"/>
      <c r="C1568"/>
      <c r="D1568"/>
      <c r="E1568"/>
      <c r="F1568"/>
      <c r="G1568"/>
      <c r="H1568"/>
      <c r="I1568"/>
      <c r="J1568"/>
    </row>
    <row r="1569" spans="1:10" x14ac:dyDescent="0.25">
      <c r="A1569"/>
      <c r="B1569"/>
      <c r="C1569"/>
      <c r="D1569"/>
      <c r="E1569"/>
      <c r="F1569"/>
      <c r="G1569"/>
      <c r="H1569"/>
      <c r="I1569"/>
      <c r="J1569"/>
    </row>
    <row r="1570" spans="1:10" x14ac:dyDescent="0.25">
      <c r="A1570"/>
      <c r="B1570"/>
      <c r="C1570"/>
      <c r="D1570"/>
      <c r="E1570"/>
      <c r="F1570"/>
      <c r="G1570"/>
      <c r="H1570"/>
      <c r="I1570"/>
      <c r="J1570"/>
    </row>
    <row r="1571" spans="1:10" x14ac:dyDescent="0.25">
      <c r="A1571"/>
      <c r="B1571"/>
      <c r="C1571"/>
      <c r="D1571"/>
      <c r="E1571"/>
      <c r="F1571"/>
      <c r="G1571"/>
      <c r="H1571"/>
      <c r="I1571"/>
      <c r="J1571"/>
    </row>
    <row r="1572" spans="1:10" x14ac:dyDescent="0.25">
      <c r="A1572"/>
      <c r="B1572"/>
      <c r="C1572"/>
      <c r="D1572"/>
      <c r="E1572"/>
      <c r="F1572"/>
      <c r="G1572"/>
      <c r="H1572"/>
      <c r="I1572"/>
      <c r="J1572"/>
    </row>
    <row r="1573" spans="1:10" x14ac:dyDescent="0.25">
      <c r="A1573"/>
      <c r="B1573"/>
      <c r="C1573"/>
      <c r="D1573"/>
      <c r="E1573"/>
      <c r="F1573"/>
      <c r="G1573"/>
      <c r="H1573"/>
      <c r="I1573"/>
      <c r="J1573"/>
    </row>
    <row r="1574" spans="1:10" x14ac:dyDescent="0.25">
      <c r="A1574"/>
      <c r="B1574"/>
      <c r="C1574"/>
      <c r="D1574"/>
      <c r="E1574"/>
      <c r="F1574"/>
      <c r="G1574"/>
      <c r="H1574"/>
      <c r="I1574"/>
      <c r="J1574"/>
    </row>
    <row r="1575" spans="1:10" x14ac:dyDescent="0.25">
      <c r="A1575"/>
      <c r="B1575"/>
      <c r="C1575"/>
      <c r="D1575"/>
      <c r="E1575"/>
      <c r="F1575"/>
      <c r="G1575"/>
      <c r="H1575"/>
      <c r="I1575"/>
      <c r="J1575"/>
    </row>
    <row r="1576" spans="1:10" x14ac:dyDescent="0.25">
      <c r="A1576"/>
      <c r="B1576"/>
      <c r="C1576"/>
      <c r="D1576"/>
      <c r="E1576"/>
      <c r="F1576"/>
      <c r="G1576"/>
      <c r="H1576"/>
      <c r="I1576"/>
      <c r="J1576"/>
    </row>
    <row r="1577" spans="1:10" x14ac:dyDescent="0.25">
      <c r="A1577"/>
      <c r="B1577"/>
      <c r="C1577"/>
      <c r="D1577"/>
      <c r="E1577"/>
      <c r="F1577"/>
      <c r="G1577"/>
      <c r="H1577"/>
      <c r="I1577"/>
      <c r="J1577"/>
    </row>
    <row r="1578" spans="1:10" x14ac:dyDescent="0.25">
      <c r="A1578"/>
      <c r="B1578"/>
      <c r="C1578"/>
      <c r="D1578"/>
      <c r="E1578"/>
      <c r="F1578"/>
      <c r="G1578"/>
      <c r="H1578"/>
      <c r="I1578"/>
      <c r="J1578"/>
    </row>
    <row r="1579" spans="1:10" x14ac:dyDescent="0.25">
      <c r="A1579"/>
      <c r="B1579"/>
      <c r="C1579"/>
      <c r="D1579"/>
      <c r="E1579"/>
      <c r="F1579"/>
      <c r="G1579"/>
      <c r="H1579"/>
      <c r="I1579"/>
      <c r="J1579"/>
    </row>
    <row r="1580" spans="1:10" x14ac:dyDescent="0.25">
      <c r="A1580"/>
      <c r="B1580"/>
      <c r="C1580"/>
      <c r="D1580"/>
      <c r="E1580"/>
      <c r="F1580"/>
      <c r="G1580"/>
      <c r="H1580"/>
      <c r="I1580"/>
      <c r="J1580"/>
    </row>
    <row r="1581" spans="1:10" x14ac:dyDescent="0.25">
      <c r="A1581"/>
      <c r="B1581"/>
      <c r="C1581"/>
      <c r="D1581"/>
      <c r="E1581"/>
      <c r="F1581"/>
      <c r="G1581"/>
      <c r="H1581"/>
      <c r="I1581"/>
      <c r="J1581"/>
    </row>
    <row r="1582" spans="1:10" x14ac:dyDescent="0.25">
      <c r="A1582"/>
      <c r="B1582"/>
      <c r="C1582"/>
      <c r="D1582"/>
      <c r="E1582"/>
      <c r="F1582"/>
      <c r="G1582"/>
      <c r="H1582"/>
      <c r="I1582"/>
      <c r="J1582"/>
    </row>
    <row r="1583" spans="1:10" x14ac:dyDescent="0.25">
      <c r="A1583"/>
      <c r="B1583"/>
      <c r="C1583"/>
      <c r="D1583"/>
      <c r="E1583"/>
      <c r="F1583"/>
      <c r="G1583"/>
      <c r="H1583"/>
      <c r="I1583"/>
      <c r="J1583"/>
    </row>
    <row r="1584" spans="1:10" x14ac:dyDescent="0.25">
      <c r="A1584"/>
      <c r="B1584"/>
      <c r="C1584"/>
      <c r="D1584"/>
      <c r="E1584"/>
      <c r="F1584"/>
      <c r="G1584"/>
      <c r="H1584"/>
      <c r="I1584"/>
      <c r="J1584"/>
    </row>
    <row r="1585" spans="1:10" x14ac:dyDescent="0.25">
      <c r="A1585"/>
      <c r="B1585"/>
      <c r="C1585"/>
      <c r="D1585"/>
      <c r="E1585"/>
      <c r="F1585"/>
      <c r="G1585"/>
      <c r="H1585"/>
      <c r="I1585"/>
      <c r="J1585"/>
    </row>
    <row r="1586" spans="1:10" x14ac:dyDescent="0.25">
      <c r="A1586"/>
      <c r="B1586"/>
      <c r="C1586"/>
      <c r="D1586"/>
      <c r="E1586"/>
      <c r="F1586"/>
      <c r="G1586"/>
      <c r="H1586"/>
      <c r="I1586"/>
      <c r="J1586"/>
    </row>
    <row r="1587" spans="1:10" x14ac:dyDescent="0.25">
      <c r="A1587"/>
      <c r="B1587"/>
      <c r="C1587"/>
      <c r="D1587"/>
      <c r="E1587"/>
      <c r="F1587"/>
      <c r="G1587"/>
      <c r="H1587"/>
      <c r="I1587"/>
      <c r="J1587"/>
    </row>
    <row r="1588" spans="1:10" x14ac:dyDescent="0.25">
      <c r="A1588"/>
      <c r="B1588"/>
      <c r="C1588"/>
      <c r="D1588"/>
      <c r="E1588"/>
      <c r="F1588"/>
      <c r="G1588"/>
      <c r="H1588"/>
      <c r="I1588"/>
      <c r="J1588"/>
    </row>
    <row r="1589" spans="1:10" x14ac:dyDescent="0.25">
      <c r="A1589"/>
      <c r="B1589"/>
      <c r="C1589"/>
      <c r="D1589"/>
      <c r="E1589"/>
      <c r="F1589"/>
      <c r="G1589"/>
      <c r="H1589"/>
      <c r="I1589"/>
      <c r="J1589"/>
    </row>
    <row r="1590" spans="1:10" x14ac:dyDescent="0.25">
      <c r="A1590"/>
      <c r="B1590"/>
      <c r="C1590"/>
      <c r="D1590"/>
      <c r="E1590"/>
      <c r="F1590"/>
      <c r="G1590"/>
      <c r="H1590"/>
      <c r="I1590"/>
      <c r="J1590"/>
    </row>
    <row r="1591" spans="1:10" x14ac:dyDescent="0.25">
      <c r="A1591"/>
      <c r="B1591"/>
      <c r="C1591"/>
      <c r="D1591"/>
      <c r="E1591"/>
      <c r="F1591"/>
      <c r="G1591"/>
      <c r="H1591"/>
      <c r="I1591"/>
      <c r="J1591"/>
    </row>
    <row r="1592" spans="1:10" x14ac:dyDescent="0.25">
      <c r="A1592"/>
      <c r="B1592"/>
      <c r="C1592"/>
      <c r="D1592"/>
      <c r="E1592"/>
      <c r="F1592"/>
      <c r="G1592"/>
      <c r="H1592"/>
      <c r="I1592"/>
      <c r="J1592"/>
    </row>
    <row r="1593" spans="1:10" x14ac:dyDescent="0.25">
      <c r="A1593"/>
      <c r="B1593"/>
      <c r="C1593"/>
      <c r="D1593"/>
      <c r="E1593"/>
      <c r="F1593"/>
      <c r="G1593"/>
      <c r="H1593"/>
      <c r="I1593"/>
      <c r="J1593"/>
    </row>
    <row r="1594" spans="1:10" x14ac:dyDescent="0.25">
      <c r="A1594"/>
      <c r="B1594"/>
      <c r="C1594"/>
      <c r="D1594"/>
      <c r="E1594"/>
      <c r="F1594"/>
      <c r="G1594"/>
      <c r="H1594"/>
      <c r="I1594"/>
      <c r="J1594"/>
    </row>
    <row r="1595" spans="1:10" x14ac:dyDescent="0.25">
      <c r="A1595"/>
      <c r="B1595"/>
      <c r="C1595"/>
      <c r="D1595"/>
      <c r="E1595"/>
      <c r="F1595"/>
      <c r="G1595"/>
      <c r="H1595"/>
      <c r="I1595"/>
      <c r="J1595"/>
    </row>
    <row r="1596" spans="1:10" x14ac:dyDescent="0.25">
      <c r="A1596"/>
      <c r="B1596"/>
      <c r="C1596"/>
      <c r="D1596"/>
      <c r="E1596"/>
      <c r="F1596"/>
      <c r="G1596"/>
      <c r="H1596"/>
      <c r="I1596"/>
      <c r="J1596"/>
    </row>
    <row r="1597" spans="1:10" x14ac:dyDescent="0.25">
      <c r="A1597"/>
      <c r="B1597"/>
      <c r="C1597"/>
      <c r="D1597"/>
      <c r="E1597"/>
      <c r="F1597"/>
      <c r="G1597"/>
      <c r="H1597"/>
      <c r="I1597"/>
      <c r="J1597"/>
    </row>
    <row r="1598" spans="1:10" x14ac:dyDescent="0.25">
      <c r="A1598"/>
      <c r="B1598"/>
      <c r="C1598"/>
      <c r="D1598"/>
      <c r="E1598"/>
      <c r="F1598"/>
      <c r="G1598"/>
      <c r="H1598"/>
      <c r="I1598"/>
      <c r="J1598"/>
    </row>
    <row r="1599" spans="1:10" x14ac:dyDescent="0.25">
      <c r="A1599"/>
      <c r="B1599"/>
      <c r="C1599"/>
      <c r="D1599"/>
      <c r="E1599"/>
      <c r="F1599"/>
      <c r="G1599"/>
      <c r="H1599"/>
      <c r="I1599"/>
      <c r="J1599"/>
    </row>
    <row r="1600" spans="1:10" x14ac:dyDescent="0.25">
      <c r="A1600"/>
      <c r="B1600"/>
      <c r="C1600"/>
      <c r="D1600"/>
      <c r="E1600"/>
      <c r="F1600"/>
      <c r="G1600"/>
      <c r="H1600"/>
      <c r="I1600"/>
      <c r="J1600"/>
    </row>
    <row r="1601" spans="1:10" x14ac:dyDescent="0.25">
      <c r="A1601"/>
      <c r="B1601"/>
      <c r="C1601"/>
      <c r="D1601"/>
      <c r="E1601"/>
      <c r="F1601"/>
      <c r="G1601"/>
      <c r="H1601"/>
      <c r="I1601"/>
      <c r="J1601"/>
    </row>
    <row r="1602" spans="1:10" x14ac:dyDescent="0.25">
      <c r="A1602"/>
      <c r="B1602"/>
      <c r="C1602"/>
      <c r="D1602"/>
      <c r="E1602"/>
      <c r="F1602"/>
      <c r="G1602"/>
      <c r="H1602"/>
      <c r="I1602"/>
      <c r="J1602"/>
    </row>
    <row r="1603" spans="1:10" x14ac:dyDescent="0.25">
      <c r="A1603"/>
      <c r="B1603"/>
      <c r="C1603"/>
      <c r="D1603"/>
      <c r="E1603"/>
      <c r="F1603"/>
      <c r="G1603"/>
      <c r="H1603"/>
      <c r="I1603"/>
      <c r="J1603"/>
    </row>
    <row r="1604" spans="1:10" x14ac:dyDescent="0.25">
      <c r="A1604"/>
      <c r="B1604"/>
      <c r="C1604"/>
      <c r="D1604"/>
      <c r="E1604"/>
      <c r="F1604"/>
      <c r="G1604"/>
      <c r="H1604"/>
      <c r="I1604"/>
      <c r="J1604"/>
    </row>
    <row r="1605" spans="1:10" x14ac:dyDescent="0.25">
      <c r="A1605"/>
      <c r="B1605"/>
      <c r="C1605"/>
      <c r="D1605"/>
      <c r="E1605"/>
      <c r="F1605"/>
      <c r="G1605"/>
      <c r="H1605"/>
      <c r="I1605"/>
      <c r="J1605"/>
    </row>
  </sheetData>
  <autoFilter ref="A1:W449" xr:uid="{B5359A53-2D89-4209-A6C9-A185C71E4BE8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6C89E-0D1E-434E-8584-85E475C906BE}">
  <sheetPr>
    <tabColor rgb="FF00B050"/>
  </sheetPr>
  <dimension ref="A1:O47"/>
  <sheetViews>
    <sheetView workbookViewId="0">
      <selection activeCell="C14" sqref="C14"/>
    </sheetView>
  </sheetViews>
  <sheetFormatPr defaultRowHeight="15" x14ac:dyDescent="0.25"/>
  <cols>
    <col min="1" max="1" width="10.140625" bestFit="1" customWidth="1"/>
    <col min="2" max="2" width="21.140625" style="2" bestFit="1" customWidth="1"/>
    <col min="3" max="3" width="24.140625" style="2" bestFit="1" customWidth="1"/>
    <col min="4" max="4" width="23.85546875" style="2" bestFit="1" customWidth="1"/>
    <col min="5" max="5" width="12.28515625" style="2" bestFit="1" customWidth="1"/>
    <col min="6" max="6" width="15.140625" style="2" bestFit="1" customWidth="1"/>
    <col min="7" max="7" width="14.85546875" style="2" bestFit="1" customWidth="1"/>
    <col min="8" max="8" width="22.140625" style="2" bestFit="1" customWidth="1"/>
    <col min="9" max="9" width="21.42578125" style="2" bestFit="1" customWidth="1"/>
    <col min="10" max="10" width="20.28515625" style="2" bestFit="1" customWidth="1"/>
    <col min="11" max="11" width="18.7109375" style="2" bestFit="1" customWidth="1"/>
    <col min="12" max="12" width="19" style="2" bestFit="1" customWidth="1"/>
    <col min="13" max="13" width="15" style="2" bestFit="1" customWidth="1"/>
    <col min="14" max="15" width="28.42578125" style="2" bestFit="1" customWidth="1"/>
  </cols>
  <sheetData>
    <row r="1" spans="1:15" x14ac:dyDescent="0.25">
      <c r="A1" s="82" t="s">
        <v>1176</v>
      </c>
      <c r="B1" s="108" t="s">
        <v>1177</v>
      </c>
      <c r="C1" s="108" t="s">
        <v>1178</v>
      </c>
      <c r="D1" s="108" t="s">
        <v>1217</v>
      </c>
      <c r="E1" s="108" t="s">
        <v>1179</v>
      </c>
      <c r="F1" s="109" t="s">
        <v>1180</v>
      </c>
      <c r="G1" s="108" t="s">
        <v>1181</v>
      </c>
      <c r="H1" s="108" t="s">
        <v>1182</v>
      </c>
      <c r="I1" s="108" t="s">
        <v>1183</v>
      </c>
      <c r="J1" s="108" t="s">
        <v>1184</v>
      </c>
      <c r="K1" s="109" t="s">
        <v>1185</v>
      </c>
      <c r="L1" s="109" t="s">
        <v>1186</v>
      </c>
      <c r="M1" s="108" t="s">
        <v>1187</v>
      </c>
      <c r="N1" s="108" t="s">
        <v>1188</v>
      </c>
      <c r="O1" s="108" t="s">
        <v>1206</v>
      </c>
    </row>
    <row r="2" spans="1:15" x14ac:dyDescent="0.25">
      <c r="A2" s="83">
        <v>3000</v>
      </c>
      <c r="B2" s="84">
        <v>540595.84</v>
      </c>
      <c r="C2" s="84">
        <v>20589.28</v>
      </c>
      <c r="D2" s="84">
        <v>139388.47</v>
      </c>
      <c r="E2" s="84">
        <v>1371</v>
      </c>
      <c r="F2" s="84">
        <v>82</v>
      </c>
      <c r="G2" s="84">
        <v>10</v>
      </c>
      <c r="H2" s="84">
        <v>478</v>
      </c>
      <c r="I2" s="84">
        <v>16</v>
      </c>
      <c r="J2" s="84">
        <v>38</v>
      </c>
      <c r="K2" s="84">
        <v>37</v>
      </c>
      <c r="L2" s="84">
        <v>31</v>
      </c>
      <c r="M2" s="84">
        <v>0</v>
      </c>
      <c r="N2" s="81">
        <v>23</v>
      </c>
      <c r="O2" s="81">
        <v>0</v>
      </c>
    </row>
    <row r="3" spans="1:15" x14ac:dyDescent="0.25">
      <c r="A3" s="83">
        <v>13006</v>
      </c>
      <c r="B3" s="84">
        <v>43888.71</v>
      </c>
      <c r="C3" s="84">
        <v>3563.4799999999996</v>
      </c>
      <c r="D3" s="84">
        <v>20202.659999999996</v>
      </c>
      <c r="E3" s="84">
        <v>1330</v>
      </c>
      <c r="F3" s="84">
        <v>45</v>
      </c>
      <c r="G3" s="84">
        <v>8</v>
      </c>
      <c r="H3" s="84">
        <v>70</v>
      </c>
      <c r="I3" s="84">
        <v>0</v>
      </c>
      <c r="J3" s="84">
        <v>4</v>
      </c>
      <c r="K3" s="84">
        <v>6</v>
      </c>
      <c r="L3" s="84">
        <v>5</v>
      </c>
      <c r="M3" s="84">
        <v>0</v>
      </c>
      <c r="N3" s="81">
        <v>2</v>
      </c>
      <c r="O3" s="81">
        <v>0</v>
      </c>
    </row>
    <row r="4" spans="1:15" x14ac:dyDescent="0.25">
      <c r="A4" s="83">
        <v>13012</v>
      </c>
      <c r="B4" s="84">
        <v>359393.22000000003</v>
      </c>
      <c r="C4" s="84">
        <v>17443.18</v>
      </c>
      <c r="D4" s="84">
        <v>88271.52</v>
      </c>
      <c r="E4" s="84">
        <v>120</v>
      </c>
      <c r="F4" s="84">
        <v>31</v>
      </c>
      <c r="G4" s="84">
        <v>7</v>
      </c>
      <c r="H4" s="84">
        <v>325</v>
      </c>
      <c r="I4" s="84">
        <v>4</v>
      </c>
      <c r="J4" s="84">
        <v>9</v>
      </c>
      <c r="K4" s="84">
        <v>7</v>
      </c>
      <c r="L4" s="84">
        <v>11</v>
      </c>
      <c r="M4" s="84">
        <v>0</v>
      </c>
      <c r="N4" s="81">
        <v>17</v>
      </c>
      <c r="O4" s="81">
        <v>0</v>
      </c>
    </row>
    <row r="5" spans="1:15" x14ac:dyDescent="0.25">
      <c r="A5" s="83">
        <v>13013</v>
      </c>
      <c r="B5" s="84">
        <v>291920.09000000003</v>
      </c>
      <c r="C5" s="84">
        <v>7064.35</v>
      </c>
      <c r="D5" s="84">
        <v>65779.55</v>
      </c>
      <c r="E5" s="84">
        <v>130</v>
      </c>
      <c r="F5" s="84">
        <v>32</v>
      </c>
      <c r="G5" s="84">
        <v>5</v>
      </c>
      <c r="H5" s="84">
        <v>181</v>
      </c>
      <c r="I5" s="84">
        <v>12</v>
      </c>
      <c r="J5" s="84">
        <v>5</v>
      </c>
      <c r="K5" s="84">
        <v>15</v>
      </c>
      <c r="L5" s="84">
        <v>25</v>
      </c>
      <c r="M5" s="84">
        <v>0</v>
      </c>
      <c r="N5" s="81">
        <v>12</v>
      </c>
      <c r="O5" s="81">
        <v>0</v>
      </c>
    </row>
    <row r="6" spans="1:15" x14ac:dyDescent="0.25">
      <c r="A6" s="83">
        <v>13014</v>
      </c>
      <c r="B6" s="84">
        <v>437966.35</v>
      </c>
      <c r="C6" s="84">
        <v>22528.29</v>
      </c>
      <c r="D6" s="84">
        <v>86043.82</v>
      </c>
      <c r="E6" s="84">
        <v>1777</v>
      </c>
      <c r="F6" s="84">
        <v>66</v>
      </c>
      <c r="G6" s="84">
        <v>11</v>
      </c>
      <c r="H6" s="84">
        <v>326</v>
      </c>
      <c r="I6" s="84">
        <v>12</v>
      </c>
      <c r="J6" s="84">
        <v>10</v>
      </c>
      <c r="K6" s="84">
        <v>19</v>
      </c>
      <c r="L6" s="84">
        <v>21</v>
      </c>
      <c r="M6" s="84">
        <v>1</v>
      </c>
      <c r="N6" s="81">
        <v>14</v>
      </c>
      <c r="O6" s="81">
        <v>0</v>
      </c>
    </row>
    <row r="7" spans="1:15" x14ac:dyDescent="0.25">
      <c r="A7" s="83">
        <v>13015</v>
      </c>
      <c r="B7" s="84">
        <v>398761.88999999996</v>
      </c>
      <c r="C7" s="84">
        <v>2260.87</v>
      </c>
      <c r="D7" s="84">
        <v>69351.820000000007</v>
      </c>
      <c r="E7" s="84">
        <v>9876</v>
      </c>
      <c r="F7" s="84">
        <v>51</v>
      </c>
      <c r="G7" s="84">
        <v>15</v>
      </c>
      <c r="H7" s="84">
        <v>390</v>
      </c>
      <c r="I7" s="84">
        <v>14</v>
      </c>
      <c r="J7" s="84">
        <v>19</v>
      </c>
      <c r="K7" s="84">
        <v>14</v>
      </c>
      <c r="L7" s="84">
        <v>32</v>
      </c>
      <c r="M7" s="84">
        <v>3</v>
      </c>
      <c r="N7" s="81">
        <v>13</v>
      </c>
      <c r="O7" s="81">
        <v>0</v>
      </c>
    </row>
    <row r="8" spans="1:15" x14ac:dyDescent="0.25">
      <c r="A8" s="83">
        <v>13016</v>
      </c>
      <c r="B8" s="84">
        <v>754797</v>
      </c>
      <c r="C8" s="84">
        <v>27587.93</v>
      </c>
      <c r="D8" s="84">
        <v>107635.11999999997</v>
      </c>
      <c r="E8" s="84">
        <v>350</v>
      </c>
      <c r="F8" s="84">
        <v>81</v>
      </c>
      <c r="G8" s="84">
        <v>15</v>
      </c>
      <c r="H8" s="84">
        <v>269</v>
      </c>
      <c r="I8" s="84">
        <v>8</v>
      </c>
      <c r="J8" s="84">
        <v>3</v>
      </c>
      <c r="K8" s="84">
        <v>25</v>
      </c>
      <c r="L8" s="84">
        <v>35</v>
      </c>
      <c r="M8" s="84">
        <v>0</v>
      </c>
      <c r="N8" s="81">
        <v>39</v>
      </c>
      <c r="O8" s="81">
        <v>0</v>
      </c>
    </row>
    <row r="9" spans="1:15" x14ac:dyDescent="0.25">
      <c r="A9" s="83">
        <v>23012</v>
      </c>
      <c r="B9" s="84">
        <v>1515052.3</v>
      </c>
      <c r="C9" s="84">
        <v>53361.77</v>
      </c>
      <c r="D9" s="84">
        <v>226318.93999999997</v>
      </c>
      <c r="E9" s="84">
        <v>2603</v>
      </c>
      <c r="F9" s="84">
        <v>120</v>
      </c>
      <c r="G9" s="84">
        <v>20</v>
      </c>
      <c r="H9" s="84">
        <v>814</v>
      </c>
      <c r="I9" s="84">
        <v>21</v>
      </c>
      <c r="J9" s="84">
        <v>17</v>
      </c>
      <c r="K9" s="84">
        <v>57</v>
      </c>
      <c r="L9" s="84">
        <v>26</v>
      </c>
      <c r="M9" s="84">
        <v>3</v>
      </c>
      <c r="N9" s="81">
        <v>72</v>
      </c>
      <c r="O9" s="81">
        <v>0</v>
      </c>
    </row>
    <row r="10" spans="1:15" x14ac:dyDescent="0.25">
      <c r="A10" s="83">
        <v>23015</v>
      </c>
      <c r="B10" s="84">
        <v>272939.19999999995</v>
      </c>
      <c r="C10" s="84">
        <v>12062.31</v>
      </c>
      <c r="D10" s="84">
        <v>61897.569999999992</v>
      </c>
      <c r="E10" s="84">
        <v>2380</v>
      </c>
      <c r="F10" s="84">
        <v>31</v>
      </c>
      <c r="G10" s="84">
        <v>3</v>
      </c>
      <c r="H10" s="84">
        <v>162</v>
      </c>
      <c r="I10" s="84">
        <v>10</v>
      </c>
      <c r="J10" s="84">
        <v>35</v>
      </c>
      <c r="K10" s="84">
        <v>16</v>
      </c>
      <c r="L10" s="84">
        <v>12</v>
      </c>
      <c r="M10" s="84">
        <v>1</v>
      </c>
      <c r="N10" s="81">
        <v>11</v>
      </c>
      <c r="O10" s="81">
        <v>0</v>
      </c>
    </row>
    <row r="11" spans="1:15" x14ac:dyDescent="0.25">
      <c r="A11" s="83">
        <v>33026</v>
      </c>
      <c r="B11" s="84">
        <v>310175.82</v>
      </c>
      <c r="C11" s="84">
        <v>9650.43</v>
      </c>
      <c r="D11" s="84">
        <v>41909.949999999997</v>
      </c>
      <c r="E11" s="84">
        <v>0</v>
      </c>
      <c r="F11" s="84">
        <v>27</v>
      </c>
      <c r="G11" s="84">
        <v>2</v>
      </c>
      <c r="H11" s="84">
        <v>339</v>
      </c>
      <c r="I11" s="84">
        <v>20</v>
      </c>
      <c r="J11" s="84">
        <v>30</v>
      </c>
      <c r="K11" s="84">
        <v>13</v>
      </c>
      <c r="L11" s="84">
        <v>14</v>
      </c>
      <c r="M11" s="84">
        <v>0</v>
      </c>
      <c r="N11" s="81">
        <v>13</v>
      </c>
      <c r="O11" s="81">
        <v>0</v>
      </c>
    </row>
    <row r="12" spans="1:15" x14ac:dyDescent="0.25">
      <c r="A12" s="83">
        <v>33027</v>
      </c>
      <c r="B12" s="84">
        <v>594268.87</v>
      </c>
      <c r="C12" s="84">
        <v>52166.289999999994</v>
      </c>
      <c r="D12" s="84">
        <v>104745.41999999998</v>
      </c>
      <c r="E12" s="84">
        <v>290</v>
      </c>
      <c r="F12" s="84">
        <v>110</v>
      </c>
      <c r="G12" s="84">
        <v>11</v>
      </c>
      <c r="H12" s="84">
        <v>303</v>
      </c>
      <c r="I12" s="84">
        <v>11</v>
      </c>
      <c r="J12" s="84">
        <v>21</v>
      </c>
      <c r="K12" s="84">
        <v>33</v>
      </c>
      <c r="L12" s="84">
        <v>53</v>
      </c>
      <c r="M12" s="84">
        <v>0</v>
      </c>
      <c r="N12" s="81">
        <v>11</v>
      </c>
      <c r="O12" s="81">
        <v>0</v>
      </c>
    </row>
    <row r="13" spans="1:15" x14ac:dyDescent="0.25">
      <c r="A13" s="83">
        <v>43004</v>
      </c>
      <c r="B13" s="84">
        <v>369202.77</v>
      </c>
      <c r="C13" s="84">
        <v>7672.1399999999994</v>
      </c>
      <c r="D13" s="84">
        <v>54918.579999999994</v>
      </c>
      <c r="E13" s="84">
        <v>0</v>
      </c>
      <c r="F13" s="84">
        <v>47</v>
      </c>
      <c r="G13" s="84">
        <v>6</v>
      </c>
      <c r="H13" s="84">
        <v>452</v>
      </c>
      <c r="I13" s="84">
        <v>6</v>
      </c>
      <c r="J13" s="84">
        <v>17</v>
      </c>
      <c r="K13" s="84">
        <v>12</v>
      </c>
      <c r="L13" s="84">
        <v>4</v>
      </c>
      <c r="M13" s="84">
        <v>2</v>
      </c>
      <c r="N13" s="81">
        <v>16</v>
      </c>
      <c r="O13" s="81">
        <v>0</v>
      </c>
    </row>
    <row r="14" spans="1:15" x14ac:dyDescent="0.25">
      <c r="A14" s="83">
        <v>73001</v>
      </c>
      <c r="B14" s="84">
        <v>862267.40000000014</v>
      </c>
      <c r="C14" s="84">
        <v>77571.010000000009</v>
      </c>
      <c r="D14" s="84">
        <v>183655.36999999997</v>
      </c>
      <c r="E14" s="84">
        <v>2818</v>
      </c>
      <c r="F14" s="84">
        <v>91</v>
      </c>
      <c r="G14" s="84">
        <v>11</v>
      </c>
      <c r="H14" s="84">
        <v>587</v>
      </c>
      <c r="I14" s="84">
        <v>12</v>
      </c>
      <c r="J14" s="84">
        <v>13</v>
      </c>
      <c r="K14" s="84">
        <v>36</v>
      </c>
      <c r="L14" s="84">
        <v>55</v>
      </c>
      <c r="M14" s="84">
        <v>1</v>
      </c>
      <c r="N14" s="81">
        <v>37</v>
      </c>
      <c r="O14" s="81">
        <v>0</v>
      </c>
    </row>
    <row r="15" spans="1:15" x14ac:dyDescent="0.25">
      <c r="A15" s="83">
        <v>73002</v>
      </c>
      <c r="B15" s="84">
        <v>335310.56</v>
      </c>
      <c r="C15" s="84">
        <v>41728.68</v>
      </c>
      <c r="D15" s="84">
        <v>68806.580000000016</v>
      </c>
      <c r="E15" s="84">
        <v>0</v>
      </c>
      <c r="F15" s="84">
        <v>31</v>
      </c>
      <c r="G15" s="84">
        <v>2</v>
      </c>
      <c r="H15" s="84">
        <v>190</v>
      </c>
      <c r="I15" s="84">
        <v>8</v>
      </c>
      <c r="J15" s="84">
        <v>10</v>
      </c>
      <c r="K15" s="84">
        <v>6</v>
      </c>
      <c r="L15" s="84">
        <v>8</v>
      </c>
      <c r="M15" s="84">
        <v>1</v>
      </c>
      <c r="N15" s="81">
        <v>12</v>
      </c>
      <c r="O15" s="81">
        <v>0</v>
      </c>
    </row>
    <row r="16" spans="1:15" x14ac:dyDescent="0.25">
      <c r="A16" s="83">
        <v>73004</v>
      </c>
      <c r="B16" s="84">
        <v>139913.07999999999</v>
      </c>
      <c r="C16" s="84">
        <v>23392.160000000003</v>
      </c>
      <c r="D16" s="84">
        <v>37494.81</v>
      </c>
      <c r="E16" s="84">
        <v>2529</v>
      </c>
      <c r="F16" s="84">
        <v>35</v>
      </c>
      <c r="G16" s="84">
        <v>4</v>
      </c>
      <c r="H16" s="84">
        <v>24</v>
      </c>
      <c r="I16" s="84">
        <v>0</v>
      </c>
      <c r="J16" s="84">
        <v>0</v>
      </c>
      <c r="K16" s="84">
        <v>18</v>
      </c>
      <c r="L16" s="84">
        <v>7</v>
      </c>
      <c r="M16" s="84">
        <v>0</v>
      </c>
      <c r="N16" s="81">
        <v>4</v>
      </c>
      <c r="O16" s="81">
        <v>0</v>
      </c>
    </row>
    <row r="17" spans="1:15" s="101" customFormat="1" x14ac:dyDescent="0.25">
      <c r="A17" s="98">
        <v>73006</v>
      </c>
      <c r="B17" s="99">
        <v>65038.299999999996</v>
      </c>
      <c r="C17" s="99">
        <v>3216.52</v>
      </c>
      <c r="D17" s="99">
        <v>11493.46</v>
      </c>
      <c r="E17" s="84">
        <v>0</v>
      </c>
      <c r="F17" s="84">
        <v>26</v>
      </c>
      <c r="G17" s="99">
        <v>1</v>
      </c>
      <c r="H17" s="99">
        <v>47</v>
      </c>
      <c r="I17" s="99">
        <v>2</v>
      </c>
      <c r="J17" s="99">
        <v>1</v>
      </c>
      <c r="K17" s="84">
        <v>7</v>
      </c>
      <c r="L17" s="84">
        <v>32</v>
      </c>
      <c r="M17" s="99">
        <v>0</v>
      </c>
      <c r="N17" s="100">
        <v>1</v>
      </c>
      <c r="O17" s="100">
        <v>0</v>
      </c>
    </row>
    <row r="18" spans="1:15" x14ac:dyDescent="0.25">
      <c r="A18" s="83">
        <v>73008</v>
      </c>
      <c r="B18" s="84">
        <v>834349.8600000001</v>
      </c>
      <c r="C18" s="84">
        <v>134534.40999999997</v>
      </c>
      <c r="D18" s="84">
        <v>137816.96000000002</v>
      </c>
      <c r="E18" s="84">
        <v>4912</v>
      </c>
      <c r="F18" s="84">
        <v>127</v>
      </c>
      <c r="G18" s="84">
        <v>10</v>
      </c>
      <c r="H18" s="84">
        <v>503</v>
      </c>
      <c r="I18" s="84">
        <v>24</v>
      </c>
      <c r="J18" s="84">
        <v>23</v>
      </c>
      <c r="K18" s="84">
        <v>49</v>
      </c>
      <c r="L18" s="84">
        <v>41</v>
      </c>
      <c r="M18" s="84">
        <v>0</v>
      </c>
      <c r="N18" s="81">
        <v>14</v>
      </c>
      <c r="O18" s="81">
        <v>0</v>
      </c>
    </row>
    <row r="19" spans="1:15" x14ac:dyDescent="0.25">
      <c r="A19" s="83">
        <v>73009</v>
      </c>
      <c r="B19" s="84">
        <v>994551.79000000015</v>
      </c>
      <c r="C19" s="84">
        <v>144511.32999999999</v>
      </c>
      <c r="D19" s="84">
        <v>199887.58999999997</v>
      </c>
      <c r="E19" s="84">
        <v>2561</v>
      </c>
      <c r="F19" s="84">
        <v>135</v>
      </c>
      <c r="G19" s="84">
        <v>13</v>
      </c>
      <c r="H19" s="84">
        <v>713</v>
      </c>
      <c r="I19" s="84">
        <v>31</v>
      </c>
      <c r="J19" s="84">
        <v>40</v>
      </c>
      <c r="K19" s="84">
        <v>63</v>
      </c>
      <c r="L19" s="84">
        <v>43</v>
      </c>
      <c r="M19" s="84">
        <v>0</v>
      </c>
      <c r="N19" s="81">
        <v>31</v>
      </c>
      <c r="O19" s="81">
        <v>0</v>
      </c>
    </row>
    <row r="20" spans="1:15" x14ac:dyDescent="0.25">
      <c r="A20" s="83">
        <v>73010</v>
      </c>
      <c r="B20" s="84">
        <v>202363.53000000003</v>
      </c>
      <c r="C20" s="84">
        <v>9997.39</v>
      </c>
      <c r="D20" s="84">
        <v>68650.040000000008</v>
      </c>
      <c r="E20" s="84">
        <v>0</v>
      </c>
      <c r="F20" s="84">
        <v>47</v>
      </c>
      <c r="G20" s="84">
        <v>1</v>
      </c>
      <c r="H20" s="84">
        <v>109</v>
      </c>
      <c r="I20" s="84">
        <v>7</v>
      </c>
      <c r="J20" s="84">
        <v>7</v>
      </c>
      <c r="K20" s="84">
        <v>15</v>
      </c>
      <c r="L20" s="84">
        <v>4</v>
      </c>
      <c r="M20" s="84">
        <v>0</v>
      </c>
      <c r="N20" s="81">
        <v>16</v>
      </c>
      <c r="O20" s="81">
        <v>0</v>
      </c>
    </row>
    <row r="21" spans="1:15" x14ac:dyDescent="0.25">
      <c r="A21" s="83">
        <v>73011</v>
      </c>
      <c r="B21" s="84">
        <v>1052260.19</v>
      </c>
      <c r="C21" s="84">
        <v>46359.199999999997</v>
      </c>
      <c r="D21" s="84">
        <v>149197.16999999998</v>
      </c>
      <c r="E21" s="84">
        <v>2470</v>
      </c>
      <c r="F21" s="84">
        <v>77</v>
      </c>
      <c r="G21" s="84">
        <v>6</v>
      </c>
      <c r="H21" s="84">
        <v>651</v>
      </c>
      <c r="I21" s="84">
        <v>19</v>
      </c>
      <c r="J21" s="84">
        <v>23</v>
      </c>
      <c r="K21" s="84">
        <v>17</v>
      </c>
      <c r="L21" s="84">
        <v>17</v>
      </c>
      <c r="M21" s="84">
        <v>0</v>
      </c>
      <c r="N21" s="81">
        <v>24</v>
      </c>
      <c r="O21" s="81">
        <v>0</v>
      </c>
    </row>
    <row r="22" spans="1:15" x14ac:dyDescent="0.25">
      <c r="A22" s="83">
        <v>73013</v>
      </c>
      <c r="B22" s="84">
        <v>460532.27</v>
      </c>
      <c r="C22" s="84">
        <v>10467.82</v>
      </c>
      <c r="D22" s="84">
        <v>62361.279999999999</v>
      </c>
      <c r="E22" s="84">
        <v>0</v>
      </c>
      <c r="F22" s="84">
        <v>36</v>
      </c>
      <c r="G22" s="84">
        <v>2</v>
      </c>
      <c r="H22" s="84">
        <v>291</v>
      </c>
      <c r="I22" s="84">
        <v>15</v>
      </c>
      <c r="J22" s="84">
        <v>5</v>
      </c>
      <c r="K22" s="84">
        <v>27</v>
      </c>
      <c r="L22" s="84">
        <v>0</v>
      </c>
      <c r="M22" s="84">
        <v>0</v>
      </c>
      <c r="N22" s="81">
        <v>33</v>
      </c>
      <c r="O22" s="81">
        <v>0</v>
      </c>
    </row>
    <row r="23" spans="1:15" x14ac:dyDescent="0.25">
      <c r="A23" s="83">
        <v>73014</v>
      </c>
      <c r="B23" s="84">
        <v>282540.18</v>
      </c>
      <c r="C23" s="84">
        <v>15536.53</v>
      </c>
      <c r="D23" s="84">
        <v>63094.71</v>
      </c>
      <c r="E23" s="84">
        <v>0</v>
      </c>
      <c r="F23" s="84">
        <v>8</v>
      </c>
      <c r="G23" s="84">
        <v>2</v>
      </c>
      <c r="H23" s="84">
        <v>171</v>
      </c>
      <c r="I23" s="84">
        <v>15</v>
      </c>
      <c r="J23" s="84">
        <v>2</v>
      </c>
      <c r="K23" s="84">
        <v>9</v>
      </c>
      <c r="L23" s="84">
        <v>1</v>
      </c>
      <c r="M23" s="84">
        <v>0</v>
      </c>
      <c r="N23" s="81">
        <v>6</v>
      </c>
      <c r="O23" s="81">
        <v>0</v>
      </c>
    </row>
    <row r="24" spans="1:15" x14ac:dyDescent="0.25">
      <c r="A24" s="83">
        <v>73015</v>
      </c>
      <c r="B24" s="84">
        <v>645835.88000000012</v>
      </c>
      <c r="C24" s="84">
        <v>66811.959999999992</v>
      </c>
      <c r="D24" s="84">
        <v>147688.51</v>
      </c>
      <c r="E24" s="84">
        <v>534</v>
      </c>
      <c r="F24" s="84">
        <v>97</v>
      </c>
      <c r="G24" s="84">
        <v>4</v>
      </c>
      <c r="H24" s="84">
        <v>338</v>
      </c>
      <c r="I24" s="84">
        <v>18</v>
      </c>
      <c r="J24" s="84">
        <v>25</v>
      </c>
      <c r="K24" s="84">
        <v>57</v>
      </c>
      <c r="L24" s="84">
        <v>52</v>
      </c>
      <c r="M24" s="84">
        <v>0</v>
      </c>
      <c r="N24" s="81">
        <v>14</v>
      </c>
      <c r="O24" s="81">
        <v>0</v>
      </c>
    </row>
    <row r="25" spans="1:15" x14ac:dyDescent="0.25">
      <c r="A25" s="83">
        <v>73024</v>
      </c>
      <c r="B25" s="84">
        <v>660541.8600000001</v>
      </c>
      <c r="C25" s="84">
        <v>10779.14</v>
      </c>
      <c r="D25" s="84">
        <v>85087.829999999987</v>
      </c>
      <c r="E25" s="84">
        <v>2846</v>
      </c>
      <c r="F25" s="84">
        <v>72</v>
      </c>
      <c r="G25" s="84">
        <v>14</v>
      </c>
      <c r="H25" s="84">
        <v>321</v>
      </c>
      <c r="I25" s="84">
        <v>3</v>
      </c>
      <c r="J25" s="84">
        <v>39</v>
      </c>
      <c r="K25" s="84">
        <v>30</v>
      </c>
      <c r="L25" s="84">
        <v>50</v>
      </c>
      <c r="M25" s="84">
        <v>0</v>
      </c>
      <c r="N25" s="81">
        <v>10</v>
      </c>
      <c r="O25" s="81">
        <v>0</v>
      </c>
    </row>
    <row r="26" spans="1:15" x14ac:dyDescent="0.25">
      <c r="A26" s="83">
        <v>73025</v>
      </c>
      <c r="B26" s="84">
        <v>531794.27</v>
      </c>
      <c r="C26" s="84">
        <v>10175.369999999999</v>
      </c>
      <c r="D26" s="84">
        <v>51232.200000000004</v>
      </c>
      <c r="E26" s="84">
        <v>4063</v>
      </c>
      <c r="F26" s="84">
        <v>40</v>
      </c>
      <c r="G26" s="84">
        <v>3</v>
      </c>
      <c r="H26" s="84">
        <v>183</v>
      </c>
      <c r="I26" s="84">
        <v>3</v>
      </c>
      <c r="J26" s="84">
        <v>8</v>
      </c>
      <c r="K26" s="84">
        <v>11</v>
      </c>
      <c r="L26" s="84">
        <v>4</v>
      </c>
      <c r="M26" s="84">
        <v>0</v>
      </c>
      <c r="N26" s="81">
        <v>7</v>
      </c>
      <c r="O26" s="81">
        <v>0</v>
      </c>
    </row>
    <row r="27" spans="1:15" x14ac:dyDescent="0.25">
      <c r="A27" s="83">
        <v>73029</v>
      </c>
      <c r="B27" s="84">
        <v>404536.61</v>
      </c>
      <c r="C27" s="84">
        <v>20126.080000000002</v>
      </c>
      <c r="D27" s="84">
        <v>46164.72</v>
      </c>
      <c r="E27" s="84">
        <v>379</v>
      </c>
      <c r="F27" s="84">
        <v>32</v>
      </c>
      <c r="G27" s="84">
        <v>5</v>
      </c>
      <c r="H27" s="84">
        <v>386</v>
      </c>
      <c r="I27" s="84">
        <v>7</v>
      </c>
      <c r="J27" s="84">
        <v>3</v>
      </c>
      <c r="K27" s="84">
        <v>20</v>
      </c>
      <c r="L27" s="84">
        <v>2</v>
      </c>
      <c r="M27" s="84">
        <v>0</v>
      </c>
      <c r="N27" s="81">
        <v>4</v>
      </c>
      <c r="O27" s="81">
        <v>0</v>
      </c>
    </row>
    <row r="28" spans="1:15" x14ac:dyDescent="0.25">
      <c r="A28" s="83">
        <v>73030</v>
      </c>
      <c r="B28" s="84">
        <v>119844.37</v>
      </c>
      <c r="C28" s="84">
        <v>1724.35</v>
      </c>
      <c r="D28" s="84">
        <v>4377.3900000000003</v>
      </c>
      <c r="E28" s="84">
        <v>0</v>
      </c>
      <c r="F28" s="84">
        <v>24</v>
      </c>
      <c r="G28" s="84">
        <v>2</v>
      </c>
      <c r="H28" s="84">
        <v>528</v>
      </c>
      <c r="I28" s="84">
        <v>16</v>
      </c>
      <c r="J28" s="84">
        <v>165</v>
      </c>
      <c r="K28" s="84">
        <v>2</v>
      </c>
      <c r="L28" s="84">
        <v>73</v>
      </c>
      <c r="M28" s="84">
        <v>0</v>
      </c>
      <c r="N28" s="81">
        <v>0</v>
      </c>
      <c r="O28" s="81">
        <v>0</v>
      </c>
    </row>
    <row r="29" spans="1:15" x14ac:dyDescent="0.25">
      <c r="A29" s="83">
        <v>73031</v>
      </c>
      <c r="B29" s="84">
        <v>242347.03000000003</v>
      </c>
      <c r="C29" s="84">
        <v>8466.08</v>
      </c>
      <c r="D29" s="84">
        <v>36620.030000000006</v>
      </c>
      <c r="E29" s="84">
        <v>238</v>
      </c>
      <c r="F29" s="84">
        <v>35</v>
      </c>
      <c r="G29" s="84">
        <v>2</v>
      </c>
      <c r="H29" s="84">
        <v>194</v>
      </c>
      <c r="I29" s="84">
        <v>2</v>
      </c>
      <c r="J29" s="84">
        <v>10</v>
      </c>
      <c r="K29" s="84">
        <v>20</v>
      </c>
      <c r="L29" s="84">
        <v>3</v>
      </c>
      <c r="M29" s="84">
        <v>0</v>
      </c>
      <c r="N29" s="81">
        <v>4</v>
      </c>
      <c r="O29" s="81">
        <v>0</v>
      </c>
    </row>
    <row r="30" spans="1:15" x14ac:dyDescent="0.25">
      <c r="A30" s="83">
        <v>73036</v>
      </c>
      <c r="B30" s="84">
        <v>1513655.46</v>
      </c>
      <c r="C30" s="84">
        <v>62648.22</v>
      </c>
      <c r="D30" s="84">
        <v>221256.8</v>
      </c>
      <c r="E30" s="84">
        <v>120</v>
      </c>
      <c r="F30" s="84">
        <v>90</v>
      </c>
      <c r="G30" s="84">
        <v>15</v>
      </c>
      <c r="H30" s="84">
        <v>660</v>
      </c>
      <c r="I30" s="84">
        <v>5</v>
      </c>
      <c r="J30" s="84">
        <v>23</v>
      </c>
      <c r="K30" s="84">
        <v>58</v>
      </c>
      <c r="L30" s="84">
        <v>41</v>
      </c>
      <c r="M30" s="84">
        <v>0</v>
      </c>
      <c r="N30" s="81">
        <v>86</v>
      </c>
      <c r="O30" s="81">
        <v>0</v>
      </c>
    </row>
    <row r="31" spans="1:15" x14ac:dyDescent="0.25">
      <c r="A31" s="83">
        <v>73037</v>
      </c>
      <c r="B31" s="84">
        <v>572501.91</v>
      </c>
      <c r="C31" s="84">
        <v>18691.02</v>
      </c>
      <c r="D31" s="84">
        <v>103543.37</v>
      </c>
      <c r="E31" s="84">
        <v>1053</v>
      </c>
      <c r="F31" s="84">
        <v>69</v>
      </c>
      <c r="G31" s="84">
        <v>11</v>
      </c>
      <c r="H31" s="84">
        <v>505</v>
      </c>
      <c r="I31" s="84">
        <v>24</v>
      </c>
      <c r="J31" s="84">
        <v>11</v>
      </c>
      <c r="K31" s="84">
        <v>20</v>
      </c>
      <c r="L31" s="84">
        <v>23</v>
      </c>
      <c r="M31" s="84">
        <v>0</v>
      </c>
      <c r="N31" s="81">
        <v>11</v>
      </c>
      <c r="O31" s="81">
        <v>0</v>
      </c>
    </row>
    <row r="32" spans="1:15" x14ac:dyDescent="0.25">
      <c r="A32" s="83">
        <v>73038</v>
      </c>
      <c r="B32" s="84">
        <v>603188.92000000004</v>
      </c>
      <c r="C32" s="84">
        <v>21315.65</v>
      </c>
      <c r="D32" s="84">
        <v>85268.23</v>
      </c>
      <c r="E32" s="84">
        <v>4388</v>
      </c>
      <c r="F32" s="84">
        <v>80</v>
      </c>
      <c r="G32" s="84">
        <v>10</v>
      </c>
      <c r="H32" s="84">
        <v>383</v>
      </c>
      <c r="I32" s="84">
        <v>13</v>
      </c>
      <c r="J32" s="84">
        <v>21</v>
      </c>
      <c r="K32" s="84">
        <v>13</v>
      </c>
      <c r="L32" s="84">
        <v>23</v>
      </c>
      <c r="M32" s="84">
        <v>0</v>
      </c>
      <c r="N32" s="81">
        <v>17</v>
      </c>
      <c r="O32" s="81">
        <v>0</v>
      </c>
    </row>
    <row r="33" spans="1:15" x14ac:dyDescent="0.25">
      <c r="A33" s="83">
        <v>75001</v>
      </c>
      <c r="B33" s="84">
        <v>926835.15000000014</v>
      </c>
      <c r="C33" s="84">
        <v>26795.360000000001</v>
      </c>
      <c r="D33" s="84">
        <v>130525.21</v>
      </c>
      <c r="E33" s="84">
        <v>389</v>
      </c>
      <c r="F33" s="84">
        <v>38</v>
      </c>
      <c r="G33" s="84">
        <v>7</v>
      </c>
      <c r="H33" s="84">
        <v>504</v>
      </c>
      <c r="I33" s="84">
        <v>9</v>
      </c>
      <c r="J33" s="84">
        <v>7</v>
      </c>
      <c r="K33" s="84">
        <v>27</v>
      </c>
      <c r="L33" s="84">
        <v>3</v>
      </c>
      <c r="M33" s="84">
        <v>0</v>
      </c>
      <c r="N33" s="81">
        <v>18</v>
      </c>
      <c r="O33" s="81">
        <v>0</v>
      </c>
    </row>
    <row r="34" spans="1:15" x14ac:dyDescent="0.25">
      <c r="A34" s="83">
        <v>75002</v>
      </c>
      <c r="B34" s="84">
        <v>388575.78</v>
      </c>
      <c r="C34" s="84">
        <v>17248.700000000004</v>
      </c>
      <c r="D34" s="84">
        <v>43446.939999999995</v>
      </c>
      <c r="E34" s="84">
        <v>0</v>
      </c>
      <c r="F34" s="84">
        <v>22</v>
      </c>
      <c r="G34" s="84">
        <v>1</v>
      </c>
      <c r="H34" s="84">
        <v>210</v>
      </c>
      <c r="I34" s="84">
        <v>2</v>
      </c>
      <c r="J34" s="84">
        <v>8</v>
      </c>
      <c r="K34" s="84">
        <v>17</v>
      </c>
      <c r="L34" s="84">
        <v>6</v>
      </c>
      <c r="M34" s="84">
        <v>0</v>
      </c>
      <c r="N34" s="81">
        <v>16</v>
      </c>
      <c r="O34" s="81">
        <v>0</v>
      </c>
    </row>
    <row r="35" spans="1:15" x14ac:dyDescent="0.25">
      <c r="A35" s="83">
        <v>75003</v>
      </c>
      <c r="B35" s="84">
        <v>201096.80000000002</v>
      </c>
      <c r="C35" s="84">
        <v>9648.6299999999992</v>
      </c>
      <c r="D35" s="84">
        <v>60662.020000000004</v>
      </c>
      <c r="E35" s="84">
        <v>478</v>
      </c>
      <c r="F35" s="84">
        <v>21</v>
      </c>
      <c r="G35" s="84">
        <v>2</v>
      </c>
      <c r="H35" s="84">
        <v>99</v>
      </c>
      <c r="I35" s="84">
        <v>5</v>
      </c>
      <c r="J35" s="84">
        <v>8</v>
      </c>
      <c r="K35" s="84">
        <v>25</v>
      </c>
      <c r="L35" s="84">
        <v>0</v>
      </c>
      <c r="M35" s="84">
        <v>0</v>
      </c>
      <c r="N35" s="81">
        <v>15</v>
      </c>
      <c r="O35" s="81">
        <v>0</v>
      </c>
    </row>
    <row r="36" spans="1:15" x14ac:dyDescent="0.25">
      <c r="A36" s="83">
        <v>75004</v>
      </c>
      <c r="B36" s="84">
        <v>1455058.15</v>
      </c>
      <c r="C36" s="84">
        <v>64011.260000000009</v>
      </c>
      <c r="D36" s="84">
        <v>161740.91</v>
      </c>
      <c r="E36" s="84">
        <v>0</v>
      </c>
      <c r="F36" s="84">
        <v>56</v>
      </c>
      <c r="G36" s="84">
        <v>10</v>
      </c>
      <c r="H36" s="84">
        <v>585</v>
      </c>
      <c r="I36" s="84">
        <v>13</v>
      </c>
      <c r="J36" s="84">
        <v>19</v>
      </c>
      <c r="K36" s="84">
        <v>41</v>
      </c>
      <c r="L36" s="84">
        <v>18</v>
      </c>
      <c r="M36" s="84">
        <v>0</v>
      </c>
      <c r="N36" s="81">
        <v>45</v>
      </c>
      <c r="O36" s="81">
        <v>0</v>
      </c>
    </row>
    <row r="37" spans="1:15" x14ac:dyDescent="0.25">
      <c r="A37" s="83">
        <v>75005</v>
      </c>
      <c r="B37" s="84">
        <v>369338.42</v>
      </c>
      <c r="C37" s="84">
        <v>3702.61</v>
      </c>
      <c r="D37" s="84">
        <v>53771.290000000008</v>
      </c>
      <c r="E37" s="84">
        <v>80</v>
      </c>
      <c r="F37" s="84">
        <v>15</v>
      </c>
      <c r="G37" s="84">
        <v>3</v>
      </c>
      <c r="H37" s="84">
        <v>214</v>
      </c>
      <c r="I37" s="84">
        <v>5</v>
      </c>
      <c r="J37" s="84">
        <v>7</v>
      </c>
      <c r="K37" s="84">
        <v>23</v>
      </c>
      <c r="L37" s="84">
        <v>5</v>
      </c>
      <c r="M37" s="84">
        <v>0</v>
      </c>
      <c r="N37" s="81">
        <v>11</v>
      </c>
      <c r="O37" s="81">
        <v>0</v>
      </c>
    </row>
    <row r="38" spans="1:15" x14ac:dyDescent="0.25">
      <c r="A38" s="83">
        <v>75008</v>
      </c>
      <c r="B38" s="84">
        <v>607100.22000000009</v>
      </c>
      <c r="C38" s="84">
        <v>18402.629999999997</v>
      </c>
      <c r="D38" s="84">
        <v>92618.49</v>
      </c>
      <c r="E38" s="84">
        <v>210</v>
      </c>
      <c r="F38" s="84">
        <v>33</v>
      </c>
      <c r="G38" s="84">
        <v>13</v>
      </c>
      <c r="H38" s="84">
        <v>180</v>
      </c>
      <c r="I38" s="84">
        <v>2</v>
      </c>
      <c r="J38" s="84">
        <v>14</v>
      </c>
      <c r="K38" s="84">
        <v>23</v>
      </c>
      <c r="L38" s="84">
        <v>7</v>
      </c>
      <c r="M38" s="84">
        <v>0</v>
      </c>
      <c r="N38" s="81">
        <v>29</v>
      </c>
      <c r="O38" s="81">
        <v>0</v>
      </c>
    </row>
    <row r="39" spans="1:15" x14ac:dyDescent="0.25">
      <c r="A39" s="83">
        <v>75011</v>
      </c>
      <c r="B39" s="84">
        <v>174549.6</v>
      </c>
      <c r="C39" s="84">
        <v>7323.01</v>
      </c>
      <c r="D39" s="84">
        <v>32530.420000000002</v>
      </c>
      <c r="E39" s="84">
        <v>0</v>
      </c>
      <c r="F39" s="84">
        <v>13</v>
      </c>
      <c r="G39" s="84">
        <v>4</v>
      </c>
      <c r="H39" s="84">
        <v>158</v>
      </c>
      <c r="I39" s="84">
        <v>3</v>
      </c>
      <c r="J39" s="84">
        <v>12</v>
      </c>
      <c r="K39" s="84">
        <v>17</v>
      </c>
      <c r="L39" s="84">
        <v>0</v>
      </c>
      <c r="M39" s="84">
        <v>0</v>
      </c>
      <c r="N39" s="81">
        <v>9</v>
      </c>
      <c r="O39" s="81">
        <v>0</v>
      </c>
    </row>
    <row r="40" spans="1:15" x14ac:dyDescent="0.25">
      <c r="A40" s="83">
        <v>75012</v>
      </c>
      <c r="B40" s="84">
        <v>371747.02</v>
      </c>
      <c r="C40" s="84">
        <v>7430.7199999999993</v>
      </c>
      <c r="D40" s="84">
        <v>97748.09</v>
      </c>
      <c r="E40" s="84">
        <v>50</v>
      </c>
      <c r="F40" s="84">
        <v>16</v>
      </c>
      <c r="G40" s="84">
        <v>8</v>
      </c>
      <c r="H40" s="84">
        <v>175</v>
      </c>
      <c r="I40" s="84">
        <v>5</v>
      </c>
      <c r="J40" s="84">
        <v>23</v>
      </c>
      <c r="K40" s="84">
        <v>18</v>
      </c>
      <c r="L40" s="84">
        <v>0</v>
      </c>
      <c r="M40" s="84">
        <v>0</v>
      </c>
      <c r="N40" s="81">
        <v>32</v>
      </c>
      <c r="O40" s="81">
        <v>0</v>
      </c>
    </row>
    <row r="41" spans="1:15" x14ac:dyDescent="0.25">
      <c r="A41" s="83">
        <v>75013</v>
      </c>
      <c r="B41" s="84">
        <v>447094.1700000001</v>
      </c>
      <c r="C41" s="84">
        <v>101333.87999999999</v>
      </c>
      <c r="D41" s="84">
        <v>94122.19</v>
      </c>
      <c r="E41" s="84">
        <v>997</v>
      </c>
      <c r="F41" s="84">
        <v>8</v>
      </c>
      <c r="G41" s="84">
        <v>4</v>
      </c>
      <c r="H41" s="84">
        <v>227</v>
      </c>
      <c r="I41" s="84">
        <v>2</v>
      </c>
      <c r="J41" s="84">
        <v>3</v>
      </c>
      <c r="K41" s="84">
        <v>14</v>
      </c>
      <c r="L41" s="84">
        <v>17</v>
      </c>
      <c r="M41" s="84">
        <v>2</v>
      </c>
      <c r="N41" s="81">
        <v>24</v>
      </c>
      <c r="O41" s="81">
        <v>0</v>
      </c>
    </row>
    <row r="42" spans="1:15" x14ac:dyDescent="0.25">
      <c r="A42" s="83">
        <v>75014</v>
      </c>
      <c r="B42" s="84">
        <v>242174.91000000006</v>
      </c>
      <c r="C42" s="84">
        <v>9524.31</v>
      </c>
      <c r="D42" s="84">
        <v>31729.57</v>
      </c>
      <c r="E42" s="84">
        <v>0</v>
      </c>
      <c r="F42" s="84">
        <v>26</v>
      </c>
      <c r="G42" s="84">
        <v>1</v>
      </c>
      <c r="H42" s="84">
        <v>240</v>
      </c>
      <c r="I42" s="84">
        <v>1</v>
      </c>
      <c r="J42" s="84">
        <v>3</v>
      </c>
      <c r="K42" s="84">
        <v>16</v>
      </c>
      <c r="L42" s="84">
        <v>1</v>
      </c>
      <c r="M42" s="84">
        <v>0</v>
      </c>
      <c r="N42" s="81">
        <v>7</v>
      </c>
      <c r="O42" s="81">
        <v>0</v>
      </c>
    </row>
    <row r="43" spans="1:15" x14ac:dyDescent="0.25">
      <c r="A43" s="83">
        <v>75015</v>
      </c>
      <c r="B43" s="84">
        <v>194832.28</v>
      </c>
      <c r="C43" s="84">
        <v>9649.56</v>
      </c>
      <c r="D43" s="84">
        <v>33462.17</v>
      </c>
      <c r="E43" s="84">
        <v>0</v>
      </c>
      <c r="F43" s="84">
        <v>7</v>
      </c>
      <c r="G43" s="84">
        <v>3</v>
      </c>
      <c r="H43" s="84">
        <v>155</v>
      </c>
      <c r="I43" s="84">
        <v>1</v>
      </c>
      <c r="J43" s="84">
        <v>2</v>
      </c>
      <c r="K43" s="84">
        <v>10</v>
      </c>
      <c r="L43" s="84">
        <v>0</v>
      </c>
      <c r="M43" s="84">
        <v>0</v>
      </c>
      <c r="N43" s="81">
        <v>8</v>
      </c>
      <c r="O43" s="81">
        <v>0</v>
      </c>
    </row>
    <row r="44" spans="1:15" x14ac:dyDescent="0.25">
      <c r="A44" s="83">
        <v>75016</v>
      </c>
      <c r="B44" s="84">
        <v>288095.72000000003</v>
      </c>
      <c r="C44" s="84">
        <v>13844.32</v>
      </c>
      <c r="D44" s="84">
        <v>68409.119999999995</v>
      </c>
      <c r="E44" s="84">
        <v>0</v>
      </c>
      <c r="F44" s="84">
        <v>17</v>
      </c>
      <c r="G44" s="84">
        <v>7</v>
      </c>
      <c r="H44" s="84">
        <v>255</v>
      </c>
      <c r="I44" s="84">
        <v>3</v>
      </c>
      <c r="J44" s="84">
        <v>21</v>
      </c>
      <c r="K44" s="84">
        <v>9</v>
      </c>
      <c r="L44" s="84">
        <v>12</v>
      </c>
      <c r="M44" s="84">
        <v>0</v>
      </c>
      <c r="N44" s="81">
        <v>20</v>
      </c>
      <c r="O44" s="81">
        <v>0</v>
      </c>
    </row>
    <row r="45" spans="1:15" x14ac:dyDescent="0.25">
      <c r="A45" s="83">
        <v>75021</v>
      </c>
      <c r="B45" s="84">
        <v>1228698.76</v>
      </c>
      <c r="C45" s="84">
        <v>80879.8</v>
      </c>
      <c r="D45" s="84">
        <v>200026.61</v>
      </c>
      <c r="E45" s="84">
        <v>400</v>
      </c>
      <c r="F45" s="84">
        <v>88</v>
      </c>
      <c r="G45" s="84">
        <v>13</v>
      </c>
      <c r="H45" s="84">
        <v>509</v>
      </c>
      <c r="I45" s="84">
        <v>28</v>
      </c>
      <c r="J45" s="84">
        <v>65</v>
      </c>
      <c r="K45" s="84">
        <v>48</v>
      </c>
      <c r="L45" s="84">
        <v>19</v>
      </c>
      <c r="M45" s="84">
        <v>1</v>
      </c>
      <c r="N45" s="81">
        <v>59</v>
      </c>
      <c r="O45" s="81">
        <v>0</v>
      </c>
    </row>
    <row r="46" spans="1:15" x14ac:dyDescent="0.25">
      <c r="A46">
        <v>75032</v>
      </c>
      <c r="B46" s="2">
        <v>324644.48000000004</v>
      </c>
      <c r="C46" s="2">
        <v>10829.560000000001</v>
      </c>
      <c r="D46" s="2">
        <v>63976.109999999993</v>
      </c>
      <c r="E46" s="2">
        <v>0</v>
      </c>
      <c r="F46" s="2">
        <v>14</v>
      </c>
      <c r="G46" s="2">
        <v>1</v>
      </c>
      <c r="H46" s="2">
        <v>160</v>
      </c>
      <c r="I46" s="2">
        <v>1</v>
      </c>
      <c r="J46" s="2">
        <v>21</v>
      </c>
      <c r="K46" s="2">
        <v>14</v>
      </c>
      <c r="L46" s="2">
        <v>1</v>
      </c>
      <c r="M46" s="2">
        <v>0</v>
      </c>
      <c r="N46" s="2">
        <v>12</v>
      </c>
    </row>
    <row r="47" spans="1:15" x14ac:dyDescent="0.25">
      <c r="A47" t="s">
        <v>1239</v>
      </c>
      <c r="B47" s="2">
        <v>23632176.990000002</v>
      </c>
      <c r="C47" s="2">
        <v>1344627.59</v>
      </c>
      <c r="D47" s="2">
        <v>3994929.61</v>
      </c>
      <c r="E47" s="2">
        <v>51742</v>
      </c>
      <c r="F47" s="2">
        <v>2249</v>
      </c>
      <c r="G47" s="2">
        <v>308</v>
      </c>
      <c r="H47" s="2">
        <v>14564</v>
      </c>
      <c r="I47" s="2">
        <v>438</v>
      </c>
      <c r="J47" s="2">
        <v>850</v>
      </c>
      <c r="K47" s="2">
        <v>1034</v>
      </c>
      <c r="L47" s="2">
        <v>837</v>
      </c>
      <c r="M47" s="2">
        <v>15</v>
      </c>
      <c r="N47" s="2">
        <v>879</v>
      </c>
    </row>
  </sheetData>
  <autoFilter ref="A1:O45" xr:uid="{1556C89E-0D1E-434E-8584-85E475C906BE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D8828-2A80-4B7A-B6E8-ED21C3A8E6FB}">
  <dimension ref="A1:N68"/>
  <sheetViews>
    <sheetView showGridLines="0" workbookViewId="0">
      <selection activeCell="P15" sqref="P15"/>
    </sheetView>
  </sheetViews>
  <sheetFormatPr defaultRowHeight="15" x14ac:dyDescent="0.25"/>
  <cols>
    <col min="1" max="1" width="6" bestFit="1" customWidth="1"/>
    <col min="2" max="2" width="9.42578125" customWidth="1"/>
    <col min="3" max="3" width="16.42578125" customWidth="1"/>
    <col min="4" max="4" width="11.5703125" customWidth="1"/>
    <col min="5" max="5" width="12.5703125" bestFit="1" customWidth="1"/>
    <col min="6" max="6" width="12.140625" bestFit="1" customWidth="1"/>
    <col min="7" max="7" width="10.42578125" bestFit="1" customWidth="1"/>
    <col min="8" max="8" width="9.5703125" customWidth="1"/>
    <col min="9" max="9" width="10.85546875" customWidth="1"/>
    <col min="10" max="10" width="12.5703125" bestFit="1" customWidth="1"/>
    <col min="11" max="11" width="12.42578125" bestFit="1" customWidth="1"/>
    <col min="12" max="12" width="11.85546875" customWidth="1"/>
    <col min="13" max="13" width="9.140625" customWidth="1"/>
    <col min="14" max="14" width="13.85546875" customWidth="1"/>
  </cols>
  <sheetData>
    <row r="1" spans="1:14" ht="14.45" customHeight="1" x14ac:dyDescent="0.25">
      <c r="A1" s="301"/>
      <c r="B1" s="290" t="s">
        <v>1161</v>
      </c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</row>
    <row r="2" spans="1:14" ht="14.45" customHeight="1" x14ac:dyDescent="0.25">
      <c r="A2" s="301"/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</row>
    <row r="3" spans="1:14" ht="14.45" customHeight="1" x14ac:dyDescent="0.25">
      <c r="A3" s="301"/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</row>
    <row r="5" spans="1:14" x14ac:dyDescent="0.25">
      <c r="A5" s="302" t="s">
        <v>508</v>
      </c>
      <c r="B5" s="303" t="s">
        <v>18</v>
      </c>
      <c r="C5" s="302" t="s">
        <v>19</v>
      </c>
      <c r="D5" s="292" t="s">
        <v>1156</v>
      </c>
      <c r="E5" s="293"/>
      <c r="F5" s="293"/>
      <c r="G5" s="293"/>
      <c r="H5" s="293"/>
      <c r="I5" s="294" t="s">
        <v>1155</v>
      </c>
      <c r="J5" s="294"/>
      <c r="K5" s="294"/>
      <c r="L5" s="294"/>
      <c r="M5" s="295"/>
      <c r="N5" s="289" t="s">
        <v>1164</v>
      </c>
    </row>
    <row r="6" spans="1:14" x14ac:dyDescent="0.25">
      <c r="A6" s="302"/>
      <c r="B6" s="304"/>
      <c r="C6" s="302"/>
      <c r="D6" s="73" t="s">
        <v>24</v>
      </c>
      <c r="E6" s="50" t="s">
        <v>25</v>
      </c>
      <c r="F6" s="50" t="s">
        <v>26</v>
      </c>
      <c r="G6" s="50" t="s">
        <v>27</v>
      </c>
      <c r="H6" s="51" t="s">
        <v>28</v>
      </c>
      <c r="I6" s="52" t="s">
        <v>24</v>
      </c>
      <c r="J6" s="52" t="s">
        <v>25</v>
      </c>
      <c r="K6" s="52" t="s">
        <v>26</v>
      </c>
      <c r="L6" s="52" t="s">
        <v>27</v>
      </c>
      <c r="M6" s="75" t="s">
        <v>28</v>
      </c>
      <c r="N6" s="289"/>
    </row>
    <row r="7" spans="1:14" x14ac:dyDescent="0.25">
      <c r="A7" s="54">
        <v>73008</v>
      </c>
      <c r="B7" s="54" t="s">
        <v>313</v>
      </c>
      <c r="C7" s="54" t="s">
        <v>314</v>
      </c>
      <c r="D7" s="58">
        <f>'branches '!D8</f>
        <v>1063374.7208499999</v>
      </c>
      <c r="E7" s="58">
        <f>'branches '!E8</f>
        <v>834349.8600000001</v>
      </c>
      <c r="F7" s="58" t="e">
        <f>'branches '!#REF!</f>
        <v>#REF!</v>
      </c>
      <c r="G7" s="58" t="e">
        <f>'branches '!#REF!</f>
        <v>#REF!</v>
      </c>
      <c r="H7" s="55">
        <f>'branches '!F8</f>
        <v>0.78462450126054284</v>
      </c>
      <c r="I7" s="58">
        <f>'branches '!G8</f>
        <v>157091.23546</v>
      </c>
      <c r="J7" s="58">
        <f>'branches '!H8</f>
        <v>134534.40999999997</v>
      </c>
      <c r="K7" s="58" t="e">
        <f>'branches '!#REF!</f>
        <v>#REF!</v>
      </c>
      <c r="L7" s="58" t="e">
        <f>'branches '!#REF!</f>
        <v>#REF!</v>
      </c>
      <c r="M7" s="55">
        <f>'branches '!I8</f>
        <v>0.85640939550861417</v>
      </c>
      <c r="N7" s="58" t="e">
        <f>G7+L7+K25</f>
        <v>#REF!</v>
      </c>
    </row>
    <row r="8" spans="1:14" x14ac:dyDescent="0.25">
      <c r="A8" s="54">
        <v>73009</v>
      </c>
      <c r="B8" s="54" t="s">
        <v>313</v>
      </c>
      <c r="C8" s="54" t="s">
        <v>325</v>
      </c>
      <c r="D8" s="58">
        <f>'branches '!D9</f>
        <v>1260768.8872</v>
      </c>
      <c r="E8" s="58">
        <f>'branches '!E9</f>
        <v>994551.79000000015</v>
      </c>
      <c r="F8" s="58" t="e">
        <f>'branches '!#REF!</f>
        <v>#REF!</v>
      </c>
      <c r="G8" s="58" t="e">
        <f>'branches '!#REF!</f>
        <v>#REF!</v>
      </c>
      <c r="H8" s="55">
        <f>'branches '!F9</f>
        <v>0.78884544193406247</v>
      </c>
      <c r="I8" s="58">
        <f>'branches '!G9</f>
        <v>180364.01109000001</v>
      </c>
      <c r="J8" s="58">
        <f>'branches '!H9</f>
        <v>144511.32999999999</v>
      </c>
      <c r="K8" s="58" t="e">
        <f>'branches '!#REF!</f>
        <v>#REF!</v>
      </c>
      <c r="L8" s="58" t="e">
        <f>'branches '!#REF!</f>
        <v>#REF!</v>
      </c>
      <c r="M8" s="55">
        <f>'branches '!I9</f>
        <v>0.80122042710555008</v>
      </c>
      <c r="N8" s="58" t="e">
        <f>G8+L8+K26</f>
        <v>#REF!</v>
      </c>
    </row>
    <row r="9" spans="1:14" x14ac:dyDescent="0.25">
      <c r="A9" s="54">
        <v>73015</v>
      </c>
      <c r="B9" s="54" t="s">
        <v>313</v>
      </c>
      <c r="C9" s="54" t="s">
        <v>342</v>
      </c>
      <c r="D9" s="58">
        <f>'branches '!D10</f>
        <v>290192.2218</v>
      </c>
      <c r="E9" s="58">
        <f>'branches '!E10</f>
        <v>202363.53000000003</v>
      </c>
      <c r="F9" s="58" t="e">
        <f>'branches '!#REF!</f>
        <v>#REF!</v>
      </c>
      <c r="G9" s="58" t="e">
        <f>'branches '!#REF!</f>
        <v>#REF!</v>
      </c>
      <c r="H9" s="55">
        <f>'branches '!F10</f>
        <v>0.69734305332094204</v>
      </c>
      <c r="I9" s="58">
        <f>'branches '!G10</f>
        <v>46545.551250000004</v>
      </c>
      <c r="J9" s="58">
        <f>'branches '!H10</f>
        <v>9997.39</v>
      </c>
      <c r="K9" s="58" t="e">
        <f>'branches '!#REF!</f>
        <v>#REF!</v>
      </c>
      <c r="L9" s="58" t="e">
        <f>'branches '!#REF!</f>
        <v>#REF!</v>
      </c>
      <c r="M9" s="55">
        <f>'branches '!I10</f>
        <v>0.21478722953141519</v>
      </c>
      <c r="N9" s="58" t="e">
        <f>G9+L9+K27</f>
        <v>#REF!</v>
      </c>
    </row>
    <row r="10" spans="1:14" x14ac:dyDescent="0.25">
      <c r="A10" s="54">
        <v>73031</v>
      </c>
      <c r="B10" s="54" t="s">
        <v>313</v>
      </c>
      <c r="C10" s="54" t="s">
        <v>352</v>
      </c>
      <c r="D10" s="58">
        <f>'branches '!D11</f>
        <v>945975.69313000003</v>
      </c>
      <c r="E10" s="58">
        <f>'branches '!E11</f>
        <v>645835.88000000012</v>
      </c>
      <c r="F10" s="58" t="e">
        <f>'branches '!#REF!</f>
        <v>#REF!</v>
      </c>
      <c r="G10" s="58" t="e">
        <f>'branches '!#REF!</f>
        <v>#REF!</v>
      </c>
      <c r="H10" s="55">
        <f>'branches '!F11</f>
        <v>0.68271931793838025</v>
      </c>
      <c r="I10" s="58">
        <f>'branches '!G11</f>
        <v>145454.84766</v>
      </c>
      <c r="J10" s="58">
        <f>'branches '!H11</f>
        <v>66811.959999999992</v>
      </c>
      <c r="K10" s="58" t="e">
        <f>'branches '!#REF!</f>
        <v>#REF!</v>
      </c>
      <c r="L10" s="58" t="e">
        <f>'branches '!#REF!</f>
        <v>#REF!</v>
      </c>
      <c r="M10" s="55">
        <f>'branches '!I11</f>
        <v>0.4593312706646438</v>
      </c>
      <c r="N10" s="58" t="e">
        <f>G10+L10+K28</f>
        <v>#REF!</v>
      </c>
    </row>
    <row r="11" spans="1:14" x14ac:dyDescent="0.25">
      <c r="A11" s="54">
        <v>73010</v>
      </c>
      <c r="B11" s="54" t="s">
        <v>313</v>
      </c>
      <c r="C11" s="54" t="s">
        <v>526</v>
      </c>
      <c r="D11" s="58">
        <f>'branches '!D12</f>
        <v>379591.24952999997</v>
      </c>
      <c r="E11" s="58">
        <f>'branches '!E12</f>
        <v>242347.03000000003</v>
      </c>
      <c r="F11" s="58" t="e">
        <f>'branches '!#REF!</f>
        <v>#REF!</v>
      </c>
      <c r="G11" s="58" t="e">
        <f>'branches '!#REF!</f>
        <v>#REF!</v>
      </c>
      <c r="H11" s="55">
        <f>'branches '!F12</f>
        <v>0.6384420881673849</v>
      </c>
      <c r="I11" s="58">
        <f>'branches '!G12</f>
        <v>52363.745150000002</v>
      </c>
      <c r="J11" s="58">
        <f>'branches '!H12</f>
        <v>8466.08</v>
      </c>
      <c r="K11" s="58" t="e">
        <f>'branches '!#REF!</f>
        <v>#REF!</v>
      </c>
      <c r="L11" s="58" t="e">
        <f>'branches '!#REF!</f>
        <v>#REF!</v>
      </c>
      <c r="M11" s="55">
        <f>'branches '!I12</f>
        <v>0.1616782752216874</v>
      </c>
      <c r="N11" s="58" t="e">
        <f>G11+L11+K29</f>
        <v>#REF!</v>
      </c>
    </row>
    <row r="12" spans="1:14" x14ac:dyDescent="0.25">
      <c r="A12" s="298" t="s">
        <v>27</v>
      </c>
      <c r="B12" s="299"/>
      <c r="C12" s="300"/>
      <c r="D12" s="73">
        <f>SUM(D7:D11)</f>
        <v>3939902.77251</v>
      </c>
      <c r="E12" s="50">
        <f>SUM(E7:E11)</f>
        <v>2919448.0900000008</v>
      </c>
      <c r="F12" s="50" t="e">
        <f>SUM(F7:F11)</f>
        <v>#REF!</v>
      </c>
      <c r="G12" s="50" t="e">
        <f>SUM(G7:G11)</f>
        <v>#REF!</v>
      </c>
      <c r="H12" s="51" t="e">
        <f>G12/D12</f>
        <v>#REF!</v>
      </c>
      <c r="I12" s="52">
        <f>SUM(I7:I11)</f>
        <v>581819.39061</v>
      </c>
      <c r="J12" s="52">
        <f>SUM(J7:J11)</f>
        <v>364321.17</v>
      </c>
      <c r="K12" s="52" t="e">
        <f>SUM(K7:K11)</f>
        <v>#REF!</v>
      </c>
      <c r="L12" s="52" t="e">
        <f>SUM(L7:L11)</f>
        <v>#REF!</v>
      </c>
      <c r="M12" s="53" t="e">
        <f>L12/I12</f>
        <v>#REF!</v>
      </c>
      <c r="N12" s="73" t="e">
        <f>SUM(N7:N11)</f>
        <v>#REF!</v>
      </c>
    </row>
    <row r="14" spans="1:14" x14ac:dyDescent="0.25">
      <c r="A14" s="302" t="s">
        <v>508</v>
      </c>
      <c r="B14" s="303" t="s">
        <v>18</v>
      </c>
      <c r="C14" s="302" t="s">
        <v>19</v>
      </c>
      <c r="D14" s="296" t="s">
        <v>496</v>
      </c>
      <c r="E14" s="296"/>
      <c r="F14" s="296"/>
      <c r="G14" s="288" t="s">
        <v>522</v>
      </c>
      <c r="H14" s="288"/>
      <c r="I14" s="288"/>
      <c r="J14" s="296" t="s">
        <v>507</v>
      </c>
      <c r="K14" s="296"/>
      <c r="L14" s="296"/>
    </row>
    <row r="15" spans="1:14" x14ac:dyDescent="0.25">
      <c r="A15" s="302"/>
      <c r="B15" s="304"/>
      <c r="C15" s="302"/>
      <c r="D15" s="73" t="s">
        <v>24</v>
      </c>
      <c r="E15" s="73" t="s">
        <v>29</v>
      </c>
      <c r="F15" s="73" t="s">
        <v>28</v>
      </c>
      <c r="G15" s="52" t="s">
        <v>24</v>
      </c>
      <c r="H15" s="52" t="s">
        <v>29</v>
      </c>
      <c r="I15" s="53" t="s">
        <v>28</v>
      </c>
      <c r="J15" s="73" t="s">
        <v>24</v>
      </c>
      <c r="K15" s="73" t="s">
        <v>29</v>
      </c>
      <c r="L15" s="73" t="s">
        <v>28</v>
      </c>
    </row>
    <row r="16" spans="1:14" x14ac:dyDescent="0.25">
      <c r="A16" s="54">
        <v>73008</v>
      </c>
      <c r="B16" s="54" t="s">
        <v>313</v>
      </c>
      <c r="C16" s="54" t="s">
        <v>314</v>
      </c>
      <c r="D16" s="58">
        <f>'branches '!M8</f>
        <v>16404.52634</v>
      </c>
      <c r="E16" s="58">
        <f>'branches '!N8</f>
        <v>4912</v>
      </c>
      <c r="F16" s="55">
        <f>'branches '!O8</f>
        <v>0.29942955366061486</v>
      </c>
      <c r="G16" s="58" t="e">
        <f>'branches '!#REF!</f>
        <v>#REF!</v>
      </c>
      <c r="H16" s="58" t="e">
        <f>'branches '!#REF!</f>
        <v>#REF!</v>
      </c>
      <c r="I16" s="55" t="e">
        <f>'branches '!#REF!</f>
        <v>#REF!</v>
      </c>
      <c r="J16" s="58">
        <f>'branches '!AK8</f>
        <v>31.121527064255439</v>
      </c>
      <c r="K16" s="58">
        <f>'branches '!AL8</f>
        <v>0</v>
      </c>
      <c r="L16" s="55">
        <f>'branches '!AM8</f>
        <v>0</v>
      </c>
    </row>
    <row r="17" spans="1:12" x14ac:dyDescent="0.25">
      <c r="A17" s="54">
        <v>73009</v>
      </c>
      <c r="B17" s="54" t="s">
        <v>313</v>
      </c>
      <c r="C17" s="54" t="s">
        <v>325</v>
      </c>
      <c r="D17" s="58">
        <f>'branches '!M9</f>
        <v>15435.424580000001</v>
      </c>
      <c r="E17" s="58">
        <f>'branches '!N9</f>
        <v>2561</v>
      </c>
      <c r="F17" s="55">
        <f>'branches '!O9</f>
        <v>0.16591704275620256</v>
      </c>
      <c r="G17" s="58" t="e">
        <f>'branches '!#REF!</f>
        <v>#REF!</v>
      </c>
      <c r="H17" s="58" t="e">
        <f>'branches '!#REF!</f>
        <v>#REF!</v>
      </c>
      <c r="I17" s="55" t="e">
        <f>'branches '!#REF!</f>
        <v>#REF!</v>
      </c>
      <c r="J17" s="58">
        <f>'branches '!AK9</f>
        <v>36.898613701670655</v>
      </c>
      <c r="K17" s="58">
        <f>'branches '!AL9</f>
        <v>0</v>
      </c>
      <c r="L17" s="55">
        <f>'branches '!AM9</f>
        <v>0</v>
      </c>
    </row>
    <row r="18" spans="1:12" x14ac:dyDescent="0.25">
      <c r="A18" s="54">
        <v>73015</v>
      </c>
      <c r="B18" s="54" t="s">
        <v>313</v>
      </c>
      <c r="C18" s="54" t="s">
        <v>342</v>
      </c>
      <c r="D18" s="58">
        <f>'branches '!M10</f>
        <v>2000.4070200000001</v>
      </c>
      <c r="E18" s="58">
        <f>'branches '!N10</f>
        <v>0</v>
      </c>
      <c r="F18" s="55">
        <f>'branches '!O10</f>
        <v>0</v>
      </c>
      <c r="G18" s="58" t="e">
        <f>'branches '!#REF!</f>
        <v>#REF!</v>
      </c>
      <c r="H18" s="58" t="e">
        <f>'branches '!#REF!</f>
        <v>#REF!</v>
      </c>
      <c r="I18" s="55" t="e">
        <f>'branches '!#REF!</f>
        <v>#REF!</v>
      </c>
      <c r="J18" s="58">
        <f>'branches '!AK10</f>
        <v>8.4929845589766142</v>
      </c>
      <c r="K18" s="58">
        <f>'branches '!AL10</f>
        <v>0</v>
      </c>
      <c r="L18" s="55">
        <f>'branches '!AM10</f>
        <v>0</v>
      </c>
    </row>
    <row r="19" spans="1:12" x14ac:dyDescent="0.25">
      <c r="A19" s="54">
        <v>73031</v>
      </c>
      <c r="B19" s="54" t="s">
        <v>313</v>
      </c>
      <c r="C19" s="54" t="s">
        <v>352</v>
      </c>
      <c r="D19" s="58">
        <f>'branches '!M11</f>
        <v>12113.77195</v>
      </c>
      <c r="E19" s="58">
        <f>'branches '!N11</f>
        <v>534</v>
      </c>
      <c r="F19" s="55">
        <f>'branches '!O11</f>
        <v>4.4082058189976077E-2</v>
      </c>
      <c r="G19" s="58" t="e">
        <f>'branches '!#REF!</f>
        <v>#REF!</v>
      </c>
      <c r="H19" s="58" t="e">
        <f>'branches '!#REF!</f>
        <v>#REF!</v>
      </c>
      <c r="I19" s="55" t="e">
        <f>'branches '!#REF!</f>
        <v>#REF!</v>
      </c>
      <c r="J19" s="58">
        <f>'branches '!AK11</f>
        <v>27.685638522928496</v>
      </c>
      <c r="K19" s="58">
        <f>'branches '!AL11</f>
        <v>0</v>
      </c>
      <c r="L19" s="55">
        <f>'branches '!AM11</f>
        <v>0</v>
      </c>
    </row>
    <row r="20" spans="1:12" x14ac:dyDescent="0.25">
      <c r="A20" s="54">
        <v>73010</v>
      </c>
      <c r="B20" s="54" t="s">
        <v>313</v>
      </c>
      <c r="C20" s="54" t="s">
        <v>526</v>
      </c>
      <c r="D20" s="58">
        <f>'branches '!M12</f>
        <v>2500.9578999999999</v>
      </c>
      <c r="E20" s="58">
        <f>'branches '!N12</f>
        <v>238</v>
      </c>
      <c r="F20" s="55">
        <f>'branches '!O12</f>
        <v>9.5163537139109786E-2</v>
      </c>
      <c r="G20" s="58" t="e">
        <f>'branches '!#REF!</f>
        <v>#REF!</v>
      </c>
      <c r="H20" s="58" t="e">
        <f>'branches '!#REF!</f>
        <v>#REF!</v>
      </c>
      <c r="I20" s="55" t="e">
        <f>'branches '!#REF!</f>
        <v>#REF!</v>
      </c>
      <c r="J20" s="58">
        <f>'branches '!AK12</f>
        <v>11.109403970182253</v>
      </c>
      <c r="K20" s="58">
        <f>'branches '!AL12</f>
        <v>0</v>
      </c>
      <c r="L20" s="55">
        <f>'branches '!AM12</f>
        <v>0</v>
      </c>
    </row>
    <row r="21" spans="1:12" x14ac:dyDescent="0.25">
      <c r="A21" s="298" t="s">
        <v>27</v>
      </c>
      <c r="B21" s="299"/>
      <c r="C21" s="300"/>
      <c r="D21" s="73">
        <f>SUM(D16:D20)</f>
        <v>48455.087790000005</v>
      </c>
      <c r="E21" s="50">
        <f>SUM(E16:E20)</f>
        <v>8245</v>
      </c>
      <c r="F21" s="51">
        <f>E21/D21</f>
        <v>0.17015757015513189</v>
      </c>
      <c r="G21" s="52" t="e">
        <f>SUM(G16:G20)</f>
        <v>#REF!</v>
      </c>
      <c r="H21" s="52" t="e">
        <f>SUM(H16:H20)</f>
        <v>#REF!</v>
      </c>
      <c r="I21" s="53" t="e">
        <f>H21/G21</f>
        <v>#REF!</v>
      </c>
      <c r="J21" s="73">
        <f>SUM(J16:J20)</f>
        <v>115.30816781801347</v>
      </c>
      <c r="K21" s="50">
        <f>SUM(K16:K20)</f>
        <v>0</v>
      </c>
      <c r="L21" s="51">
        <f>K21/J21</f>
        <v>0</v>
      </c>
    </row>
    <row r="23" spans="1:12" x14ac:dyDescent="0.25">
      <c r="A23" s="302" t="s">
        <v>508</v>
      </c>
      <c r="B23" s="303" t="s">
        <v>18</v>
      </c>
      <c r="C23" s="302" t="s">
        <v>19</v>
      </c>
      <c r="D23" s="287" t="s">
        <v>1154</v>
      </c>
      <c r="E23" s="287"/>
      <c r="F23" s="287"/>
      <c r="G23" s="297" t="s">
        <v>466</v>
      </c>
      <c r="H23" s="297"/>
      <c r="I23" s="297"/>
      <c r="J23" s="287" t="s">
        <v>523</v>
      </c>
      <c r="K23" s="287"/>
      <c r="L23" s="287"/>
    </row>
    <row r="24" spans="1:12" x14ac:dyDescent="0.25">
      <c r="A24" s="302"/>
      <c r="B24" s="304"/>
      <c r="C24" s="302"/>
      <c r="D24" s="73" t="s">
        <v>24</v>
      </c>
      <c r="E24" s="50" t="s">
        <v>29</v>
      </c>
      <c r="F24" s="51" t="s">
        <v>28</v>
      </c>
      <c r="G24" s="52" t="s">
        <v>24</v>
      </c>
      <c r="H24" s="52" t="s">
        <v>29</v>
      </c>
      <c r="I24" s="53" t="s">
        <v>28</v>
      </c>
      <c r="J24" s="50" t="s">
        <v>24</v>
      </c>
      <c r="K24" s="50" t="s">
        <v>29</v>
      </c>
      <c r="L24" s="51" t="s">
        <v>28</v>
      </c>
    </row>
    <row r="25" spans="1:12" x14ac:dyDescent="0.25">
      <c r="A25" s="54">
        <v>73008</v>
      </c>
      <c r="B25" s="54" t="s">
        <v>313</v>
      </c>
      <c r="C25" s="54" t="s">
        <v>314</v>
      </c>
      <c r="D25" s="58">
        <f>'branches '!P8</f>
        <v>217</v>
      </c>
      <c r="E25" s="58">
        <f>'branches '!Q8</f>
        <v>127</v>
      </c>
      <c r="F25" s="55">
        <f>'branches '!R8</f>
        <v>0.58525345622119818</v>
      </c>
      <c r="G25" s="58">
        <f>'branches '!S8</f>
        <v>26</v>
      </c>
      <c r="H25" s="58">
        <f>'branches '!T8</f>
        <v>10</v>
      </c>
      <c r="I25" s="55">
        <f>'branches '!U8</f>
        <v>0.38461538461538464</v>
      </c>
      <c r="J25" s="58" t="e">
        <f>'branches '!#REF!</f>
        <v>#REF!</v>
      </c>
      <c r="K25" s="58" t="e">
        <f>'branches '!#REF!</f>
        <v>#REF!</v>
      </c>
      <c r="L25" s="55" t="e">
        <f>'branches '!#REF!</f>
        <v>#REF!</v>
      </c>
    </row>
    <row r="26" spans="1:12" x14ac:dyDescent="0.25">
      <c r="A26" s="54">
        <v>73009</v>
      </c>
      <c r="B26" s="54" t="s">
        <v>313</v>
      </c>
      <c r="C26" s="54" t="s">
        <v>325</v>
      </c>
      <c r="D26" s="58">
        <f>'branches '!P9</f>
        <v>246</v>
      </c>
      <c r="E26" s="58">
        <f>'branches '!Q9</f>
        <v>135</v>
      </c>
      <c r="F26" s="55">
        <f>'branches '!R9</f>
        <v>0.54878048780487809</v>
      </c>
      <c r="G26" s="58">
        <f>'branches '!S9</f>
        <v>38</v>
      </c>
      <c r="H26" s="58">
        <f>'branches '!T9</f>
        <v>13</v>
      </c>
      <c r="I26" s="55">
        <f>'branches '!U9</f>
        <v>0.34210526315789475</v>
      </c>
      <c r="J26" s="58" t="e">
        <f>'branches '!#REF!</f>
        <v>#REF!</v>
      </c>
      <c r="K26" s="58" t="e">
        <f>'branches '!#REF!</f>
        <v>#REF!</v>
      </c>
      <c r="L26" s="55" t="e">
        <f>'branches '!#REF!</f>
        <v>#REF!</v>
      </c>
    </row>
    <row r="27" spans="1:12" x14ac:dyDescent="0.25">
      <c r="A27" s="54">
        <v>73015</v>
      </c>
      <c r="B27" s="54" t="s">
        <v>313</v>
      </c>
      <c r="C27" s="54" t="s">
        <v>342</v>
      </c>
      <c r="D27" s="58">
        <f>'branches '!P10</f>
        <v>65</v>
      </c>
      <c r="E27" s="58">
        <f>'branches '!Q10</f>
        <v>47</v>
      </c>
      <c r="F27" s="55">
        <f>'branches '!R10</f>
        <v>0.72307692307692306</v>
      </c>
      <c r="G27" s="58">
        <f>'branches '!S10</f>
        <v>9</v>
      </c>
      <c r="H27" s="58">
        <f>'branches '!T10</f>
        <v>1</v>
      </c>
      <c r="I27" s="55">
        <f>'branches '!U10</f>
        <v>0.1111111111111111</v>
      </c>
      <c r="J27" s="58" t="e">
        <f>'branches '!#REF!</f>
        <v>#REF!</v>
      </c>
      <c r="K27" s="58" t="e">
        <f>'branches '!#REF!</f>
        <v>#REF!</v>
      </c>
      <c r="L27" s="55" t="e">
        <f>'branches '!#REF!</f>
        <v>#REF!</v>
      </c>
    </row>
    <row r="28" spans="1:12" x14ac:dyDescent="0.25">
      <c r="A28" s="54">
        <v>73031</v>
      </c>
      <c r="B28" s="54" t="s">
        <v>313</v>
      </c>
      <c r="C28" s="54" t="s">
        <v>352</v>
      </c>
      <c r="D28" s="58">
        <f>'branches '!P11</f>
        <v>198</v>
      </c>
      <c r="E28" s="58">
        <f>'branches '!Q11</f>
        <v>97</v>
      </c>
      <c r="F28" s="55">
        <f>'branches '!R11</f>
        <v>0.48989898989898989</v>
      </c>
      <c r="G28" s="58">
        <f>'branches '!S11</f>
        <v>24</v>
      </c>
      <c r="H28" s="58">
        <f>'branches '!T11</f>
        <v>4</v>
      </c>
      <c r="I28" s="55">
        <f>'branches '!U11</f>
        <v>0.16666666666666666</v>
      </c>
      <c r="J28" s="58" t="e">
        <f>'branches '!#REF!</f>
        <v>#REF!</v>
      </c>
      <c r="K28" s="58" t="e">
        <f>'branches '!#REF!</f>
        <v>#REF!</v>
      </c>
      <c r="L28" s="55" t="e">
        <f>'branches '!#REF!</f>
        <v>#REF!</v>
      </c>
    </row>
    <row r="29" spans="1:12" x14ac:dyDescent="0.25">
      <c r="A29" s="54">
        <v>73010</v>
      </c>
      <c r="B29" s="54" t="s">
        <v>313</v>
      </c>
      <c r="C29" s="54" t="s">
        <v>526</v>
      </c>
      <c r="D29" s="58">
        <f>'branches '!P12</f>
        <v>70</v>
      </c>
      <c r="E29" s="58">
        <f>'branches '!Q12</f>
        <v>35</v>
      </c>
      <c r="F29" s="55">
        <f>'branches '!R12</f>
        <v>0.5</v>
      </c>
      <c r="G29" s="58">
        <f>'branches '!S12</f>
        <v>10</v>
      </c>
      <c r="H29" s="58">
        <f>'branches '!T12</f>
        <v>2</v>
      </c>
      <c r="I29" s="55">
        <f>'branches '!U12</f>
        <v>0.2</v>
      </c>
      <c r="J29" s="58" t="e">
        <f>'branches '!#REF!</f>
        <v>#REF!</v>
      </c>
      <c r="K29" s="58" t="e">
        <f>'branches '!#REF!</f>
        <v>#REF!</v>
      </c>
      <c r="L29" s="55" t="e">
        <f>'branches '!#REF!</f>
        <v>#REF!</v>
      </c>
    </row>
    <row r="30" spans="1:12" x14ac:dyDescent="0.25">
      <c r="A30" s="298" t="s">
        <v>27</v>
      </c>
      <c r="B30" s="299"/>
      <c r="C30" s="300"/>
      <c r="D30" s="73">
        <f>SUM(D25:D29)</f>
        <v>796</v>
      </c>
      <c r="E30" s="50">
        <f>SUM(E25:E29)</f>
        <v>441</v>
      </c>
      <c r="F30" s="51">
        <f>E30/D30</f>
        <v>0.5540201005025126</v>
      </c>
      <c r="G30" s="52">
        <f>SUM(G25:G29)</f>
        <v>107</v>
      </c>
      <c r="H30" s="52">
        <f>SUM(H25:H29)</f>
        <v>30</v>
      </c>
      <c r="I30" s="53">
        <f>H30/G30</f>
        <v>0.28037383177570091</v>
      </c>
      <c r="J30" s="73" t="e">
        <f>SUM(J25:J29)</f>
        <v>#REF!</v>
      </c>
      <c r="K30" s="50" t="e">
        <f>SUM(K25:K29)</f>
        <v>#REF!</v>
      </c>
      <c r="L30" s="51" t="e">
        <f>K30/J30</f>
        <v>#REF!</v>
      </c>
    </row>
    <row r="32" spans="1:12" x14ac:dyDescent="0.25">
      <c r="A32" s="302" t="s">
        <v>508</v>
      </c>
      <c r="B32" s="303" t="s">
        <v>18</v>
      </c>
      <c r="C32" s="302" t="s">
        <v>19</v>
      </c>
      <c r="D32" s="287" t="s">
        <v>1151</v>
      </c>
      <c r="E32" s="287"/>
      <c r="F32" s="287"/>
      <c r="G32" s="287"/>
      <c r="H32" s="287"/>
      <c r="I32" s="297" t="s">
        <v>1150</v>
      </c>
      <c r="J32" s="297"/>
      <c r="K32" s="297"/>
    </row>
    <row r="33" spans="1:13" x14ac:dyDescent="0.25">
      <c r="A33" s="302"/>
      <c r="B33" s="304"/>
      <c r="C33" s="302"/>
      <c r="D33" s="50" t="s">
        <v>24</v>
      </c>
      <c r="E33" s="50" t="s">
        <v>25</v>
      </c>
      <c r="F33" s="50" t="s">
        <v>26</v>
      </c>
      <c r="G33" s="50" t="s">
        <v>27</v>
      </c>
      <c r="H33" s="51" t="s">
        <v>28</v>
      </c>
      <c r="I33" s="52" t="s">
        <v>24</v>
      </c>
      <c r="J33" s="52" t="s">
        <v>29</v>
      </c>
      <c r="K33" s="53" t="s">
        <v>28</v>
      </c>
    </row>
    <row r="34" spans="1:13" x14ac:dyDescent="0.25">
      <c r="A34" s="54">
        <v>73008</v>
      </c>
      <c r="B34" s="54" t="s">
        <v>313</v>
      </c>
      <c r="C34" s="54" t="s">
        <v>314</v>
      </c>
      <c r="D34" s="58">
        <f>'branches '!AE8</f>
        <v>112.01323378399438</v>
      </c>
      <c r="E34" s="58">
        <f>'branches '!AF8</f>
        <v>49</v>
      </c>
      <c r="F34" s="58" t="e">
        <f>'branches '!#REF!</f>
        <v>#REF!</v>
      </c>
      <c r="G34" s="58" t="e">
        <f>'branches '!#REF!</f>
        <v>#REF!</v>
      </c>
      <c r="H34" s="55">
        <f>'branches '!AG8</f>
        <v>0.43744831163870596</v>
      </c>
      <c r="I34" s="58">
        <f>'branches '!AH8</f>
        <v>62</v>
      </c>
      <c r="J34" s="58">
        <f>'branches '!AI8</f>
        <v>41</v>
      </c>
      <c r="K34" s="55">
        <f>'branches '!AJ8</f>
        <v>0.66129032258064513</v>
      </c>
    </row>
    <row r="35" spans="1:13" x14ac:dyDescent="0.25">
      <c r="A35" s="54">
        <v>73009</v>
      </c>
      <c r="B35" s="54" t="s">
        <v>313</v>
      </c>
      <c r="C35" s="54" t="s">
        <v>325</v>
      </c>
      <c r="D35" s="58">
        <f>'branches '!AE9</f>
        <v>125.4548218380737</v>
      </c>
      <c r="E35" s="58">
        <f>'branches '!AF9</f>
        <v>63</v>
      </c>
      <c r="F35" s="58" t="e">
        <f>'branches '!#REF!</f>
        <v>#REF!</v>
      </c>
      <c r="G35" s="58" t="e">
        <f>'branches '!#REF!</f>
        <v>#REF!</v>
      </c>
      <c r="H35" s="55">
        <f>'branches '!AG9</f>
        <v>0.50217280672810638</v>
      </c>
      <c r="I35" s="58">
        <f>'branches '!AH9</f>
        <v>78</v>
      </c>
      <c r="J35" s="58">
        <f>'branches '!AI9</f>
        <v>43</v>
      </c>
      <c r="K35" s="55">
        <f>'branches '!AJ9</f>
        <v>0.55128205128205132</v>
      </c>
    </row>
    <row r="36" spans="1:13" x14ac:dyDescent="0.25">
      <c r="A36" s="54">
        <v>73015</v>
      </c>
      <c r="B36" s="54" t="s">
        <v>313</v>
      </c>
      <c r="C36" s="54" t="s">
        <v>342</v>
      </c>
      <c r="D36" s="58">
        <f>'branches '!AE10</f>
        <v>37.636446551422111</v>
      </c>
      <c r="E36" s="58">
        <f>'branches '!AF10</f>
        <v>15</v>
      </c>
      <c r="F36" s="58" t="e">
        <f>'branches '!#REF!</f>
        <v>#REF!</v>
      </c>
      <c r="G36" s="58" t="e">
        <f>'branches '!#REF!</f>
        <v>#REF!</v>
      </c>
      <c r="H36" s="55">
        <f>'branches '!AG10</f>
        <v>0.39854984660960818</v>
      </c>
      <c r="I36" s="58">
        <f>'branches '!AH10</f>
        <v>10</v>
      </c>
      <c r="J36" s="58">
        <f>'branches '!AI10</f>
        <v>4</v>
      </c>
      <c r="K36" s="55">
        <f>'branches '!AJ10</f>
        <v>0.4</v>
      </c>
    </row>
    <row r="37" spans="1:13" x14ac:dyDescent="0.25">
      <c r="A37" s="54">
        <v>73031</v>
      </c>
      <c r="B37" s="54" t="s">
        <v>313</v>
      </c>
      <c r="C37" s="54" t="s">
        <v>352</v>
      </c>
      <c r="D37" s="58">
        <f>'branches '!AE11</f>
        <v>117</v>
      </c>
      <c r="E37" s="58">
        <f>'branches '!AF11</f>
        <v>57</v>
      </c>
      <c r="F37" s="58" t="e">
        <f>'branches '!#REF!</f>
        <v>#REF!</v>
      </c>
      <c r="G37" s="58" t="e">
        <f>'branches '!#REF!</f>
        <v>#REF!</v>
      </c>
      <c r="H37" s="55">
        <f>'branches '!AG11</f>
        <v>0.48717948717948717</v>
      </c>
      <c r="I37" s="58">
        <f>'branches '!AH11</f>
        <v>58</v>
      </c>
      <c r="J37" s="58">
        <f>'branches '!AI11</f>
        <v>52</v>
      </c>
      <c r="K37" s="55">
        <f>'branches '!AJ11</f>
        <v>0.89655172413793105</v>
      </c>
    </row>
    <row r="38" spans="1:13" x14ac:dyDescent="0.25">
      <c r="A38" s="54">
        <v>73010</v>
      </c>
      <c r="B38" s="54" t="s">
        <v>313</v>
      </c>
      <c r="C38" s="54" t="s">
        <v>526</v>
      </c>
      <c r="D38" s="58">
        <f>'branches '!AE12</f>
        <v>44.805293513597746</v>
      </c>
      <c r="E38" s="58">
        <f>'branches '!AF12</f>
        <v>20</v>
      </c>
      <c r="F38" s="58" t="e">
        <f>'branches '!#REF!</f>
        <v>#REF!</v>
      </c>
      <c r="G38" s="58" t="e">
        <f>'branches '!#REF!</f>
        <v>#REF!</v>
      </c>
      <c r="H38" s="55">
        <f>'branches '!AG12</f>
        <v>0.44637582820276123</v>
      </c>
      <c r="I38" s="58">
        <f>'branches '!AH12</f>
        <v>12</v>
      </c>
      <c r="J38" s="58">
        <f>'branches '!AI12</f>
        <v>3</v>
      </c>
      <c r="K38" s="55">
        <f>'branches '!AJ12</f>
        <v>0.25</v>
      </c>
    </row>
    <row r="39" spans="1:13" x14ac:dyDescent="0.25">
      <c r="A39" s="298" t="s">
        <v>27</v>
      </c>
      <c r="B39" s="299"/>
      <c r="C39" s="300"/>
      <c r="D39" s="73">
        <f>SUM(D34:D38)</f>
        <v>436.90979568708792</v>
      </c>
      <c r="E39" s="50">
        <f>SUM(E34:E38)</f>
        <v>204</v>
      </c>
      <c r="F39" s="50" t="e">
        <f>SUM(F34:F38)</f>
        <v>#REF!</v>
      </c>
      <c r="G39" s="50" t="e">
        <f>SUM(G34:G38)</f>
        <v>#REF!</v>
      </c>
      <c r="H39" s="51" t="e">
        <f>G39/D39</f>
        <v>#REF!</v>
      </c>
      <c r="I39" s="52">
        <f>SUM(I34:I38)</f>
        <v>220</v>
      </c>
      <c r="J39" s="52">
        <f>SUM(J34:J38)</f>
        <v>143</v>
      </c>
      <c r="K39" s="53">
        <f>J39/I39</f>
        <v>0.65</v>
      </c>
    </row>
    <row r="41" spans="1:13" x14ac:dyDescent="0.25">
      <c r="A41" s="302" t="s">
        <v>508</v>
      </c>
      <c r="B41" s="303" t="s">
        <v>18</v>
      </c>
      <c r="C41" s="302" t="s">
        <v>19</v>
      </c>
      <c r="D41" s="287" t="s">
        <v>1153</v>
      </c>
      <c r="E41" s="287"/>
      <c r="F41" s="287"/>
      <c r="G41" s="287"/>
      <c r="H41" s="287"/>
      <c r="I41" s="297" t="s">
        <v>501</v>
      </c>
      <c r="J41" s="297"/>
      <c r="K41" s="297"/>
      <c r="L41" s="297"/>
      <c r="M41" s="297"/>
    </row>
    <row r="42" spans="1:13" x14ac:dyDescent="0.25">
      <c r="A42" s="302"/>
      <c r="B42" s="304"/>
      <c r="C42" s="302"/>
      <c r="D42" s="50" t="s">
        <v>24</v>
      </c>
      <c r="E42" s="50" t="s">
        <v>25</v>
      </c>
      <c r="F42" s="50" t="s">
        <v>26</v>
      </c>
      <c r="G42" s="50" t="s">
        <v>27</v>
      </c>
      <c r="H42" s="51" t="s">
        <v>28</v>
      </c>
      <c r="I42" s="52" t="s">
        <v>24</v>
      </c>
      <c r="J42" s="52" t="s">
        <v>25</v>
      </c>
      <c r="K42" s="52" t="s">
        <v>26</v>
      </c>
      <c r="L42" s="52" t="s">
        <v>27</v>
      </c>
      <c r="M42" s="53" t="s">
        <v>28</v>
      </c>
    </row>
    <row r="43" spans="1:13" x14ac:dyDescent="0.25">
      <c r="A43" s="54">
        <v>73008</v>
      </c>
      <c r="B43" s="54" t="s">
        <v>313</v>
      </c>
      <c r="C43" s="54" t="s">
        <v>314</v>
      </c>
      <c r="D43" s="58">
        <f>'branches '!V8</f>
        <v>935.04585035153104</v>
      </c>
      <c r="E43" s="58">
        <f>'branches '!W8</f>
        <v>503</v>
      </c>
      <c r="F43" s="58" t="e">
        <f>'branches '!#REF!</f>
        <v>#REF!</v>
      </c>
      <c r="G43" s="58" t="e">
        <f>'branches '!#REF!</f>
        <v>#REF!</v>
      </c>
      <c r="H43" s="55">
        <f>'branches '!X8</f>
        <v>0.53794153496419117</v>
      </c>
      <c r="I43" s="58">
        <f>'branches '!Y8</f>
        <v>37.411572640967691</v>
      </c>
      <c r="J43" s="58">
        <f>'branches '!Z8</f>
        <v>24</v>
      </c>
      <c r="K43" s="58" t="e">
        <f>'branches '!#REF!</f>
        <v>#REF!</v>
      </c>
      <c r="L43" s="58" t="e">
        <f>'branches '!#REF!</f>
        <v>#REF!</v>
      </c>
      <c r="M43" s="55">
        <f>'branches '!AA8</f>
        <v>0.64151272736711162</v>
      </c>
    </row>
    <row r="44" spans="1:13" x14ac:dyDescent="0.25">
      <c r="A44" s="54">
        <v>73009</v>
      </c>
      <c r="B44" s="54" t="s">
        <v>313</v>
      </c>
      <c r="C44" s="54" t="s">
        <v>325</v>
      </c>
      <c r="D44" s="58">
        <f>'branches '!V9</f>
        <v>1076.3763706693055</v>
      </c>
      <c r="E44" s="58">
        <f>'branches '!W9</f>
        <v>713</v>
      </c>
      <c r="F44" s="58" t="e">
        <f>'branches '!#REF!</f>
        <v>#REF!</v>
      </c>
      <c r="G44" s="58" t="e">
        <f>'branches '!#REF!</f>
        <v>#REF!</v>
      </c>
      <c r="H44" s="55">
        <f>'branches '!X9</f>
        <v>0.66240770368885638</v>
      </c>
      <c r="I44" s="58">
        <f>'branches '!Y9</f>
        <v>52.535399878805691</v>
      </c>
      <c r="J44" s="58">
        <f>'branches '!Z9</f>
        <v>31</v>
      </c>
      <c r="K44" s="58" t="e">
        <f>'branches '!#REF!</f>
        <v>#REF!</v>
      </c>
      <c r="L44" s="58" t="e">
        <f>'branches '!#REF!</f>
        <v>#REF!</v>
      </c>
      <c r="M44" s="55">
        <f>'branches '!AA9</f>
        <v>0.59007831046330916</v>
      </c>
    </row>
    <row r="45" spans="1:13" x14ac:dyDescent="0.25">
      <c r="A45" s="54">
        <v>73015</v>
      </c>
      <c r="B45" s="54" t="s">
        <v>313</v>
      </c>
      <c r="C45" s="54" t="s">
        <v>342</v>
      </c>
      <c r="D45" s="58">
        <f>'branches '!V10</f>
        <v>270.76146258788276</v>
      </c>
      <c r="E45" s="58">
        <f>'branches '!W10</f>
        <v>109</v>
      </c>
      <c r="F45" s="58" t="e">
        <f>'branches '!#REF!</f>
        <v>#REF!</v>
      </c>
      <c r="G45" s="58" t="e">
        <f>'branches '!#REF!</f>
        <v>#REF!</v>
      </c>
      <c r="H45" s="55">
        <f>'branches '!X10</f>
        <v>0.4025683675889481</v>
      </c>
      <c r="I45" s="58">
        <f>'branches '!Y10</f>
        <v>12.735854516074108</v>
      </c>
      <c r="J45" s="58">
        <f>'branches '!Z10</f>
        <v>7</v>
      </c>
      <c r="K45" s="58" t="e">
        <f>'branches '!#REF!</f>
        <v>#REF!</v>
      </c>
      <c r="L45" s="58" t="e">
        <f>'branches '!#REF!</f>
        <v>#REF!</v>
      </c>
      <c r="M45" s="55">
        <f>'branches '!AA10</f>
        <v>0.54962939402025968</v>
      </c>
    </row>
    <row r="46" spans="1:13" x14ac:dyDescent="0.25">
      <c r="A46" s="54">
        <v>73031</v>
      </c>
      <c r="B46" s="54" t="s">
        <v>313</v>
      </c>
      <c r="C46" s="54" t="s">
        <v>352</v>
      </c>
      <c r="D46" s="58">
        <f>'branches '!V11</f>
        <v>861</v>
      </c>
      <c r="E46" s="58">
        <f>'branches '!W11</f>
        <v>338</v>
      </c>
      <c r="F46" s="58" t="e">
        <f>'branches '!#REF!</f>
        <v>#REF!</v>
      </c>
      <c r="G46" s="58" t="e">
        <f>'branches '!#REF!</f>
        <v>#REF!</v>
      </c>
      <c r="H46" s="55">
        <f>'branches '!X11</f>
        <v>0.39256678281068524</v>
      </c>
      <c r="I46" s="58">
        <f>'branches '!Y11</f>
        <v>42</v>
      </c>
      <c r="J46" s="58">
        <f>'branches '!Z11</f>
        <v>18</v>
      </c>
      <c r="K46" s="58" t="e">
        <f>'branches '!#REF!</f>
        <v>#REF!</v>
      </c>
      <c r="L46" s="58" t="e">
        <f>'branches '!#REF!</f>
        <v>#REF!</v>
      </c>
      <c r="M46" s="55">
        <f>'branches '!AA11</f>
        <v>0.42857142857142855</v>
      </c>
    </row>
    <row r="47" spans="1:13" x14ac:dyDescent="0.25">
      <c r="A47" s="54">
        <v>73010</v>
      </c>
      <c r="B47" s="54" t="s">
        <v>313</v>
      </c>
      <c r="C47" s="54" t="s">
        <v>526</v>
      </c>
      <c r="D47" s="58">
        <f>'branches '!V12</f>
        <v>314.32630079443618</v>
      </c>
      <c r="E47" s="58">
        <f>'branches '!W12</f>
        <v>194</v>
      </c>
      <c r="F47" s="58" t="e">
        <f>'branches '!#REF!</f>
        <v>#REF!</v>
      </c>
      <c r="G47" s="58" t="e">
        <f>'branches '!#REF!</f>
        <v>#REF!</v>
      </c>
      <c r="H47" s="55">
        <f>'branches '!X12</f>
        <v>0.61719302364988082</v>
      </c>
      <c r="I47" s="58">
        <f>'branches '!Y12</f>
        <v>12.735854516074108</v>
      </c>
      <c r="J47" s="58">
        <f>'branches '!Z12</f>
        <v>2</v>
      </c>
      <c r="K47" s="58" t="e">
        <f>'branches '!#REF!</f>
        <v>#REF!</v>
      </c>
      <c r="L47" s="58" t="e">
        <f>'branches '!#REF!</f>
        <v>#REF!</v>
      </c>
      <c r="M47" s="55">
        <f>'branches '!AA12</f>
        <v>0.15703696972007422</v>
      </c>
    </row>
    <row r="48" spans="1:13" x14ac:dyDescent="0.25">
      <c r="A48" s="298" t="s">
        <v>27</v>
      </c>
      <c r="B48" s="299"/>
      <c r="C48" s="300"/>
      <c r="D48" s="73">
        <f>SUM(D43:D47)</f>
        <v>3457.5099844031556</v>
      </c>
      <c r="E48" s="50">
        <f>SUM(E43:E47)</f>
        <v>1857</v>
      </c>
      <c r="F48" s="50" t="e">
        <f>SUM(F43:F47)</f>
        <v>#REF!</v>
      </c>
      <c r="G48" s="50" t="e">
        <f>SUM(G43:G47)</f>
        <v>#REF!</v>
      </c>
      <c r="H48" s="51" t="e">
        <f>G48/D48</f>
        <v>#REF!</v>
      </c>
      <c r="I48" s="52">
        <f>SUM(I43:I47)</f>
        <v>157.41868155192159</v>
      </c>
      <c r="J48" s="52">
        <f>SUM(J43:J47)</f>
        <v>82</v>
      </c>
      <c r="K48" s="52" t="e">
        <f>SUM(K43:K47)</f>
        <v>#REF!</v>
      </c>
      <c r="L48" s="52" t="e">
        <f>SUM(L43:L47)</f>
        <v>#REF!</v>
      </c>
      <c r="M48" s="53" t="e">
        <f>L48/I48</f>
        <v>#REF!</v>
      </c>
    </row>
    <row r="50" spans="1:14" x14ac:dyDescent="0.25">
      <c r="A50" s="302" t="s">
        <v>508</v>
      </c>
      <c r="B50" s="303" t="s">
        <v>18</v>
      </c>
      <c r="C50" s="302" t="s">
        <v>19</v>
      </c>
      <c r="D50" s="285" t="s">
        <v>1152</v>
      </c>
      <c r="E50" s="286"/>
      <c r="F50" s="286"/>
      <c r="G50" s="286"/>
      <c r="H50" s="286"/>
      <c r="I50" s="288" t="s">
        <v>1160</v>
      </c>
      <c r="J50" s="288"/>
      <c r="K50" s="288"/>
      <c r="L50" s="287" t="s">
        <v>1157</v>
      </c>
      <c r="M50" s="287"/>
      <c r="N50" s="287"/>
    </row>
    <row r="51" spans="1:14" x14ac:dyDescent="0.25">
      <c r="A51" s="302"/>
      <c r="B51" s="304"/>
      <c r="C51" s="302"/>
      <c r="D51" s="50" t="s">
        <v>24</v>
      </c>
      <c r="E51" s="50" t="s">
        <v>25</v>
      </c>
      <c r="F51" s="50" t="s">
        <v>26</v>
      </c>
      <c r="G51" s="50" t="s">
        <v>27</v>
      </c>
      <c r="H51" s="51" t="s">
        <v>28</v>
      </c>
      <c r="I51" s="77" t="s">
        <v>24</v>
      </c>
      <c r="J51" s="77" t="s">
        <v>29</v>
      </c>
      <c r="K51" s="78" t="s">
        <v>28</v>
      </c>
      <c r="L51" s="73" t="s">
        <v>24</v>
      </c>
      <c r="M51" s="50" t="s">
        <v>29</v>
      </c>
      <c r="N51" s="51" t="s">
        <v>28</v>
      </c>
    </row>
    <row r="52" spans="1:14" x14ac:dyDescent="0.25">
      <c r="A52" s="54">
        <v>73008</v>
      </c>
      <c r="B52" s="54" t="s">
        <v>313</v>
      </c>
      <c r="C52" s="54" t="s">
        <v>314</v>
      </c>
      <c r="D52" s="58">
        <f>'branches '!AB8</f>
        <v>42.554015953920782</v>
      </c>
      <c r="E52" s="58">
        <f>'branches '!AC8</f>
        <v>23</v>
      </c>
      <c r="F52" s="58" t="e">
        <f>'branches '!#REF!</f>
        <v>#REF!</v>
      </c>
      <c r="G52" s="58" t="e">
        <f>'branches '!#REF!</f>
        <v>#REF!</v>
      </c>
      <c r="H52" s="55">
        <f>'branches '!AD8</f>
        <v>0.54048952806017969</v>
      </c>
      <c r="I52" s="58" t="e">
        <f>'branches '!#REF!</f>
        <v>#REF!</v>
      </c>
      <c r="J52" s="58" t="e">
        <f>'branches '!#REF!</f>
        <v>#REF!</v>
      </c>
      <c r="K52" s="55" t="e">
        <f>'branches '!#REF!</f>
        <v>#REF!</v>
      </c>
      <c r="L52" s="58" t="e">
        <f>'branches '!#REF!</f>
        <v>#REF!</v>
      </c>
      <c r="M52" s="58" t="e">
        <f>'branches '!#REF!</f>
        <v>#REF!</v>
      </c>
      <c r="N52" s="55" t="e">
        <f>'branches '!#REF!</f>
        <v>#REF!</v>
      </c>
    </row>
    <row r="53" spans="1:14" x14ac:dyDescent="0.25">
      <c r="A53" s="54">
        <v>73009</v>
      </c>
      <c r="B53" s="54" t="s">
        <v>313</v>
      </c>
      <c r="C53" s="54" t="s">
        <v>325</v>
      </c>
      <c r="D53" s="58">
        <f>'branches '!AB9</f>
        <v>55.536597092405088</v>
      </c>
      <c r="E53" s="58">
        <f>'branches '!AC9</f>
        <v>40</v>
      </c>
      <c r="F53" s="58" t="e">
        <f>'branches '!#REF!</f>
        <v>#REF!</v>
      </c>
      <c r="G53" s="58" t="e">
        <f>'branches '!#REF!</f>
        <v>#REF!</v>
      </c>
      <c r="H53" s="55">
        <f>'branches '!AD9</f>
        <v>0.72024578555732577</v>
      </c>
      <c r="I53" s="58" t="e">
        <f>'branches '!#REF!</f>
        <v>#REF!</v>
      </c>
      <c r="J53" s="58" t="e">
        <f>'branches '!#REF!</f>
        <v>#REF!</v>
      </c>
      <c r="K53" s="55" t="e">
        <f>'branches '!#REF!</f>
        <v>#REF!</v>
      </c>
      <c r="L53" s="58" t="e">
        <f>'branches '!#REF!</f>
        <v>#REF!</v>
      </c>
      <c r="M53" s="58" t="e">
        <f>'branches '!#REF!</f>
        <v>#REF!</v>
      </c>
      <c r="N53" s="55" t="e">
        <f>'branches '!#REF!</f>
        <v>#REF!</v>
      </c>
    </row>
    <row r="54" spans="1:14" x14ac:dyDescent="0.25">
      <c r="A54" s="54">
        <v>73015</v>
      </c>
      <c r="B54" s="54" t="s">
        <v>313</v>
      </c>
      <c r="C54" s="54" t="s">
        <v>342</v>
      </c>
      <c r="D54" s="58">
        <f>'branches '!AB10</f>
        <v>11.540072123097161</v>
      </c>
      <c r="E54" s="58">
        <f>'branches '!AC10</f>
        <v>7</v>
      </c>
      <c r="F54" s="58" t="e">
        <f>'branches '!#REF!</f>
        <v>#REF!</v>
      </c>
      <c r="G54" s="58" t="e">
        <f>'branches '!#REF!</f>
        <v>#REF!</v>
      </c>
      <c r="H54" s="55">
        <f>'branches '!AD10</f>
        <v>0.60658199752406039</v>
      </c>
      <c r="I54" s="58" t="e">
        <f>'branches '!#REF!</f>
        <v>#REF!</v>
      </c>
      <c r="J54" s="58" t="e">
        <f>'branches '!#REF!</f>
        <v>#REF!</v>
      </c>
      <c r="K54" s="55" t="e">
        <f>'branches '!#REF!</f>
        <v>#REF!</v>
      </c>
      <c r="L54" s="58" t="e">
        <f>'branches '!#REF!</f>
        <v>#REF!</v>
      </c>
      <c r="M54" s="58" t="e">
        <f>'branches '!#REF!</f>
        <v>#REF!</v>
      </c>
      <c r="N54" s="55" t="e">
        <f>'branches '!#REF!</f>
        <v>#REF!</v>
      </c>
    </row>
    <row r="55" spans="1:14" x14ac:dyDescent="0.25">
      <c r="A55" s="54">
        <v>73031</v>
      </c>
      <c r="B55" s="54" t="s">
        <v>313</v>
      </c>
      <c r="C55" s="54" t="s">
        <v>352</v>
      </c>
      <c r="D55" s="58">
        <f>'branches '!AB11</f>
        <v>54</v>
      </c>
      <c r="E55" s="58">
        <f>'branches '!AC11</f>
        <v>25</v>
      </c>
      <c r="F55" s="58" t="e">
        <f>'branches '!#REF!</f>
        <v>#REF!</v>
      </c>
      <c r="G55" s="58" t="e">
        <f>'branches '!#REF!</f>
        <v>#REF!</v>
      </c>
      <c r="H55" s="55">
        <f>'branches '!AD11</f>
        <v>0.46296296296296297</v>
      </c>
      <c r="I55" s="58" t="e">
        <f>'branches '!#REF!</f>
        <v>#REF!</v>
      </c>
      <c r="J55" s="58" t="e">
        <f>'branches '!#REF!</f>
        <v>#REF!</v>
      </c>
      <c r="K55" s="55" t="e">
        <f>'branches '!#REF!</f>
        <v>#REF!</v>
      </c>
      <c r="L55" s="58" t="e">
        <f>'branches '!#REF!</f>
        <v>#REF!</v>
      </c>
      <c r="M55" s="58" t="e">
        <f>'branches '!#REF!</f>
        <v>#REF!</v>
      </c>
      <c r="N55" s="55" t="e">
        <f>'branches '!#REF!</f>
        <v>#REF!</v>
      </c>
    </row>
    <row r="56" spans="1:14" x14ac:dyDescent="0.25">
      <c r="A56" s="54">
        <v>73010</v>
      </c>
      <c r="B56" s="54" t="s">
        <v>313</v>
      </c>
      <c r="C56" s="54" t="s">
        <v>526</v>
      </c>
      <c r="D56" s="58">
        <f>'branches '!AB12</f>
        <v>14.425090153871452</v>
      </c>
      <c r="E56" s="58">
        <f>'branches '!AC12</f>
        <v>10</v>
      </c>
      <c r="F56" s="58" t="e">
        <f>'branches '!#REF!</f>
        <v>#REF!</v>
      </c>
      <c r="G56" s="58" t="e">
        <f>'branches '!#REF!</f>
        <v>#REF!</v>
      </c>
      <c r="H56" s="55">
        <f>'branches '!AD12</f>
        <v>0.69323656859892613</v>
      </c>
      <c r="I56" s="58" t="e">
        <f>'branches '!#REF!</f>
        <v>#REF!</v>
      </c>
      <c r="J56" s="58" t="e">
        <f>'branches '!#REF!</f>
        <v>#REF!</v>
      </c>
      <c r="K56" s="55" t="e">
        <f>'branches '!#REF!</f>
        <v>#REF!</v>
      </c>
      <c r="L56" s="58" t="e">
        <f>'branches '!#REF!</f>
        <v>#REF!</v>
      </c>
      <c r="M56" s="58" t="e">
        <f>'branches '!#REF!</f>
        <v>#REF!</v>
      </c>
      <c r="N56" s="55" t="e">
        <f>'branches '!#REF!</f>
        <v>#REF!</v>
      </c>
    </row>
    <row r="57" spans="1:14" x14ac:dyDescent="0.25">
      <c r="A57" s="298" t="s">
        <v>27</v>
      </c>
      <c r="B57" s="299"/>
      <c r="C57" s="300"/>
      <c r="D57" s="73">
        <f>SUM(D52:D56)</f>
        <v>178.05577532329448</v>
      </c>
      <c r="E57" s="50">
        <f>SUM(E52:E56)</f>
        <v>105</v>
      </c>
      <c r="F57" s="50" t="e">
        <f>SUM(F52:F56)</f>
        <v>#REF!</v>
      </c>
      <c r="G57" s="50" t="e">
        <f>SUM(G52:G56)</f>
        <v>#REF!</v>
      </c>
      <c r="H57" s="51" t="e">
        <f>G57/D57</f>
        <v>#REF!</v>
      </c>
      <c r="I57" s="52" t="e">
        <f>SUM(I52:I56)</f>
        <v>#REF!</v>
      </c>
      <c r="J57" s="52" t="e">
        <f>SUM(J52:J56)</f>
        <v>#REF!</v>
      </c>
      <c r="K57" s="53" t="e">
        <f>J57/I57</f>
        <v>#REF!</v>
      </c>
      <c r="L57" s="73" t="e">
        <f>SUM(L52:L56)</f>
        <v>#REF!</v>
      </c>
      <c r="M57" s="50" t="e">
        <f>SUM(M52:M56)</f>
        <v>#REF!</v>
      </c>
      <c r="N57" s="51" t="e">
        <f>M57/L57</f>
        <v>#REF!</v>
      </c>
    </row>
    <row r="59" spans="1:14" x14ac:dyDescent="0.25">
      <c r="A59" s="302" t="s">
        <v>508</v>
      </c>
      <c r="B59" s="303" t="s">
        <v>18</v>
      </c>
      <c r="C59" s="302" t="s">
        <v>19</v>
      </c>
      <c r="D59" s="287" t="s">
        <v>1142</v>
      </c>
      <c r="E59" s="287"/>
      <c r="F59" s="287"/>
      <c r="G59" s="288" t="s">
        <v>1158</v>
      </c>
      <c r="H59" s="288"/>
      <c r="I59" s="288"/>
      <c r="J59" s="287" t="s">
        <v>1159</v>
      </c>
      <c r="K59" s="287"/>
      <c r="L59" s="287"/>
    </row>
    <row r="60" spans="1:14" x14ac:dyDescent="0.25">
      <c r="A60" s="302"/>
      <c r="B60" s="304"/>
      <c r="C60" s="302"/>
      <c r="D60" s="50" t="s">
        <v>24</v>
      </c>
      <c r="E60" s="50" t="s">
        <v>29</v>
      </c>
      <c r="F60" s="51" t="s">
        <v>28</v>
      </c>
      <c r="G60" s="52" t="s">
        <v>24</v>
      </c>
      <c r="H60" s="52" t="s">
        <v>29</v>
      </c>
      <c r="I60" s="53" t="s">
        <v>28</v>
      </c>
      <c r="J60" s="50" t="s">
        <v>24</v>
      </c>
      <c r="K60" s="50" t="s">
        <v>29</v>
      </c>
      <c r="L60" s="51" t="s">
        <v>28</v>
      </c>
    </row>
    <row r="61" spans="1:14" x14ac:dyDescent="0.25">
      <c r="A61" s="54">
        <v>73008</v>
      </c>
      <c r="B61" s="54" t="s">
        <v>313</v>
      </c>
      <c r="C61" s="54" t="s">
        <v>314</v>
      </c>
      <c r="D61" s="58" t="e">
        <f>'branches '!#REF!</f>
        <v>#REF!</v>
      </c>
      <c r="E61" s="58" t="e">
        <f>'branches '!#REF!</f>
        <v>#REF!</v>
      </c>
      <c r="F61" s="55" t="e">
        <f>'branches '!#REF!</f>
        <v>#REF!</v>
      </c>
      <c r="G61" s="58" t="e">
        <f>'branches '!#REF!</f>
        <v>#REF!</v>
      </c>
      <c r="H61" s="58" t="e">
        <f>'branches '!#REF!</f>
        <v>#REF!</v>
      </c>
      <c r="I61" s="55" t="e">
        <f>'branches '!#REF!</f>
        <v>#REF!</v>
      </c>
      <c r="J61" s="58" t="e">
        <f>'branches '!#REF!</f>
        <v>#REF!</v>
      </c>
      <c r="K61" s="58" t="e">
        <f>'branches '!#REF!</f>
        <v>#REF!</v>
      </c>
      <c r="L61" s="55" t="e">
        <f>'branches '!#REF!</f>
        <v>#REF!</v>
      </c>
    </row>
    <row r="62" spans="1:14" x14ac:dyDescent="0.25">
      <c r="A62" s="54">
        <v>73009</v>
      </c>
      <c r="B62" s="54" t="s">
        <v>313</v>
      </c>
      <c r="C62" s="54" t="s">
        <v>325</v>
      </c>
      <c r="D62" s="58" t="e">
        <f>'branches '!#REF!</f>
        <v>#REF!</v>
      </c>
      <c r="E62" s="58" t="e">
        <f>'branches '!#REF!</f>
        <v>#REF!</v>
      </c>
      <c r="F62" s="55" t="e">
        <f>'branches '!#REF!</f>
        <v>#REF!</v>
      </c>
      <c r="G62" s="58" t="e">
        <f>'branches '!#REF!</f>
        <v>#REF!</v>
      </c>
      <c r="H62" s="58" t="e">
        <f>'branches '!#REF!</f>
        <v>#REF!</v>
      </c>
      <c r="I62" s="55" t="e">
        <f>'branches '!#REF!</f>
        <v>#REF!</v>
      </c>
      <c r="J62" s="58" t="e">
        <f>'branches '!#REF!</f>
        <v>#REF!</v>
      </c>
      <c r="K62" s="58" t="e">
        <f>'branches '!#REF!</f>
        <v>#REF!</v>
      </c>
      <c r="L62" s="55" t="e">
        <f>'branches '!#REF!</f>
        <v>#REF!</v>
      </c>
    </row>
    <row r="63" spans="1:14" x14ac:dyDescent="0.25">
      <c r="A63" s="54">
        <v>73015</v>
      </c>
      <c r="B63" s="54" t="s">
        <v>313</v>
      </c>
      <c r="C63" s="54" t="s">
        <v>342</v>
      </c>
      <c r="D63" s="58" t="e">
        <f>'branches '!#REF!</f>
        <v>#REF!</v>
      </c>
      <c r="E63" s="58" t="e">
        <f>'branches '!#REF!</f>
        <v>#REF!</v>
      </c>
      <c r="F63" s="55" t="e">
        <f>'branches '!#REF!</f>
        <v>#REF!</v>
      </c>
      <c r="G63" s="58" t="e">
        <f>'branches '!#REF!</f>
        <v>#REF!</v>
      </c>
      <c r="H63" s="58" t="e">
        <f>'branches '!#REF!</f>
        <v>#REF!</v>
      </c>
      <c r="I63" s="55" t="e">
        <f>'branches '!#REF!</f>
        <v>#REF!</v>
      </c>
      <c r="J63" s="58" t="e">
        <f>'branches '!#REF!</f>
        <v>#REF!</v>
      </c>
      <c r="K63" s="58" t="e">
        <f>'branches '!#REF!</f>
        <v>#REF!</v>
      </c>
      <c r="L63" s="55" t="e">
        <f>'branches '!#REF!</f>
        <v>#REF!</v>
      </c>
    </row>
    <row r="64" spans="1:14" x14ac:dyDescent="0.25">
      <c r="A64" s="54">
        <v>73031</v>
      </c>
      <c r="B64" s="54" t="s">
        <v>313</v>
      </c>
      <c r="C64" s="54" t="s">
        <v>352</v>
      </c>
      <c r="D64" s="58" t="e">
        <f>'branches '!#REF!</f>
        <v>#REF!</v>
      </c>
      <c r="E64" s="58" t="e">
        <f>'branches '!#REF!</f>
        <v>#REF!</v>
      </c>
      <c r="F64" s="55" t="e">
        <f>'branches '!#REF!</f>
        <v>#REF!</v>
      </c>
      <c r="G64" s="58" t="e">
        <f>'branches '!#REF!</f>
        <v>#REF!</v>
      </c>
      <c r="H64" s="58" t="e">
        <f>'branches '!#REF!</f>
        <v>#REF!</v>
      </c>
      <c r="I64" s="55" t="e">
        <f>'branches '!#REF!</f>
        <v>#REF!</v>
      </c>
      <c r="J64" s="58" t="e">
        <f>'branches '!#REF!</f>
        <v>#REF!</v>
      </c>
      <c r="K64" s="58" t="e">
        <f>'branches '!#REF!</f>
        <v>#REF!</v>
      </c>
      <c r="L64" s="55" t="e">
        <f>'branches '!#REF!</f>
        <v>#REF!</v>
      </c>
    </row>
    <row r="65" spans="1:14" x14ac:dyDescent="0.25">
      <c r="A65" s="54">
        <v>73010</v>
      </c>
      <c r="B65" s="54" t="s">
        <v>313</v>
      </c>
      <c r="C65" s="54" t="s">
        <v>526</v>
      </c>
      <c r="D65" s="58" t="e">
        <f>'branches '!#REF!</f>
        <v>#REF!</v>
      </c>
      <c r="E65" s="58" t="e">
        <f>'branches '!#REF!</f>
        <v>#REF!</v>
      </c>
      <c r="F65" s="55" t="e">
        <f>'branches '!#REF!</f>
        <v>#REF!</v>
      </c>
      <c r="G65" s="58" t="e">
        <f>'branches '!#REF!</f>
        <v>#REF!</v>
      </c>
      <c r="H65" s="58" t="e">
        <f>'branches '!#REF!</f>
        <v>#REF!</v>
      </c>
      <c r="I65" s="55" t="e">
        <f>'branches '!#REF!</f>
        <v>#REF!</v>
      </c>
      <c r="J65" s="58" t="e">
        <f>'branches '!#REF!</f>
        <v>#REF!</v>
      </c>
      <c r="K65" s="58" t="e">
        <f>'branches '!#REF!</f>
        <v>#REF!</v>
      </c>
      <c r="L65" s="55" t="e">
        <f>'branches '!#REF!</f>
        <v>#REF!</v>
      </c>
    </row>
    <row r="66" spans="1:14" x14ac:dyDescent="0.25">
      <c r="A66" s="298" t="s">
        <v>27</v>
      </c>
      <c r="B66" s="299"/>
      <c r="C66" s="300"/>
      <c r="D66" s="73" t="e">
        <f>SUM(D61:D65)</f>
        <v>#REF!</v>
      </c>
      <c r="E66" s="50" t="e">
        <f>SUM(E61:E65)</f>
        <v>#REF!</v>
      </c>
      <c r="F66" s="51" t="e">
        <f>E66/D66</f>
        <v>#REF!</v>
      </c>
      <c r="G66" s="52" t="e">
        <f>SUM(G61:G65)</f>
        <v>#REF!</v>
      </c>
      <c r="H66" s="52" t="e">
        <f>SUM(H61:H65)</f>
        <v>#REF!</v>
      </c>
      <c r="I66" s="53" t="e">
        <f>H66/G66</f>
        <v>#REF!</v>
      </c>
      <c r="J66" s="73" t="e">
        <f>SUM(J61:J65)</f>
        <v>#REF!</v>
      </c>
      <c r="K66" s="50" t="e">
        <f>SUM(K61:K65)</f>
        <v>#REF!</v>
      </c>
      <c r="L66" s="51" t="e">
        <f>K66/J66</f>
        <v>#REF!</v>
      </c>
    </row>
    <row r="68" spans="1:14" ht="21.6" customHeight="1" x14ac:dyDescent="0.25">
      <c r="A68" s="291" t="s">
        <v>1134</v>
      </c>
      <c r="B68" s="291"/>
      <c r="C68" s="291"/>
      <c r="D68" s="291"/>
      <c r="E68" s="291"/>
      <c r="F68" s="291"/>
      <c r="G68" s="291"/>
      <c r="H68" s="291"/>
      <c r="I68" s="291"/>
      <c r="J68" s="291"/>
      <c r="K68" s="291"/>
      <c r="L68" s="291"/>
      <c r="M68" s="291"/>
      <c r="N68" s="291"/>
    </row>
  </sheetData>
  <mergeCells count="50">
    <mergeCell ref="C50:C51"/>
    <mergeCell ref="C5:C6"/>
    <mergeCell ref="B5:B6"/>
    <mergeCell ref="A5:A6"/>
    <mergeCell ref="A14:A15"/>
    <mergeCell ref="B14:B15"/>
    <mergeCell ref="C14:C15"/>
    <mergeCell ref="A32:A33"/>
    <mergeCell ref="B32:B33"/>
    <mergeCell ref="C32:C33"/>
    <mergeCell ref="B41:B42"/>
    <mergeCell ref="C41:C42"/>
    <mergeCell ref="A1:A3"/>
    <mergeCell ref="A59:A60"/>
    <mergeCell ref="B59:B60"/>
    <mergeCell ref="C59:C60"/>
    <mergeCell ref="A12:C12"/>
    <mergeCell ref="A21:C21"/>
    <mergeCell ref="A30:C30"/>
    <mergeCell ref="A39:C39"/>
    <mergeCell ref="A48:C48"/>
    <mergeCell ref="A57:C57"/>
    <mergeCell ref="A23:A24"/>
    <mergeCell ref="B23:B24"/>
    <mergeCell ref="C23:C24"/>
    <mergeCell ref="A41:A42"/>
    <mergeCell ref="A50:A51"/>
    <mergeCell ref="B50:B51"/>
    <mergeCell ref="N5:N6"/>
    <mergeCell ref="B1:N3"/>
    <mergeCell ref="A68:N68"/>
    <mergeCell ref="D5:H5"/>
    <mergeCell ref="I5:M5"/>
    <mergeCell ref="D14:F14"/>
    <mergeCell ref="G14:I14"/>
    <mergeCell ref="J14:L14"/>
    <mergeCell ref="J23:L23"/>
    <mergeCell ref="G23:I23"/>
    <mergeCell ref="D23:F23"/>
    <mergeCell ref="I32:K32"/>
    <mergeCell ref="D32:H32"/>
    <mergeCell ref="I41:M41"/>
    <mergeCell ref="D41:H41"/>
    <mergeCell ref="A66:C66"/>
    <mergeCell ref="D50:H50"/>
    <mergeCell ref="D59:F59"/>
    <mergeCell ref="G59:I59"/>
    <mergeCell ref="J59:L59"/>
    <mergeCell ref="I50:K50"/>
    <mergeCell ref="L50:N50"/>
  </mergeCells>
  <conditionalFormatting sqref="H7:H11 M7:M11 F16:F20 I16:I20 L16:L20 F25:F29 I25:I29 L25:L29 H34:H38 K34:K38 H43:H47 M43:M47 H52:H56 K52:K56 N52:N56 F61:F65 I61:I65 L61:L65">
    <cfRule type="cellIs" dxfId="275" priority="46" operator="lessThan">
      <formula>0.7</formula>
    </cfRule>
    <cfRule type="cellIs" dxfId="274" priority="47" operator="between">
      <formula>0.7</formula>
      <formula>0.89</formula>
    </cfRule>
    <cfRule type="cellIs" dxfId="273" priority="48" operator="greaterThan">
      <formula>0.89</formula>
    </cfRule>
  </conditionalFormatting>
  <pageMargins left="0.7" right="0.7" top="0.75" bottom="0.75" header="0.3" footer="0.3"/>
  <ignoredErrors>
    <ignoredError sqref="H12 F21 I30 F30 I21 H39 H48 H57 I66 F66 M12 K57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B80B1-88A8-4069-8652-24A75AFDF87A}">
  <dimension ref="A1:N103"/>
  <sheetViews>
    <sheetView showGridLines="0" topLeftCell="A55" workbookViewId="0">
      <selection activeCell="P66" sqref="P66"/>
    </sheetView>
  </sheetViews>
  <sheetFormatPr defaultRowHeight="15" x14ac:dyDescent="0.25"/>
  <cols>
    <col min="1" max="1" width="6" bestFit="1" customWidth="1"/>
    <col min="2" max="2" width="9.140625" bestFit="1" customWidth="1"/>
    <col min="3" max="3" width="17.5703125" customWidth="1"/>
    <col min="4" max="4" width="10.42578125" bestFit="1" customWidth="1"/>
    <col min="5" max="5" width="15.42578125" bestFit="1" customWidth="1"/>
    <col min="6" max="6" width="16.42578125" bestFit="1" customWidth="1"/>
    <col min="7" max="7" width="10.42578125" bestFit="1" customWidth="1"/>
    <col min="8" max="8" width="12.42578125" bestFit="1" customWidth="1"/>
    <col min="9" max="9" width="10.42578125" bestFit="1" customWidth="1"/>
    <col min="10" max="10" width="16.42578125" bestFit="1" customWidth="1"/>
    <col min="11" max="11" width="16.140625" bestFit="1" customWidth="1"/>
    <col min="12" max="12" width="10.42578125" bestFit="1" customWidth="1"/>
    <col min="13" max="13" width="7.85546875" customWidth="1"/>
    <col min="14" max="14" width="10.85546875" customWidth="1"/>
  </cols>
  <sheetData>
    <row r="1" spans="1:14" ht="14.45" customHeight="1" x14ac:dyDescent="0.25">
      <c r="A1" s="301"/>
      <c r="B1" s="290" t="s">
        <v>1163</v>
      </c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</row>
    <row r="2" spans="1:14" ht="14.45" customHeight="1" x14ac:dyDescent="0.25">
      <c r="A2" s="301"/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</row>
    <row r="3" spans="1:14" ht="14.45" customHeight="1" x14ac:dyDescent="0.25">
      <c r="A3" s="301"/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</row>
    <row r="5" spans="1:14" x14ac:dyDescent="0.25">
      <c r="A5" s="302" t="s">
        <v>508</v>
      </c>
      <c r="B5" s="302" t="s">
        <v>18</v>
      </c>
      <c r="C5" s="302" t="s">
        <v>19</v>
      </c>
      <c r="D5" s="296" t="s">
        <v>1156</v>
      </c>
      <c r="E5" s="296"/>
      <c r="F5" s="296"/>
      <c r="G5" s="296"/>
      <c r="H5" s="296"/>
      <c r="I5" s="288" t="s">
        <v>1155</v>
      </c>
      <c r="J5" s="288"/>
      <c r="K5" s="288"/>
      <c r="L5" s="288"/>
      <c r="M5" s="288"/>
      <c r="N5" s="289" t="s">
        <v>1164</v>
      </c>
    </row>
    <row r="6" spans="1:14" x14ac:dyDescent="0.25">
      <c r="A6" s="302"/>
      <c r="B6" s="302"/>
      <c r="C6" s="302"/>
      <c r="D6" s="73" t="s">
        <v>24</v>
      </c>
      <c r="E6" s="50" t="s">
        <v>25</v>
      </c>
      <c r="F6" s="50" t="s">
        <v>26</v>
      </c>
      <c r="G6" s="50" t="s">
        <v>27</v>
      </c>
      <c r="H6" s="51" t="s">
        <v>28</v>
      </c>
      <c r="I6" s="52" t="s">
        <v>24</v>
      </c>
      <c r="J6" s="52" t="s">
        <v>25</v>
      </c>
      <c r="K6" s="52" t="s">
        <v>26</v>
      </c>
      <c r="L6" s="52" t="s">
        <v>27</v>
      </c>
      <c r="M6" s="53" t="s">
        <v>28</v>
      </c>
      <c r="N6" s="289"/>
    </row>
    <row r="7" spans="1:14" x14ac:dyDescent="0.25">
      <c r="A7" s="54">
        <v>3000</v>
      </c>
      <c r="B7" s="54" t="s">
        <v>112</v>
      </c>
      <c r="C7" s="54" t="s">
        <v>509</v>
      </c>
      <c r="D7" s="58">
        <f>'branches '!D39</f>
        <v>988589.0149999999</v>
      </c>
      <c r="E7" s="58">
        <f>'branches '!E39</f>
        <v>926835.15000000014</v>
      </c>
      <c r="F7" s="58" t="e">
        <f>'branches '!#REF!</f>
        <v>#REF!</v>
      </c>
      <c r="G7" s="58" t="e">
        <f>'branches '!#REF!</f>
        <v>#REF!</v>
      </c>
      <c r="H7" s="55">
        <f>'branches '!F39</f>
        <v>0.93753332875138229</v>
      </c>
      <c r="I7" s="58">
        <f>'branches '!G39</f>
        <v>111162.79943938497</v>
      </c>
      <c r="J7" s="58">
        <f>'branches '!H39</f>
        <v>26795.360000000001</v>
      </c>
      <c r="K7" s="58" t="e">
        <f>'branches '!#REF!</f>
        <v>#REF!</v>
      </c>
      <c r="L7" s="58" t="e">
        <f>'branches '!#REF!</f>
        <v>#REF!</v>
      </c>
      <c r="M7" s="55">
        <f>'branches '!I39</f>
        <v>0.24104610656743147</v>
      </c>
      <c r="N7" s="58" t="e">
        <f>L7+G7+K35</f>
        <v>#REF!</v>
      </c>
    </row>
    <row r="8" spans="1:14" x14ac:dyDescent="0.25">
      <c r="A8" s="54">
        <v>13006</v>
      </c>
      <c r="B8" s="54" t="s">
        <v>112</v>
      </c>
      <c r="C8" s="54" t="s">
        <v>135</v>
      </c>
      <c r="D8" s="58">
        <f>'branches '!D40</f>
        <v>638203.03500000015</v>
      </c>
      <c r="E8" s="58">
        <f>'branches '!E40</f>
        <v>388575.78</v>
      </c>
      <c r="F8" s="58" t="e">
        <f>'branches '!#REF!</f>
        <v>#REF!</v>
      </c>
      <c r="G8" s="58" t="e">
        <f>'branches '!#REF!</f>
        <v>#REF!</v>
      </c>
      <c r="H8" s="55">
        <f>'branches '!F40</f>
        <v>0.60885918538447559</v>
      </c>
      <c r="I8" s="58">
        <f>'branches '!G40</f>
        <v>57547.349421813735</v>
      </c>
      <c r="J8" s="58">
        <f>'branches '!H40</f>
        <v>17248.700000000004</v>
      </c>
      <c r="K8" s="58" t="e">
        <f>'branches '!#REF!</f>
        <v>#REF!</v>
      </c>
      <c r="L8" s="58" t="e">
        <f>'branches '!#REF!</f>
        <v>#REF!</v>
      </c>
      <c r="M8" s="55">
        <f>'branches '!I40</f>
        <v>0.29973057270752007</v>
      </c>
      <c r="N8" s="58" t="e">
        <f t="shared" ref="N8:N16" si="0">L8+G8+K36</f>
        <v>#REF!</v>
      </c>
    </row>
    <row r="9" spans="1:14" x14ac:dyDescent="0.25">
      <c r="A9" s="54">
        <v>33026</v>
      </c>
      <c r="B9" s="54" t="s">
        <v>112</v>
      </c>
      <c r="C9" s="54" t="s">
        <v>152</v>
      </c>
      <c r="D9" s="58">
        <f>'branches '!D41</f>
        <v>525578.97000000009</v>
      </c>
      <c r="E9" s="58">
        <f>'branches '!E41</f>
        <v>447094.1700000001</v>
      </c>
      <c r="F9" s="58" t="e">
        <f>'branches '!#REF!</f>
        <v>#REF!</v>
      </c>
      <c r="G9" s="58" t="e">
        <f>'branches '!#REF!</f>
        <v>#REF!</v>
      </c>
      <c r="H9" s="55">
        <f>'branches '!F41</f>
        <v>0.85066982417504267</v>
      </c>
      <c r="I9" s="58">
        <f>'branches '!G41</f>
        <v>54422.628664902812</v>
      </c>
      <c r="J9" s="58">
        <f>'branches '!H41</f>
        <v>101333.87999999999</v>
      </c>
      <c r="K9" s="58" t="e">
        <f>'branches '!#REF!</f>
        <v>#REF!</v>
      </c>
      <c r="L9" s="58" t="e">
        <f>'branches '!#REF!</f>
        <v>#REF!</v>
      </c>
      <c r="M9" s="55">
        <f>'branches '!I41</f>
        <v>1.8619806225080464</v>
      </c>
      <c r="N9" s="58" t="e">
        <f t="shared" si="0"/>
        <v>#REF!</v>
      </c>
    </row>
    <row r="10" spans="1:14" x14ac:dyDescent="0.25">
      <c r="A10" s="54">
        <v>43004</v>
      </c>
      <c r="B10" s="54" t="s">
        <v>112</v>
      </c>
      <c r="C10" s="54" t="s">
        <v>510</v>
      </c>
      <c r="D10" s="58">
        <f>'branches '!D42</f>
        <v>350385.98000000004</v>
      </c>
      <c r="E10" s="58">
        <f>'branches '!E42</f>
        <v>242174.91000000006</v>
      </c>
      <c r="F10" s="58" t="e">
        <f>'branches '!#REF!</f>
        <v>#REF!</v>
      </c>
      <c r="G10" s="58" t="e">
        <f>'branches '!#REF!</f>
        <v>#REF!</v>
      </c>
      <c r="H10" s="55">
        <f>'branches '!F42</f>
        <v>0.6911660963146985</v>
      </c>
      <c r="I10" s="58">
        <f>'branches '!G42</f>
        <v>48980.365798412531</v>
      </c>
      <c r="J10" s="58">
        <f>'branches '!H42</f>
        <v>9524.31</v>
      </c>
      <c r="K10" s="58" t="e">
        <f>'branches '!#REF!</f>
        <v>#REF!</v>
      </c>
      <c r="L10" s="58" t="e">
        <f>'branches '!#REF!</f>
        <v>#REF!</v>
      </c>
      <c r="M10" s="55">
        <f>'branches '!I42</f>
        <v>0.19445158983089272</v>
      </c>
      <c r="N10" s="58" t="e">
        <f t="shared" si="0"/>
        <v>#REF!</v>
      </c>
    </row>
    <row r="11" spans="1:14" x14ac:dyDescent="0.25">
      <c r="A11" s="54">
        <v>73006</v>
      </c>
      <c r="B11" s="54" t="s">
        <v>112</v>
      </c>
      <c r="C11" s="54" t="s">
        <v>511</v>
      </c>
      <c r="D11" s="58">
        <f>'branches '!D13</f>
        <v>747126</v>
      </c>
      <c r="E11" s="58">
        <f>'branches '!E13</f>
        <v>540595.84</v>
      </c>
      <c r="F11" s="58" t="e">
        <f>'branches '!#REF!</f>
        <v>#REF!</v>
      </c>
      <c r="G11" s="58" t="e">
        <f>'branches '!#REF!</f>
        <v>#REF!</v>
      </c>
      <c r="H11" s="55">
        <f>'branches '!F13</f>
        <v>0.72356716270080279</v>
      </c>
      <c r="I11" s="58">
        <f>'branches '!G13</f>
        <v>99512</v>
      </c>
      <c r="J11" s="58">
        <f>'branches '!H13</f>
        <v>20589.28</v>
      </c>
      <c r="K11" s="58" t="e">
        <f>'branches '!#REF!</f>
        <v>#REF!</v>
      </c>
      <c r="L11" s="58" t="e">
        <f>'branches '!#REF!</f>
        <v>#REF!</v>
      </c>
      <c r="M11" s="55">
        <f>'branches '!I13</f>
        <v>0.20690248412251788</v>
      </c>
      <c r="N11" s="58" t="e">
        <f t="shared" si="0"/>
        <v>#REF!</v>
      </c>
    </row>
    <row r="12" spans="1:14" x14ac:dyDescent="0.25">
      <c r="A12" s="54">
        <v>73037</v>
      </c>
      <c r="B12" s="54" t="s">
        <v>112</v>
      </c>
      <c r="C12" s="54" t="s">
        <v>164</v>
      </c>
      <c r="D12" s="58">
        <f>'branches '!D14</f>
        <v>700427</v>
      </c>
      <c r="E12" s="58">
        <f>'branches '!E14</f>
        <v>43888.71</v>
      </c>
      <c r="F12" s="58" t="e">
        <f>'branches '!#REF!</f>
        <v>#REF!</v>
      </c>
      <c r="G12" s="58" t="e">
        <f>'branches '!#REF!</f>
        <v>#REF!</v>
      </c>
      <c r="H12" s="55">
        <f>'branches '!F14</f>
        <v>6.2659934582761659E-2</v>
      </c>
      <c r="I12" s="58">
        <f>'branches '!G14</f>
        <v>93292</v>
      </c>
      <c r="J12" s="58">
        <f>'branches '!H14</f>
        <v>3563.4799999999996</v>
      </c>
      <c r="K12" s="58" t="e">
        <f>'branches '!#REF!</f>
        <v>#REF!</v>
      </c>
      <c r="L12" s="58" t="e">
        <f>'branches '!#REF!</f>
        <v>#REF!</v>
      </c>
      <c r="M12" s="55">
        <f>'branches '!I14</f>
        <v>3.8197058697423139E-2</v>
      </c>
      <c r="N12" s="58" t="e">
        <f t="shared" si="0"/>
        <v>#REF!</v>
      </c>
    </row>
    <row r="13" spans="1:14" x14ac:dyDescent="0.25">
      <c r="A13" s="54">
        <v>73038</v>
      </c>
      <c r="B13" s="54" t="s">
        <v>112</v>
      </c>
      <c r="C13" s="54" t="s">
        <v>1162</v>
      </c>
      <c r="D13" s="58">
        <f>'branches '!D15</f>
        <v>256822</v>
      </c>
      <c r="E13" s="58">
        <f>'branches '!E15</f>
        <v>291920.09000000003</v>
      </c>
      <c r="F13" s="58" t="e">
        <f>'branches '!#REF!</f>
        <v>#REF!</v>
      </c>
      <c r="G13" s="58" t="e">
        <f>'branches '!#REF!</f>
        <v>#REF!</v>
      </c>
      <c r="H13" s="55">
        <f>'branches '!F15</f>
        <v>1.1366630973981982</v>
      </c>
      <c r="I13" s="58">
        <f>'branches '!G15</f>
        <v>34208</v>
      </c>
      <c r="J13" s="58">
        <f>'branches '!H15</f>
        <v>7064.35</v>
      </c>
      <c r="K13" s="58" t="e">
        <f>'branches '!#REF!</f>
        <v>#REF!</v>
      </c>
      <c r="L13" s="58" t="e">
        <f>'branches '!#REF!</f>
        <v>#REF!</v>
      </c>
      <c r="M13" s="55">
        <f>'branches '!I15</f>
        <v>0.2065116347053321</v>
      </c>
      <c r="N13" s="58" t="e">
        <f t="shared" si="0"/>
        <v>#REF!</v>
      </c>
    </row>
    <row r="14" spans="1:14" x14ac:dyDescent="0.25">
      <c r="A14" s="54">
        <v>13013</v>
      </c>
      <c r="B14" s="54" t="s">
        <v>112</v>
      </c>
      <c r="C14" s="54" t="s">
        <v>482</v>
      </c>
      <c r="D14" s="58">
        <f>'branches '!D16</f>
        <v>513647</v>
      </c>
      <c r="E14" s="58">
        <f>'branches '!E16</f>
        <v>398761.88999999996</v>
      </c>
      <c r="F14" s="58" t="e">
        <f>'branches '!#REF!</f>
        <v>#REF!</v>
      </c>
      <c r="G14" s="58" t="e">
        <f>'branches '!#REF!</f>
        <v>#REF!</v>
      </c>
      <c r="H14" s="55">
        <f>'branches '!F16</f>
        <v>0.77633450599341558</v>
      </c>
      <c r="I14" s="58">
        <f>'branches '!G16</f>
        <v>68419</v>
      </c>
      <c r="J14" s="58">
        <f>'branches '!H16</f>
        <v>2260.87</v>
      </c>
      <c r="K14" s="58" t="e">
        <f>'branches '!#REF!</f>
        <v>#REF!</v>
      </c>
      <c r="L14" s="58" t="e">
        <f>'branches '!#REF!</f>
        <v>#REF!</v>
      </c>
      <c r="M14" s="55">
        <f>'branches '!I16</f>
        <v>3.3044475949663102E-2</v>
      </c>
      <c r="N14" s="58" t="e">
        <f t="shared" si="0"/>
        <v>#REF!</v>
      </c>
    </row>
    <row r="15" spans="1:14" x14ac:dyDescent="0.25">
      <c r="A15" s="54">
        <v>73002</v>
      </c>
      <c r="B15" s="54" t="s">
        <v>112</v>
      </c>
      <c r="C15" s="54" t="s">
        <v>521</v>
      </c>
      <c r="D15" s="58">
        <f>'branches '!D17</f>
        <v>486702</v>
      </c>
      <c r="E15" s="58">
        <f>'branches '!E17</f>
        <v>310175.82</v>
      </c>
      <c r="F15" s="58" t="e">
        <f>'branches '!#REF!</f>
        <v>#REF!</v>
      </c>
      <c r="G15" s="58" t="e">
        <f>'branches '!#REF!</f>
        <v>#REF!</v>
      </c>
      <c r="H15" s="55">
        <f>'branches '!F17</f>
        <v>0.63730130552165387</v>
      </c>
      <c r="I15" s="58">
        <f>'branches '!G17</f>
        <v>64780</v>
      </c>
      <c r="J15" s="58">
        <f>'branches '!H17</f>
        <v>9650.43</v>
      </c>
      <c r="K15" s="58" t="e">
        <f>'branches '!#REF!</f>
        <v>#REF!</v>
      </c>
      <c r="L15" s="58" t="e">
        <f>'branches '!#REF!</f>
        <v>#REF!</v>
      </c>
      <c r="M15" s="55">
        <f>'branches '!I17</f>
        <v>0.14897236801481939</v>
      </c>
      <c r="N15" s="58" t="e">
        <f t="shared" si="0"/>
        <v>#REF!</v>
      </c>
    </row>
    <row r="16" spans="1:14" x14ac:dyDescent="0.25">
      <c r="A16" s="54">
        <v>13015</v>
      </c>
      <c r="B16" s="54" t="s">
        <v>112</v>
      </c>
      <c r="C16" s="54" t="s">
        <v>531</v>
      </c>
      <c r="D16" s="58">
        <f>'branches '!D18</f>
        <v>280171</v>
      </c>
      <c r="E16" s="58">
        <f>'branches '!E18</f>
        <v>369202.77</v>
      </c>
      <c r="F16" s="58" t="e">
        <f>'branches '!#REF!</f>
        <v>#REF!</v>
      </c>
      <c r="G16" s="58" t="e">
        <f>'branches '!#REF!</f>
        <v>#REF!</v>
      </c>
      <c r="H16" s="55">
        <f>'branches '!F18</f>
        <v>1.3177765364723688</v>
      </c>
      <c r="I16" s="58">
        <f>'branches '!G18</f>
        <v>37322</v>
      </c>
      <c r="J16" s="58">
        <f>'branches '!H18</f>
        <v>7672.1399999999994</v>
      </c>
      <c r="K16" s="58" t="e">
        <f>'branches '!#REF!</f>
        <v>#REF!</v>
      </c>
      <c r="L16" s="58" t="e">
        <f>'branches '!#REF!</f>
        <v>#REF!</v>
      </c>
      <c r="M16" s="55">
        <f>'branches '!I18</f>
        <v>0.20556615401103906</v>
      </c>
      <c r="N16" s="58" t="e">
        <f t="shared" si="0"/>
        <v>#REF!</v>
      </c>
    </row>
    <row r="17" spans="1:14" x14ac:dyDescent="0.25">
      <c r="A17" s="298" t="s">
        <v>27</v>
      </c>
      <c r="B17" s="299"/>
      <c r="C17" s="300"/>
      <c r="D17" s="73">
        <f>SUM(D7:D16)</f>
        <v>5487652</v>
      </c>
      <c r="E17" s="73">
        <f t="shared" ref="E17:L17" si="1">SUM(E7:E16)</f>
        <v>3959225.1300000004</v>
      </c>
      <c r="F17" s="73" t="e">
        <f t="shared" si="1"/>
        <v>#REF!</v>
      </c>
      <c r="G17" s="73" t="e">
        <f t="shared" si="1"/>
        <v>#REF!</v>
      </c>
      <c r="H17" s="74" t="e">
        <f>G17/D17</f>
        <v>#REF!</v>
      </c>
      <c r="I17" s="52">
        <f t="shared" si="1"/>
        <v>669646.14332451404</v>
      </c>
      <c r="J17" s="52">
        <f t="shared" si="1"/>
        <v>205702.8</v>
      </c>
      <c r="K17" s="52" t="e">
        <f t="shared" si="1"/>
        <v>#REF!</v>
      </c>
      <c r="L17" s="52" t="e">
        <f t="shared" si="1"/>
        <v>#REF!</v>
      </c>
      <c r="M17" s="53" t="e">
        <f>L17/I17</f>
        <v>#REF!</v>
      </c>
      <c r="N17" s="73" t="e">
        <f>SUM(N7:N16)</f>
        <v>#REF!</v>
      </c>
    </row>
    <row r="19" spans="1:14" x14ac:dyDescent="0.25">
      <c r="A19" s="302" t="s">
        <v>508</v>
      </c>
      <c r="B19" s="302" t="s">
        <v>18</v>
      </c>
      <c r="C19" s="302" t="s">
        <v>19</v>
      </c>
      <c r="D19" s="296" t="s">
        <v>496</v>
      </c>
      <c r="E19" s="296"/>
      <c r="F19" s="296"/>
      <c r="G19" s="288" t="s">
        <v>522</v>
      </c>
      <c r="H19" s="288"/>
      <c r="I19" s="288"/>
      <c r="J19" s="296" t="s">
        <v>507</v>
      </c>
      <c r="K19" s="296"/>
      <c r="L19" s="296"/>
    </row>
    <row r="20" spans="1:14" x14ac:dyDescent="0.25">
      <c r="A20" s="302"/>
      <c r="B20" s="302"/>
      <c r="C20" s="302"/>
      <c r="D20" s="73" t="s">
        <v>24</v>
      </c>
      <c r="E20" s="73" t="s">
        <v>29</v>
      </c>
      <c r="F20" s="73" t="s">
        <v>28</v>
      </c>
      <c r="G20" s="52" t="s">
        <v>24</v>
      </c>
      <c r="H20" s="52" t="s">
        <v>29</v>
      </c>
      <c r="I20" s="53" t="s">
        <v>28</v>
      </c>
      <c r="J20" s="73" t="s">
        <v>24</v>
      </c>
      <c r="K20" s="73" t="s">
        <v>29</v>
      </c>
      <c r="L20" s="73" t="s">
        <v>28</v>
      </c>
    </row>
    <row r="21" spans="1:14" x14ac:dyDescent="0.25">
      <c r="A21" s="54">
        <v>3000</v>
      </c>
      <c r="B21" s="54" t="s">
        <v>112</v>
      </c>
      <c r="C21" s="54" t="s">
        <v>509</v>
      </c>
      <c r="D21" s="58">
        <f>'branches '!M39</f>
        <v>7778.0554425047758</v>
      </c>
      <c r="E21" s="58">
        <f>'branches '!N39</f>
        <v>389</v>
      </c>
      <c r="F21" s="55">
        <f>'branches '!O39</f>
        <v>5.0012500280498119E-2</v>
      </c>
      <c r="G21" s="58" t="e">
        <f>'branches '!#REF!</f>
        <v>#REF!</v>
      </c>
      <c r="H21" s="58" t="e">
        <f>'branches '!#REF!</f>
        <v>#REF!</v>
      </c>
      <c r="I21" s="55" t="e">
        <f>'branches '!#REF!</f>
        <v>#REF!</v>
      </c>
      <c r="J21" s="58">
        <f>'branches '!AK39</f>
        <v>28.932792159244912</v>
      </c>
      <c r="K21" s="58">
        <f>'branches '!AL39</f>
        <v>0</v>
      </c>
      <c r="L21" s="55">
        <f>'branches '!AM39</f>
        <v>0</v>
      </c>
    </row>
    <row r="22" spans="1:14" x14ac:dyDescent="0.25">
      <c r="A22" s="54">
        <v>13006</v>
      </c>
      <c r="B22" s="54" t="s">
        <v>112</v>
      </c>
      <c r="C22" s="54" t="s">
        <v>135</v>
      </c>
      <c r="D22" s="58">
        <f>'branches '!M40</f>
        <v>4083.4791073150072</v>
      </c>
      <c r="E22" s="58">
        <f>'branches '!N40</f>
        <v>0</v>
      </c>
      <c r="F22" s="55">
        <f>'branches '!O40</f>
        <v>0</v>
      </c>
      <c r="G22" s="58" t="e">
        <f>'branches '!#REF!</f>
        <v>#REF!</v>
      </c>
      <c r="H22" s="58" t="e">
        <f>'branches '!#REF!</f>
        <v>#REF!</v>
      </c>
      <c r="I22" s="55" t="e">
        <f>'branches '!#REF!</f>
        <v>#REF!</v>
      </c>
      <c r="J22" s="58">
        <f>'branches '!AK40</f>
        <v>18.678131647107481</v>
      </c>
      <c r="K22" s="58">
        <f>'branches '!AL40</f>
        <v>0</v>
      </c>
      <c r="L22" s="55">
        <f>'branches '!AM40</f>
        <v>0</v>
      </c>
    </row>
    <row r="23" spans="1:14" x14ac:dyDescent="0.25">
      <c r="A23" s="54">
        <v>33026</v>
      </c>
      <c r="B23" s="54" t="s">
        <v>112</v>
      </c>
      <c r="C23" s="54" t="s">
        <v>152</v>
      </c>
      <c r="D23" s="58">
        <f>'branches '!M41</f>
        <v>4277.9304933776275</v>
      </c>
      <c r="E23" s="58">
        <f>'branches '!N41</f>
        <v>997</v>
      </c>
      <c r="F23" s="55">
        <f>'branches '!O41</f>
        <v>0.2330566150019005</v>
      </c>
      <c r="G23" s="58" t="e">
        <f>'branches '!#REF!</f>
        <v>#REF!</v>
      </c>
      <c r="H23" s="58" t="e">
        <f>'branches '!#REF!</f>
        <v>#REF!</v>
      </c>
      <c r="I23" s="55" t="e">
        <f>'branches '!#REF!</f>
        <v>#REF!</v>
      </c>
      <c r="J23" s="58">
        <f>'branches '!AK41</f>
        <v>15.38199076820616</v>
      </c>
      <c r="K23" s="58">
        <f>'branches '!AL41</f>
        <v>2</v>
      </c>
      <c r="L23" s="55">
        <f>'branches '!AM41</f>
        <v>0.13002218179287328</v>
      </c>
    </row>
    <row r="24" spans="1:14" x14ac:dyDescent="0.25">
      <c r="A24" s="54">
        <v>43004</v>
      </c>
      <c r="B24" s="54" t="s">
        <v>112</v>
      </c>
      <c r="C24" s="54" t="s">
        <v>510</v>
      </c>
      <c r="D24" s="58">
        <f>'branches '!M42</f>
        <v>3305.6735630645298</v>
      </c>
      <c r="E24" s="58">
        <f>'branches '!N42</f>
        <v>0</v>
      </c>
      <c r="F24" s="55">
        <f>'branches '!O42</f>
        <v>0</v>
      </c>
      <c r="G24" s="58" t="e">
        <f>'branches '!#REF!</f>
        <v>#REF!</v>
      </c>
      <c r="H24" s="58" t="e">
        <f>'branches '!#REF!</f>
        <v>#REF!</v>
      </c>
      <c r="I24" s="55" t="e">
        <f>'branches '!#REF!</f>
        <v>#REF!</v>
      </c>
      <c r="J24" s="58">
        <f>'branches '!AK42</f>
        <v>10.254660512137439</v>
      </c>
      <c r="K24" s="58">
        <f>'branches '!AL42</f>
        <v>0</v>
      </c>
      <c r="L24" s="55">
        <f>'branches '!AM42</f>
        <v>0</v>
      </c>
    </row>
    <row r="25" spans="1:14" x14ac:dyDescent="0.25">
      <c r="A25" s="54">
        <v>73006</v>
      </c>
      <c r="B25" s="54" t="s">
        <v>112</v>
      </c>
      <c r="C25" s="54" t="s">
        <v>511</v>
      </c>
      <c r="D25" s="58">
        <f>'branches '!M13</f>
        <v>11108</v>
      </c>
      <c r="E25" s="58">
        <f>'branches '!N13</f>
        <v>1371</v>
      </c>
      <c r="F25" s="55">
        <f>'branches '!O13</f>
        <v>0.12342455887648542</v>
      </c>
      <c r="G25" s="58" t="e">
        <f>'branches '!#REF!</f>
        <v>#REF!</v>
      </c>
      <c r="H25" s="58" t="e">
        <f>'branches '!#REF!</f>
        <v>#REF!</v>
      </c>
      <c r="I25" s="55" t="e">
        <f>'branches '!#REF!</f>
        <v>#REF!</v>
      </c>
      <c r="J25" s="58">
        <f>'branches '!AK13</f>
        <v>21.865953340345396</v>
      </c>
      <c r="K25" s="58">
        <f>'branches '!AL13</f>
        <v>0</v>
      </c>
      <c r="L25" s="55">
        <f>'branches '!AM13</f>
        <v>0</v>
      </c>
    </row>
    <row r="26" spans="1:14" x14ac:dyDescent="0.25">
      <c r="A26" s="54">
        <v>73037</v>
      </c>
      <c r="B26" s="54" t="s">
        <v>112</v>
      </c>
      <c r="C26" s="54" t="s">
        <v>164</v>
      </c>
      <c r="D26" s="58">
        <f>'branches '!M14</f>
        <v>10365</v>
      </c>
      <c r="E26" s="58">
        <f>'branches '!N14</f>
        <v>1330</v>
      </c>
      <c r="F26" s="55">
        <f>'branches '!O14</f>
        <v>0.12831644958996624</v>
      </c>
      <c r="G26" s="58" t="e">
        <f>'branches '!#REF!</f>
        <v>#REF!</v>
      </c>
      <c r="H26" s="58" t="e">
        <f>'branches '!#REF!</f>
        <v>#REF!</v>
      </c>
      <c r="I26" s="55" t="e">
        <f>'branches '!#REF!</f>
        <v>#REF!</v>
      </c>
      <c r="J26" s="58">
        <f>'branches '!AK14</f>
        <v>20.499225164588175</v>
      </c>
      <c r="K26" s="58">
        <f>'branches '!AL14</f>
        <v>0</v>
      </c>
      <c r="L26" s="55">
        <f>'branches '!AM14</f>
        <v>0</v>
      </c>
    </row>
    <row r="27" spans="1:14" x14ac:dyDescent="0.25">
      <c r="A27" s="54">
        <v>73038</v>
      </c>
      <c r="B27" s="54" t="s">
        <v>112</v>
      </c>
      <c r="C27" s="54" t="s">
        <v>1162</v>
      </c>
      <c r="D27" s="58">
        <f>'branches '!M15</f>
        <v>2961</v>
      </c>
      <c r="E27" s="58">
        <f>'branches '!N15</f>
        <v>130</v>
      </c>
      <c r="F27" s="55">
        <f>'branches '!O15</f>
        <v>4.3904086457277947E-2</v>
      </c>
      <c r="G27" s="58" t="e">
        <f>'branches '!#REF!</f>
        <v>#REF!</v>
      </c>
      <c r="H27" s="58" t="e">
        <f>'branches '!#REF!</f>
        <v>#REF!</v>
      </c>
      <c r="I27" s="55" t="e">
        <f>'branches '!#REF!</f>
        <v>#REF!</v>
      </c>
      <c r="J27" s="58">
        <f>'branches '!AK15</f>
        <v>7.5163464646849203</v>
      </c>
      <c r="K27" s="58">
        <f>'branches '!AL15</f>
        <v>0</v>
      </c>
      <c r="L27" s="55">
        <f>'branches '!AM15</f>
        <v>0</v>
      </c>
    </row>
    <row r="28" spans="1:14" x14ac:dyDescent="0.25">
      <c r="A28" s="54">
        <v>13013</v>
      </c>
      <c r="B28" s="54" t="s">
        <v>112</v>
      </c>
      <c r="C28" s="54" t="s">
        <v>482</v>
      </c>
      <c r="D28" s="58">
        <f>'branches '!M16</f>
        <v>10365</v>
      </c>
      <c r="E28" s="58">
        <f>'branches '!N16</f>
        <v>9876</v>
      </c>
      <c r="F28" s="55">
        <f>'branches '!O16</f>
        <v>0.95282199710564397</v>
      </c>
      <c r="G28" s="58" t="e">
        <f>'branches '!#REF!</f>
        <v>#REF!</v>
      </c>
      <c r="H28" s="58" t="e">
        <f>'branches '!#REF!</f>
        <v>#REF!</v>
      </c>
      <c r="I28" s="55" t="e">
        <f>'branches '!#REF!</f>
        <v>#REF!</v>
      </c>
      <c r="J28" s="58">
        <f>'branches '!AK16</f>
        <v>15.032780729633814</v>
      </c>
      <c r="K28" s="58">
        <f>'branches '!AL16</f>
        <v>3</v>
      </c>
      <c r="L28" s="55">
        <f>'branches '!AM16</f>
        <v>0.19956387670087952</v>
      </c>
    </row>
    <row r="29" spans="1:14" x14ac:dyDescent="0.25">
      <c r="A29" s="54">
        <v>73002</v>
      </c>
      <c r="B29" s="54" t="s">
        <v>112</v>
      </c>
      <c r="C29" s="54" t="s">
        <v>521</v>
      </c>
      <c r="D29" s="58">
        <f>'branches '!M17</f>
        <v>7712</v>
      </c>
      <c r="E29" s="58">
        <f>'branches '!N17</f>
        <v>0</v>
      </c>
      <c r="F29" s="55">
        <f>'branches '!O17</f>
        <v>0</v>
      </c>
      <c r="G29" s="58" t="e">
        <f>'branches '!#REF!</f>
        <v>#REF!</v>
      </c>
      <c r="H29" s="58" t="e">
        <f>'branches '!#REF!</f>
        <v>#REF!</v>
      </c>
      <c r="I29" s="55" t="e">
        <f>'branches '!#REF!</f>
        <v>#REF!</v>
      </c>
      <c r="J29" s="58">
        <f>'branches '!AK17</f>
        <v>14.24418802538365</v>
      </c>
      <c r="K29" s="58">
        <f>'branches '!AL17</f>
        <v>0</v>
      </c>
      <c r="L29" s="55">
        <f>'branches '!AM17</f>
        <v>0</v>
      </c>
    </row>
    <row r="30" spans="1:14" x14ac:dyDescent="0.25">
      <c r="A30" s="54">
        <v>13015</v>
      </c>
      <c r="B30" s="54" t="s">
        <v>112</v>
      </c>
      <c r="C30" s="54" t="s">
        <v>531</v>
      </c>
      <c r="D30" s="58">
        <f>'branches '!M18</f>
        <v>2960</v>
      </c>
      <c r="E30" s="58">
        <f>'branches '!N18</f>
        <v>0</v>
      </c>
      <c r="F30" s="55">
        <f>'branches '!O18</f>
        <v>0</v>
      </c>
      <c r="G30" s="58" t="e">
        <f>'branches '!#REF!</f>
        <v>#REF!</v>
      </c>
      <c r="H30" s="58" t="e">
        <f>'branches '!#REF!</f>
        <v>#REF!</v>
      </c>
      <c r="I30" s="55" t="e">
        <f>'branches '!#REF!</f>
        <v>#REF!</v>
      </c>
      <c r="J30" s="58">
        <f>'branches '!AK18</f>
        <v>8.1996959191862011</v>
      </c>
      <c r="K30" s="58">
        <f>'branches '!AL18</f>
        <v>2</v>
      </c>
      <c r="L30" s="55">
        <f>'branches '!AM18</f>
        <v>0.24391148400031093</v>
      </c>
    </row>
    <row r="31" spans="1:14" x14ac:dyDescent="0.25">
      <c r="A31" s="298" t="s">
        <v>27</v>
      </c>
      <c r="B31" s="299"/>
      <c r="C31" s="300"/>
      <c r="D31" s="73">
        <f>SUM(D21:D30)</f>
        <v>64916.138606261942</v>
      </c>
      <c r="E31" s="73">
        <f t="shared" ref="E31:K31" si="2">SUM(E21:E30)</f>
        <v>14093</v>
      </c>
      <c r="F31" s="74">
        <f>E31/D31</f>
        <v>0.21709547583350192</v>
      </c>
      <c r="G31" s="52" t="e">
        <f t="shared" si="2"/>
        <v>#REF!</v>
      </c>
      <c r="H31" s="52" t="e">
        <f t="shared" si="2"/>
        <v>#REF!</v>
      </c>
      <c r="I31" s="53" t="e">
        <f>H31/G31</f>
        <v>#REF!</v>
      </c>
      <c r="J31" s="73">
        <f t="shared" si="2"/>
        <v>160.60576473051819</v>
      </c>
      <c r="K31" s="73">
        <f t="shared" si="2"/>
        <v>7</v>
      </c>
      <c r="L31" s="74">
        <f>K31/J31</f>
        <v>4.3584985954553755E-2</v>
      </c>
    </row>
    <row r="33" spans="1:12" x14ac:dyDescent="0.25">
      <c r="A33" s="302" t="s">
        <v>508</v>
      </c>
      <c r="B33" s="302" t="s">
        <v>18</v>
      </c>
      <c r="C33" s="302" t="s">
        <v>19</v>
      </c>
      <c r="D33" s="287" t="s">
        <v>1154</v>
      </c>
      <c r="E33" s="287"/>
      <c r="F33" s="287"/>
      <c r="G33" s="297" t="s">
        <v>466</v>
      </c>
      <c r="H33" s="297"/>
      <c r="I33" s="297"/>
      <c r="J33" s="287" t="s">
        <v>523</v>
      </c>
      <c r="K33" s="287"/>
      <c r="L33" s="287"/>
    </row>
    <row r="34" spans="1:12" x14ac:dyDescent="0.25">
      <c r="A34" s="302"/>
      <c r="B34" s="302"/>
      <c r="C34" s="302"/>
      <c r="D34" s="73" t="s">
        <v>24</v>
      </c>
      <c r="E34" s="50" t="s">
        <v>29</v>
      </c>
      <c r="F34" s="51" t="s">
        <v>28</v>
      </c>
      <c r="G34" s="52" t="s">
        <v>24</v>
      </c>
      <c r="H34" s="52" t="s">
        <v>29</v>
      </c>
      <c r="I34" s="53" t="s">
        <v>28</v>
      </c>
      <c r="J34" s="50" t="s">
        <v>24</v>
      </c>
      <c r="K34" s="50" t="s">
        <v>29</v>
      </c>
      <c r="L34" s="51" t="s">
        <v>28</v>
      </c>
    </row>
    <row r="35" spans="1:12" x14ac:dyDescent="0.25">
      <c r="A35" s="54">
        <v>3000</v>
      </c>
      <c r="B35" s="54" t="s">
        <v>112</v>
      </c>
      <c r="C35" s="54" t="s">
        <v>509</v>
      </c>
      <c r="D35" s="58">
        <f>'branches '!P39</f>
        <v>183</v>
      </c>
      <c r="E35" s="58">
        <f>'branches '!Q39</f>
        <v>38</v>
      </c>
      <c r="F35" s="55">
        <f>'branches '!R39</f>
        <v>0.20765027322404372</v>
      </c>
      <c r="G35" s="58">
        <f>'branches '!S39</f>
        <v>25.229237746451329</v>
      </c>
      <c r="H35" s="58">
        <f>'branches '!T39</f>
        <v>7</v>
      </c>
      <c r="I35" s="55">
        <f>'branches '!U39</f>
        <v>0.27745586570425018</v>
      </c>
      <c r="J35" s="58" t="e">
        <f>'branches '!#REF!</f>
        <v>#REF!</v>
      </c>
      <c r="K35" s="58" t="e">
        <f>'branches '!#REF!</f>
        <v>#REF!</v>
      </c>
      <c r="L35" s="55" t="e">
        <f>'branches '!#REF!</f>
        <v>#REF!</v>
      </c>
    </row>
    <row r="36" spans="1:12" x14ac:dyDescent="0.25">
      <c r="A36" s="54">
        <v>13006</v>
      </c>
      <c r="B36" s="54" t="s">
        <v>112</v>
      </c>
      <c r="C36" s="54" t="s">
        <v>135</v>
      </c>
      <c r="D36" s="58">
        <f>'branches '!P40</f>
        <v>87.245712487317363</v>
      </c>
      <c r="E36" s="58">
        <f>'branches '!Q40</f>
        <v>22</v>
      </c>
      <c r="F36" s="55">
        <f>'branches '!R40</f>
        <v>0.25216138848310821</v>
      </c>
      <c r="G36" s="58">
        <f>'branches '!S40</f>
        <v>13.50270825086792</v>
      </c>
      <c r="H36" s="58">
        <f>'branches '!T40</f>
        <v>1</v>
      </c>
      <c r="I36" s="55">
        <f>'branches '!U40</f>
        <v>7.4059216967508903E-2</v>
      </c>
      <c r="J36" s="58" t="e">
        <f>'branches '!#REF!</f>
        <v>#REF!</v>
      </c>
      <c r="K36" s="58" t="e">
        <f>'branches '!#REF!</f>
        <v>#REF!</v>
      </c>
      <c r="L36" s="55" t="e">
        <f>'branches '!#REF!</f>
        <v>#REF!</v>
      </c>
    </row>
    <row r="37" spans="1:12" x14ac:dyDescent="0.25">
      <c r="A37" s="54">
        <v>33026</v>
      </c>
      <c r="B37" s="54" t="s">
        <v>112</v>
      </c>
      <c r="C37" s="54" t="s">
        <v>152</v>
      </c>
      <c r="D37" s="58">
        <f>'branches '!P41</f>
        <v>83.638262500813312</v>
      </c>
      <c r="E37" s="58">
        <f>'branches '!Q41</f>
        <v>8</v>
      </c>
      <c r="F37" s="55">
        <f>'branches '!R41</f>
        <v>9.5650002293175412E-2</v>
      </c>
      <c r="G37" s="58">
        <f>'branches '!S41</f>
        <v>12.944396062123491</v>
      </c>
      <c r="H37" s="58">
        <f>'branches '!T41</f>
        <v>4</v>
      </c>
      <c r="I37" s="55">
        <f>'branches '!U41</f>
        <v>0.30901403053514198</v>
      </c>
      <c r="J37" s="58" t="e">
        <f>'branches '!#REF!</f>
        <v>#REF!</v>
      </c>
      <c r="K37" s="58" t="e">
        <f>'branches '!#REF!</f>
        <v>#REF!</v>
      </c>
      <c r="L37" s="55" t="e">
        <f>'branches '!#REF!</f>
        <v>#REF!</v>
      </c>
    </row>
    <row r="38" spans="1:12" x14ac:dyDescent="0.25">
      <c r="A38" s="54">
        <v>43004</v>
      </c>
      <c r="B38" s="54" t="s">
        <v>112</v>
      </c>
      <c r="C38" s="54" t="s">
        <v>510</v>
      </c>
      <c r="D38" s="58">
        <f>'branches '!P42</f>
        <v>78.101483482997608</v>
      </c>
      <c r="E38" s="58">
        <f>'branches '!Q42</f>
        <v>26</v>
      </c>
      <c r="F38" s="55">
        <f>'branches '!R42</f>
        <v>0.33290020676316728</v>
      </c>
      <c r="G38" s="58">
        <f>'branches '!S42</f>
        <v>12.087488489296227</v>
      </c>
      <c r="H38" s="58">
        <f>'branches '!T42</f>
        <v>1</v>
      </c>
      <c r="I38" s="55">
        <f>'branches '!U42</f>
        <v>8.2730171853774667E-2</v>
      </c>
      <c r="J38" s="58" t="e">
        <f>'branches '!#REF!</f>
        <v>#REF!</v>
      </c>
      <c r="K38" s="58" t="e">
        <f>'branches '!#REF!</f>
        <v>#REF!</v>
      </c>
      <c r="L38" s="55" t="e">
        <f>'branches '!#REF!</f>
        <v>#REF!</v>
      </c>
    </row>
    <row r="39" spans="1:12" x14ac:dyDescent="0.25">
      <c r="A39" s="54">
        <v>73006</v>
      </c>
      <c r="B39" s="54" t="s">
        <v>112</v>
      </c>
      <c r="C39" s="54" t="s">
        <v>511</v>
      </c>
      <c r="D39" s="58">
        <f>'branches '!P13</f>
        <v>172</v>
      </c>
      <c r="E39" s="58">
        <f>'branches '!Q13</f>
        <v>82</v>
      </c>
      <c r="F39" s="55">
        <f>'branches '!R13</f>
        <v>0.47674418604651164</v>
      </c>
      <c r="G39" s="58">
        <f>'branches '!S13</f>
        <v>27</v>
      </c>
      <c r="H39" s="58">
        <f>'branches '!T13</f>
        <v>10</v>
      </c>
      <c r="I39" s="55">
        <f>'branches '!U13</f>
        <v>0.37037037037037035</v>
      </c>
      <c r="J39" s="58" t="e">
        <f>'branches '!#REF!</f>
        <v>#REF!</v>
      </c>
      <c r="K39" s="58" t="e">
        <f>'branches '!#REF!</f>
        <v>#REF!</v>
      </c>
      <c r="L39" s="55" t="e">
        <f>'branches '!#REF!</f>
        <v>#REF!</v>
      </c>
    </row>
    <row r="40" spans="1:12" x14ac:dyDescent="0.25">
      <c r="A40" s="54">
        <v>73037</v>
      </c>
      <c r="B40" s="54" t="s">
        <v>112</v>
      </c>
      <c r="C40" s="54" t="s">
        <v>164</v>
      </c>
      <c r="D40" s="58">
        <f>'branches '!P14</f>
        <v>165</v>
      </c>
      <c r="E40" s="58">
        <f>'branches '!Q14</f>
        <v>45</v>
      </c>
      <c r="F40" s="55">
        <f>'branches '!R14</f>
        <v>0.27272727272727271</v>
      </c>
      <c r="G40" s="58">
        <f>'branches '!S14</f>
        <v>25</v>
      </c>
      <c r="H40" s="58">
        <f>'branches '!T14</f>
        <v>8</v>
      </c>
      <c r="I40" s="55">
        <f>'branches '!U14</f>
        <v>0.32</v>
      </c>
      <c r="J40" s="58" t="e">
        <f>'branches '!#REF!</f>
        <v>#REF!</v>
      </c>
      <c r="K40" s="58" t="e">
        <f>'branches '!#REF!</f>
        <v>#REF!</v>
      </c>
      <c r="L40" s="55" t="e">
        <f>'branches '!#REF!</f>
        <v>#REF!</v>
      </c>
    </row>
    <row r="41" spans="1:12" x14ac:dyDescent="0.25">
      <c r="A41" s="54">
        <v>73038</v>
      </c>
      <c r="B41" s="54" t="s">
        <v>112</v>
      </c>
      <c r="C41" s="54" t="s">
        <v>1162</v>
      </c>
      <c r="D41" s="58">
        <f>'branches '!P15</f>
        <v>61</v>
      </c>
      <c r="E41" s="58">
        <f>'branches '!Q15</f>
        <v>32</v>
      </c>
      <c r="F41" s="55">
        <f>'branches '!R15</f>
        <v>0.52459016393442626</v>
      </c>
      <c r="G41" s="58">
        <f>'branches '!S15</f>
        <v>9</v>
      </c>
      <c r="H41" s="58">
        <f>'branches '!T15</f>
        <v>5</v>
      </c>
      <c r="I41" s="55">
        <f>'branches '!U15</f>
        <v>0.55555555555555558</v>
      </c>
      <c r="J41" s="58" t="e">
        <f>'branches '!#REF!</f>
        <v>#REF!</v>
      </c>
      <c r="K41" s="58" t="e">
        <f>'branches '!#REF!</f>
        <v>#REF!</v>
      </c>
      <c r="L41" s="55" t="e">
        <f>'branches '!#REF!</f>
        <v>#REF!</v>
      </c>
    </row>
    <row r="42" spans="1:12" x14ac:dyDescent="0.25">
      <c r="A42" s="54">
        <v>13013</v>
      </c>
      <c r="B42" s="54" t="s">
        <v>112</v>
      </c>
      <c r="C42" s="54" t="s">
        <v>482</v>
      </c>
      <c r="D42" s="58">
        <f>'branches '!P16</f>
        <v>118</v>
      </c>
      <c r="E42" s="58">
        <f>'branches '!Q16</f>
        <v>51</v>
      </c>
      <c r="F42" s="55">
        <f>'branches '!R16</f>
        <v>0.43220338983050849</v>
      </c>
      <c r="G42" s="58">
        <f>'branches '!S16</f>
        <v>16</v>
      </c>
      <c r="H42" s="58">
        <f>'branches '!T16</f>
        <v>15</v>
      </c>
      <c r="I42" s="55">
        <f>'branches '!U16</f>
        <v>0.9375</v>
      </c>
      <c r="J42" s="58" t="e">
        <f>'branches '!#REF!</f>
        <v>#REF!</v>
      </c>
      <c r="K42" s="58" t="e">
        <f>'branches '!#REF!</f>
        <v>#REF!</v>
      </c>
      <c r="L42" s="55" t="e">
        <f>'branches '!#REF!</f>
        <v>#REF!</v>
      </c>
    </row>
    <row r="43" spans="1:12" x14ac:dyDescent="0.25">
      <c r="A43" s="54">
        <v>73002</v>
      </c>
      <c r="B43" s="54" t="s">
        <v>112</v>
      </c>
      <c r="C43" s="54" t="s">
        <v>521</v>
      </c>
      <c r="D43" s="58">
        <f>'branches '!P17</f>
        <v>112</v>
      </c>
      <c r="E43" s="58">
        <f>'branches '!Q17</f>
        <v>27</v>
      </c>
      <c r="F43" s="55">
        <f>'branches '!R17</f>
        <v>0.24107142857142858</v>
      </c>
      <c r="G43" s="58">
        <f>'branches '!S17</f>
        <v>16</v>
      </c>
      <c r="H43" s="58">
        <f>'branches '!T17</f>
        <v>2</v>
      </c>
      <c r="I43" s="55">
        <f>'branches '!U17</f>
        <v>0.125</v>
      </c>
      <c r="J43" s="58" t="e">
        <f>'branches '!#REF!</f>
        <v>#REF!</v>
      </c>
      <c r="K43" s="58" t="e">
        <f>'branches '!#REF!</f>
        <v>#REF!</v>
      </c>
      <c r="L43" s="55" t="e">
        <f>'branches '!#REF!</f>
        <v>#REF!</v>
      </c>
    </row>
    <row r="44" spans="1:12" x14ac:dyDescent="0.25">
      <c r="A44" s="54">
        <v>13015</v>
      </c>
      <c r="B44" s="54" t="s">
        <v>112</v>
      </c>
      <c r="C44" s="54" t="s">
        <v>531</v>
      </c>
      <c r="D44" s="58">
        <f>'branches '!P18</f>
        <v>64</v>
      </c>
      <c r="E44" s="58">
        <f>'branches '!Q18</f>
        <v>47</v>
      </c>
      <c r="F44" s="55">
        <f>'branches '!R18</f>
        <v>0.734375</v>
      </c>
      <c r="G44" s="58">
        <f>'branches '!S18</f>
        <v>7</v>
      </c>
      <c r="H44" s="58">
        <f>'branches '!T18</f>
        <v>6</v>
      </c>
      <c r="I44" s="55">
        <f>'branches '!U18</f>
        <v>0.8571428571428571</v>
      </c>
      <c r="J44" s="58" t="e">
        <f>'branches '!#REF!</f>
        <v>#REF!</v>
      </c>
      <c r="K44" s="58" t="e">
        <f>'branches '!#REF!</f>
        <v>#REF!</v>
      </c>
      <c r="L44" s="55" t="e">
        <f>'branches '!#REF!</f>
        <v>#REF!</v>
      </c>
    </row>
    <row r="45" spans="1:12" x14ac:dyDescent="0.25">
      <c r="A45" s="298" t="s">
        <v>27</v>
      </c>
      <c r="B45" s="299"/>
      <c r="C45" s="300"/>
      <c r="D45" s="73">
        <f>SUM(D35:D44)</f>
        <v>1123.9854584711284</v>
      </c>
      <c r="E45" s="73">
        <f t="shared" ref="E45:K45" si="3">SUM(E35:E44)</f>
        <v>378</v>
      </c>
      <c r="F45" s="74">
        <f>E45/D45</f>
        <v>0.3363032832419065</v>
      </c>
      <c r="G45" s="52">
        <f t="shared" si="3"/>
        <v>163.76383054873898</v>
      </c>
      <c r="H45" s="52">
        <f t="shared" si="3"/>
        <v>59</v>
      </c>
      <c r="I45" s="53">
        <f>H45/G45</f>
        <v>0.36027491419993724</v>
      </c>
      <c r="J45" s="73" t="e">
        <f t="shared" si="3"/>
        <v>#REF!</v>
      </c>
      <c r="K45" s="73" t="e">
        <f t="shared" si="3"/>
        <v>#REF!</v>
      </c>
      <c r="L45" s="74" t="e">
        <f>K45/J45</f>
        <v>#REF!</v>
      </c>
    </row>
    <row r="47" spans="1:12" x14ac:dyDescent="0.25">
      <c r="A47" s="302" t="s">
        <v>508</v>
      </c>
      <c r="B47" s="302" t="s">
        <v>18</v>
      </c>
      <c r="C47" s="302" t="s">
        <v>19</v>
      </c>
      <c r="D47" s="287" t="s">
        <v>1151</v>
      </c>
      <c r="E47" s="287"/>
      <c r="F47" s="287"/>
      <c r="G47" s="287"/>
      <c r="H47" s="287"/>
      <c r="I47" s="297" t="s">
        <v>1150</v>
      </c>
      <c r="J47" s="297"/>
      <c r="K47" s="297"/>
    </row>
    <row r="48" spans="1:12" x14ac:dyDescent="0.25">
      <c r="A48" s="302"/>
      <c r="B48" s="302"/>
      <c r="C48" s="302"/>
      <c r="D48" s="50" t="s">
        <v>24</v>
      </c>
      <c r="E48" s="50" t="s">
        <v>25</v>
      </c>
      <c r="F48" s="50" t="s">
        <v>26</v>
      </c>
      <c r="G48" s="50" t="s">
        <v>27</v>
      </c>
      <c r="H48" s="51" t="s">
        <v>28</v>
      </c>
      <c r="I48" s="52" t="s">
        <v>24</v>
      </c>
      <c r="J48" s="52" t="s">
        <v>29</v>
      </c>
      <c r="K48" s="53" t="s">
        <v>28</v>
      </c>
    </row>
    <row r="49" spans="1:13" x14ac:dyDescent="0.25">
      <c r="A49" s="54">
        <v>3000</v>
      </c>
      <c r="B49" s="54" t="s">
        <v>112</v>
      </c>
      <c r="C49" s="54" t="s">
        <v>509</v>
      </c>
      <c r="D49" s="58">
        <f>'branches '!AE39</f>
        <v>107.53270443263457</v>
      </c>
      <c r="E49" s="58">
        <f>'branches '!AF39</f>
        <v>27</v>
      </c>
      <c r="F49" s="58" t="e">
        <f>'branches '!#REF!</f>
        <v>#REF!</v>
      </c>
      <c r="G49" s="58" t="e">
        <f>'branches '!#REF!</f>
        <v>#REF!</v>
      </c>
      <c r="H49" s="55">
        <f>'branches '!AG39</f>
        <v>0.25108640336405325</v>
      </c>
      <c r="I49" s="58">
        <f>'branches '!AH39</f>
        <v>27.033225039046894</v>
      </c>
      <c r="J49" s="58">
        <f>'branches '!AI39</f>
        <v>3</v>
      </c>
      <c r="K49" s="55">
        <f>'branches '!AJ39</f>
        <v>0.11097455060085464</v>
      </c>
    </row>
    <row r="50" spans="1:13" x14ac:dyDescent="0.25">
      <c r="A50" s="54">
        <v>13006</v>
      </c>
      <c r="B50" s="54" t="s">
        <v>112</v>
      </c>
      <c r="C50" s="54" t="s">
        <v>135</v>
      </c>
      <c r="D50" s="58">
        <f>'branches '!AE40</f>
        <v>59.394793187495452</v>
      </c>
      <c r="E50" s="58">
        <f>'branches '!AF40</f>
        <v>17</v>
      </c>
      <c r="F50" s="58" t="e">
        <f>'branches '!#REF!</f>
        <v>#REF!</v>
      </c>
      <c r="G50" s="58" t="e">
        <f>'branches '!#REF!</f>
        <v>#REF!</v>
      </c>
      <c r="H50" s="55">
        <f>'branches '!AG40</f>
        <v>0.28622037535066386</v>
      </c>
      <c r="I50" s="58">
        <f>'branches '!AH40</f>
        <v>18</v>
      </c>
      <c r="J50" s="58">
        <f>'branches '!AI40</f>
        <v>6</v>
      </c>
      <c r="K50" s="55">
        <f>'branches '!AJ40</f>
        <v>0.33333333333333331</v>
      </c>
    </row>
    <row r="51" spans="1:13" x14ac:dyDescent="0.25">
      <c r="A51" s="54">
        <v>33026</v>
      </c>
      <c r="B51" s="54" t="s">
        <v>112</v>
      </c>
      <c r="C51" s="54" t="s">
        <v>152</v>
      </c>
      <c r="D51" s="58">
        <f>'branches '!AE41</f>
        <v>50.181928735229477</v>
      </c>
      <c r="E51" s="58">
        <f>'branches '!AF41</f>
        <v>14</v>
      </c>
      <c r="F51" s="58" t="e">
        <f>'branches '!#REF!</f>
        <v>#REF!</v>
      </c>
      <c r="G51" s="58" t="e">
        <f>'branches '!#REF!</f>
        <v>#REF!</v>
      </c>
      <c r="H51" s="55">
        <f>'branches '!AG41</f>
        <v>0.27898489262672577</v>
      </c>
      <c r="I51" s="58">
        <f>'branches '!AH41</f>
        <v>20.411999999999999</v>
      </c>
      <c r="J51" s="58">
        <f>'branches '!AI41</f>
        <v>17</v>
      </c>
      <c r="K51" s="55">
        <f>'branches '!AJ41</f>
        <v>0.83284342543601808</v>
      </c>
    </row>
    <row r="52" spans="1:13" x14ac:dyDescent="0.25">
      <c r="A52" s="54">
        <v>43004</v>
      </c>
      <c r="B52" s="54" t="s">
        <v>112</v>
      </c>
      <c r="C52" s="54" t="s">
        <v>510</v>
      </c>
      <c r="D52" s="58">
        <f>'branches '!AE42</f>
        <v>47.221194939850939</v>
      </c>
      <c r="E52" s="58">
        <f>'branches '!AF42</f>
        <v>16</v>
      </c>
      <c r="F52" s="58" t="e">
        <f>'branches '!#REF!</f>
        <v>#REF!</v>
      </c>
      <c r="G52" s="58" t="e">
        <f>'branches '!#REF!</f>
        <v>#REF!</v>
      </c>
      <c r="H52" s="55">
        <f>'branches '!AG42</f>
        <v>0.33883090041199426</v>
      </c>
      <c r="I52" s="58">
        <f>'branches '!AH42</f>
        <v>11.48912064159493</v>
      </c>
      <c r="J52" s="58">
        <f>'branches '!AI42</f>
        <v>1</v>
      </c>
      <c r="K52" s="55">
        <f>'branches '!AJ42</f>
        <v>8.703886321635658E-2</v>
      </c>
    </row>
    <row r="53" spans="1:13" x14ac:dyDescent="0.25">
      <c r="A53" s="54">
        <v>73006</v>
      </c>
      <c r="B53" s="54" t="s">
        <v>112</v>
      </c>
      <c r="C53" s="54" t="s">
        <v>511</v>
      </c>
      <c r="D53" s="58">
        <f>'branches '!AE13</f>
        <v>66.311834400124667</v>
      </c>
      <c r="E53" s="58">
        <f>'branches '!AF13</f>
        <v>37</v>
      </c>
      <c r="F53" s="58" t="e">
        <f>'branches '!#REF!</f>
        <v>#REF!</v>
      </c>
      <c r="G53" s="58" t="e">
        <f>'branches '!#REF!</f>
        <v>#REF!</v>
      </c>
      <c r="H53" s="55">
        <f>'branches '!AG13</f>
        <v>0.55796978525345153</v>
      </c>
      <c r="I53" s="58">
        <f>'branches '!AH13</f>
        <v>51</v>
      </c>
      <c r="J53" s="58">
        <f>'branches '!AI13</f>
        <v>31</v>
      </c>
      <c r="K53" s="55">
        <f>'branches '!AJ13</f>
        <v>0.60784313725490191</v>
      </c>
    </row>
    <row r="54" spans="1:13" x14ac:dyDescent="0.25">
      <c r="A54" s="54">
        <v>73037</v>
      </c>
      <c r="B54" s="54" t="s">
        <v>112</v>
      </c>
      <c r="C54" s="54" t="s">
        <v>164</v>
      </c>
      <c r="D54" s="58">
        <f>'branches '!AE14</f>
        <v>64.519622659580762</v>
      </c>
      <c r="E54" s="58">
        <f>'branches '!AF14</f>
        <v>6</v>
      </c>
      <c r="F54" s="58" t="e">
        <f>'branches '!#REF!</f>
        <v>#REF!</v>
      </c>
      <c r="G54" s="58" t="e">
        <f>'branches '!#REF!</f>
        <v>#REF!</v>
      </c>
      <c r="H54" s="55">
        <f>'branches '!AG14</f>
        <v>9.2994964208908584E-2</v>
      </c>
      <c r="I54" s="58">
        <f>'branches '!AH14</f>
        <v>47</v>
      </c>
      <c r="J54" s="58">
        <f>'branches '!AI14</f>
        <v>5</v>
      </c>
      <c r="K54" s="55">
        <f>'branches '!AJ14</f>
        <v>0.10638297872340426</v>
      </c>
    </row>
    <row r="55" spans="1:13" x14ac:dyDescent="0.25">
      <c r="A55" s="54">
        <v>73038</v>
      </c>
      <c r="B55" s="54" t="s">
        <v>112</v>
      </c>
      <c r="C55" s="54" t="s">
        <v>1162</v>
      </c>
      <c r="D55" s="58">
        <f>'branches '!AE15</f>
        <v>25.987070237886694</v>
      </c>
      <c r="E55" s="58">
        <f>'branches '!AF15</f>
        <v>15</v>
      </c>
      <c r="F55" s="58" t="e">
        <f>'branches '!#REF!</f>
        <v>#REF!</v>
      </c>
      <c r="G55" s="58" t="e">
        <f>'branches '!#REF!</f>
        <v>#REF!</v>
      </c>
      <c r="H55" s="55">
        <f>'branches '!AG15</f>
        <v>0.57721012267598437</v>
      </c>
      <c r="I55" s="58">
        <f>'branches '!AH15</f>
        <v>20</v>
      </c>
      <c r="J55" s="58">
        <f>'branches '!AI15</f>
        <v>25</v>
      </c>
      <c r="K55" s="55">
        <f>'branches '!AJ15</f>
        <v>1.25</v>
      </c>
    </row>
    <row r="56" spans="1:13" x14ac:dyDescent="0.25">
      <c r="A56" s="54">
        <v>13013</v>
      </c>
      <c r="B56" s="54" t="s">
        <v>112</v>
      </c>
      <c r="C56" s="54" t="s">
        <v>482</v>
      </c>
      <c r="D56" s="58">
        <f>'branches '!AE16</f>
        <v>47.493611124413611</v>
      </c>
      <c r="E56" s="58">
        <f>'branches '!AF16</f>
        <v>14</v>
      </c>
      <c r="F56" s="58" t="e">
        <f>'branches '!#REF!</f>
        <v>#REF!</v>
      </c>
      <c r="G56" s="58" t="e">
        <f>'branches '!#REF!</f>
        <v>#REF!</v>
      </c>
      <c r="H56" s="55">
        <f>'branches '!AG16</f>
        <v>0.29477649032257819</v>
      </c>
      <c r="I56" s="58">
        <f>'branches '!AH16</f>
        <v>37</v>
      </c>
      <c r="J56" s="58">
        <f>'branches '!AI16</f>
        <v>32</v>
      </c>
      <c r="K56" s="55">
        <f>'branches '!AJ16</f>
        <v>0.86486486486486491</v>
      </c>
    </row>
    <row r="57" spans="1:13" x14ac:dyDescent="0.25">
      <c r="A57" s="54">
        <v>73002</v>
      </c>
      <c r="B57" s="54" t="s">
        <v>112</v>
      </c>
      <c r="C57" s="54" t="s">
        <v>521</v>
      </c>
      <c r="D57" s="58">
        <f>'branches '!AE17</f>
        <v>44.805293513597746</v>
      </c>
      <c r="E57" s="58">
        <f>'branches '!AF17</f>
        <v>13</v>
      </c>
      <c r="F57" s="58" t="e">
        <f>'branches '!#REF!</f>
        <v>#REF!</v>
      </c>
      <c r="G57" s="58" t="e">
        <f>'branches '!#REF!</f>
        <v>#REF!</v>
      </c>
      <c r="H57" s="55">
        <f>'branches '!AG17</f>
        <v>0.29014428833179479</v>
      </c>
      <c r="I57" s="58">
        <f>'branches '!AH17</f>
        <v>35</v>
      </c>
      <c r="J57" s="58">
        <f>'branches '!AI17</f>
        <v>14</v>
      </c>
      <c r="K57" s="55">
        <f>'branches '!AJ17</f>
        <v>0.4</v>
      </c>
    </row>
    <row r="58" spans="1:13" x14ac:dyDescent="0.25">
      <c r="A58" s="54">
        <v>13015</v>
      </c>
      <c r="B58" s="54" t="s">
        <v>112</v>
      </c>
      <c r="C58" s="54" t="s">
        <v>531</v>
      </c>
      <c r="D58" s="58">
        <f>'branches '!AE18</f>
        <v>23.298752627070829</v>
      </c>
      <c r="E58" s="58">
        <f>'branches '!AF18</f>
        <v>12</v>
      </c>
      <c r="F58" s="58" t="e">
        <f>'branches '!#REF!</f>
        <v>#REF!</v>
      </c>
      <c r="G58" s="58" t="e">
        <f>'branches '!#REF!</f>
        <v>#REF!</v>
      </c>
      <c r="H58" s="55">
        <f>'branches '!AG18</f>
        <v>0.51504903254164758</v>
      </c>
      <c r="I58" s="58">
        <f>'branches '!AH18</f>
        <v>20</v>
      </c>
      <c r="J58" s="58">
        <f>'branches '!AI18</f>
        <v>4</v>
      </c>
      <c r="K58" s="55">
        <f>'branches '!AJ18</f>
        <v>0.2</v>
      </c>
    </row>
    <row r="59" spans="1:13" x14ac:dyDescent="0.25">
      <c r="A59" s="298" t="s">
        <v>27</v>
      </c>
      <c r="B59" s="299"/>
      <c r="C59" s="300"/>
      <c r="D59" s="73">
        <f>SUM(D49:D58)</f>
        <v>536.74680585788474</v>
      </c>
      <c r="E59" s="73">
        <f t="shared" ref="E59:J59" si="4">SUM(E49:E58)</f>
        <v>171</v>
      </c>
      <c r="F59" s="73" t="e">
        <f t="shared" si="4"/>
        <v>#REF!</v>
      </c>
      <c r="G59" s="73" t="e">
        <f t="shared" si="4"/>
        <v>#REF!</v>
      </c>
      <c r="H59" s="74" t="e">
        <f>G59/D59</f>
        <v>#REF!</v>
      </c>
      <c r="I59" s="52">
        <f t="shared" si="4"/>
        <v>286.93434568064185</v>
      </c>
      <c r="J59" s="52">
        <f t="shared" si="4"/>
        <v>138</v>
      </c>
      <c r="K59" s="53">
        <f>J59/I59</f>
        <v>0.48094625853397871</v>
      </c>
    </row>
    <row r="61" spans="1:13" x14ac:dyDescent="0.25">
      <c r="A61" s="302" t="s">
        <v>508</v>
      </c>
      <c r="B61" s="302" t="s">
        <v>18</v>
      </c>
      <c r="C61" s="302" t="s">
        <v>19</v>
      </c>
      <c r="D61" s="287" t="s">
        <v>1153</v>
      </c>
      <c r="E61" s="287"/>
      <c r="F61" s="287"/>
      <c r="G61" s="287"/>
      <c r="H61" s="287"/>
      <c r="I61" s="297" t="s">
        <v>501</v>
      </c>
      <c r="J61" s="297"/>
      <c r="K61" s="297"/>
      <c r="L61" s="297"/>
      <c r="M61" s="297"/>
    </row>
    <row r="62" spans="1:13" x14ac:dyDescent="0.25">
      <c r="A62" s="302"/>
      <c r="B62" s="302"/>
      <c r="C62" s="302"/>
      <c r="D62" s="50" t="s">
        <v>24</v>
      </c>
      <c r="E62" s="50" t="s">
        <v>25</v>
      </c>
      <c r="F62" s="50" t="s">
        <v>26</v>
      </c>
      <c r="G62" s="50" t="s">
        <v>27</v>
      </c>
      <c r="H62" s="51" t="s">
        <v>28</v>
      </c>
      <c r="I62" s="52" t="s">
        <v>24</v>
      </c>
      <c r="J62" s="52" t="s">
        <v>25</v>
      </c>
      <c r="K62" s="52" t="s">
        <v>26</v>
      </c>
      <c r="L62" s="52" t="s">
        <v>27</v>
      </c>
      <c r="M62" s="53" t="s">
        <v>28</v>
      </c>
    </row>
    <row r="63" spans="1:13" x14ac:dyDescent="0.25">
      <c r="A63" s="54">
        <v>3000</v>
      </c>
      <c r="B63" s="54" t="s">
        <v>112</v>
      </c>
      <c r="C63" s="54" t="s">
        <v>509</v>
      </c>
      <c r="D63" s="58">
        <f>'branches '!V39</f>
        <v>962.14128007440263</v>
      </c>
      <c r="E63" s="58">
        <f>'branches '!W39</f>
        <v>504</v>
      </c>
      <c r="F63" s="58" t="e">
        <f>'branches '!#REF!</f>
        <v>#REF!</v>
      </c>
      <c r="G63" s="58" t="e">
        <f>'branches '!#REF!</f>
        <v>#REF!</v>
      </c>
      <c r="H63" s="55">
        <f>'branches '!X39</f>
        <v>0.52383159358989939</v>
      </c>
      <c r="I63" s="58">
        <f>'branches '!Y39</f>
        <v>31.786578769102331</v>
      </c>
      <c r="J63" s="58">
        <f>'branches '!Z39</f>
        <v>9</v>
      </c>
      <c r="K63" s="58" t="e">
        <f>'branches '!#REF!</f>
        <v>#REF!</v>
      </c>
      <c r="L63" s="58" t="e">
        <f>'branches '!#REF!</f>
        <v>#REF!</v>
      </c>
      <c r="M63" s="55">
        <f>'branches '!AA39</f>
        <v>0.2831383668363931</v>
      </c>
    </row>
    <row r="64" spans="1:13" x14ac:dyDescent="0.25">
      <c r="A64" s="54">
        <v>13006</v>
      </c>
      <c r="B64" s="54" t="s">
        <v>112</v>
      </c>
      <c r="C64" s="54" t="s">
        <v>135</v>
      </c>
      <c r="D64" s="58">
        <f>'branches '!V40</f>
        <v>494.63098070535034</v>
      </c>
      <c r="E64" s="58">
        <f>'branches '!W40</f>
        <v>210</v>
      </c>
      <c r="F64" s="58" t="e">
        <f>'branches '!#REF!</f>
        <v>#REF!</v>
      </c>
      <c r="G64" s="58" t="e">
        <f>'branches '!#REF!</f>
        <v>#REF!</v>
      </c>
      <c r="H64" s="55">
        <f>'branches '!X40</f>
        <v>0.42455893017565782</v>
      </c>
      <c r="I64" s="58">
        <f>'branches '!Y40</f>
        <v>17.012202418711276</v>
      </c>
      <c r="J64" s="58">
        <f>'branches '!Z40</f>
        <v>2</v>
      </c>
      <c r="K64" s="58" t="e">
        <f>'branches '!#REF!</f>
        <v>#REF!</v>
      </c>
      <c r="L64" s="58" t="e">
        <f>'branches '!#REF!</f>
        <v>#REF!</v>
      </c>
      <c r="M64" s="55">
        <f>'branches '!AA40</f>
        <v>0.11756267359011978</v>
      </c>
    </row>
    <row r="65" spans="1:14" x14ac:dyDescent="0.25">
      <c r="A65" s="54">
        <v>33026</v>
      </c>
      <c r="B65" s="54" t="s">
        <v>112</v>
      </c>
      <c r="C65" s="54" t="s">
        <v>152</v>
      </c>
      <c r="D65" s="58">
        <f>'branches '!V41</f>
        <v>449.81364320530736</v>
      </c>
      <c r="E65" s="58">
        <f>'branches '!W41</f>
        <v>227</v>
      </c>
      <c r="F65" s="58" t="e">
        <f>'branches '!#REF!</f>
        <v>#REF!</v>
      </c>
      <c r="G65" s="58" t="e">
        <f>'branches '!#REF!</f>
        <v>#REF!</v>
      </c>
      <c r="H65" s="55">
        <f>'branches '!X41</f>
        <v>0.50465343465891932</v>
      </c>
      <c r="I65" s="58">
        <f>'branches '!Y41</f>
        <v>16.308779091235955</v>
      </c>
      <c r="J65" s="58">
        <f>'branches '!Z41</f>
        <v>2</v>
      </c>
      <c r="K65" s="58" t="e">
        <f>'branches '!#REF!</f>
        <v>#REF!</v>
      </c>
      <c r="L65" s="58" t="e">
        <f>'branches '!#REF!</f>
        <v>#REF!</v>
      </c>
      <c r="M65" s="55">
        <f>'branches '!AA41</f>
        <v>0.12263333685565488</v>
      </c>
    </row>
    <row r="66" spans="1:14" x14ac:dyDescent="0.25">
      <c r="A66" s="54">
        <v>43004</v>
      </c>
      <c r="B66" s="54" t="s">
        <v>112</v>
      </c>
      <c r="C66" s="54" t="s">
        <v>510</v>
      </c>
      <c r="D66" s="58">
        <f>'branches '!V42</f>
        <v>447.11645005395121</v>
      </c>
      <c r="E66" s="58">
        <f>'branches '!W42</f>
        <v>240</v>
      </c>
      <c r="F66" s="58" t="e">
        <f>'branches '!#REF!</f>
        <v>#REF!</v>
      </c>
      <c r="G66" s="58" t="e">
        <f>'branches '!#REF!</f>
        <v>#REF!</v>
      </c>
      <c r="H66" s="55">
        <f>'branches '!X42</f>
        <v>0.53677291446342545</v>
      </c>
      <c r="I66" s="58">
        <f>'branches '!Y42</f>
        <v>15.229152336941905</v>
      </c>
      <c r="J66" s="58">
        <f>'branches '!Z42</f>
        <v>1</v>
      </c>
      <c r="K66" s="58" t="e">
        <f>'branches '!#REF!</f>
        <v>#REF!</v>
      </c>
      <c r="L66" s="58" t="e">
        <f>'branches '!#REF!</f>
        <v>#REF!</v>
      </c>
      <c r="M66" s="55">
        <f>'branches '!AA42</f>
        <v>6.5663536477618911E-2</v>
      </c>
    </row>
    <row r="67" spans="1:14" x14ac:dyDescent="0.25">
      <c r="A67" s="54">
        <v>73006</v>
      </c>
      <c r="B67" s="54" t="s">
        <v>112</v>
      </c>
      <c r="C67" s="54" t="s">
        <v>511</v>
      </c>
      <c r="D67" s="58">
        <f>'branches '!V13</f>
        <v>951.30098365440631</v>
      </c>
      <c r="E67" s="58">
        <f>'branches '!W13</f>
        <v>478</v>
      </c>
      <c r="F67" s="58" t="e">
        <f>'branches '!#REF!</f>
        <v>#REF!</v>
      </c>
      <c r="G67" s="58" t="e">
        <f>'branches '!#REF!</f>
        <v>#REF!</v>
      </c>
      <c r="H67" s="55">
        <f>'branches '!X13</f>
        <v>0.50246978423565936</v>
      </c>
      <c r="I67" s="58">
        <f>'branches '!Y13</f>
        <v>35.81959082645843</v>
      </c>
      <c r="J67" s="58">
        <f>'branches '!Z13</f>
        <v>16</v>
      </c>
      <c r="K67" s="58" t="e">
        <f>'branches '!#REF!</f>
        <v>#REF!</v>
      </c>
      <c r="L67" s="58" t="e">
        <f>'branches '!#REF!</f>
        <v>#REF!</v>
      </c>
      <c r="M67" s="55">
        <f>'branches '!AA13</f>
        <v>0.44668293609265547</v>
      </c>
    </row>
    <row r="68" spans="1:14" x14ac:dyDescent="0.25">
      <c r="A68" s="54">
        <v>73037</v>
      </c>
      <c r="B68" s="54" t="s">
        <v>112</v>
      </c>
      <c r="C68" s="54" t="s">
        <v>164</v>
      </c>
      <c r="D68" s="58">
        <f>'branches '!V14</f>
        <v>894.7696194319642</v>
      </c>
      <c r="E68" s="58">
        <f>'branches '!W14</f>
        <v>70</v>
      </c>
      <c r="F68" s="58" t="e">
        <f>'branches '!#REF!</f>
        <v>#REF!</v>
      </c>
      <c r="G68" s="58" t="e">
        <f>'branches '!#REF!</f>
        <v>#REF!</v>
      </c>
      <c r="H68" s="55">
        <f>'branches '!X14</f>
        <v>7.8232428191335801E-2</v>
      </c>
      <c r="I68" s="58">
        <f>'branches '!Y14</f>
        <v>38.207563548222325</v>
      </c>
      <c r="J68" s="58">
        <f>'branches '!Z14</f>
        <v>0</v>
      </c>
      <c r="K68" s="58" t="e">
        <f>'branches '!#REF!</f>
        <v>#REF!</v>
      </c>
      <c r="L68" s="58" t="e">
        <f>'branches '!#REF!</f>
        <v>#REF!</v>
      </c>
      <c r="M68" s="55">
        <f>'branches '!AA14</f>
        <v>0</v>
      </c>
    </row>
    <row r="69" spans="1:14" x14ac:dyDescent="0.25">
      <c r="A69" s="54">
        <v>73038</v>
      </c>
      <c r="B69" s="54" t="s">
        <v>112</v>
      </c>
      <c r="C69" s="54" t="s">
        <v>1162</v>
      </c>
      <c r="D69" s="58">
        <f>'branches '!V15</f>
        <v>327.35555525520914</v>
      </c>
      <c r="E69" s="58">
        <f>'branches '!W15</f>
        <v>181</v>
      </c>
      <c r="F69" s="58" t="e">
        <f>'branches '!#REF!</f>
        <v>#REF!</v>
      </c>
      <c r="G69" s="58" t="e">
        <f>'branches '!#REF!</f>
        <v>#REF!</v>
      </c>
      <c r="H69" s="55">
        <f>'branches '!X15</f>
        <v>0.55291562062812982</v>
      </c>
      <c r="I69" s="58">
        <f>'branches '!Y15</f>
        <v>13.53184542332874</v>
      </c>
      <c r="J69" s="58">
        <f>'branches '!Z15</f>
        <v>12</v>
      </c>
      <c r="K69" s="58" t="e">
        <f>'branches '!#REF!</f>
        <v>#REF!</v>
      </c>
      <c r="L69" s="58" t="e">
        <f>'branches '!#REF!</f>
        <v>#REF!</v>
      </c>
      <c r="M69" s="55">
        <f>'branches '!AA15</f>
        <v>0.88679700547806606</v>
      </c>
    </row>
    <row r="70" spans="1:14" x14ac:dyDescent="0.25">
      <c r="A70" s="54">
        <v>13013</v>
      </c>
      <c r="B70" s="54" t="s">
        <v>112</v>
      </c>
      <c r="C70" s="54" t="s">
        <v>482</v>
      </c>
      <c r="D70" s="58">
        <f>'branches '!V16</f>
        <v>657.61068855808446</v>
      </c>
      <c r="E70" s="58">
        <f>'branches '!W16</f>
        <v>390</v>
      </c>
      <c r="F70" s="58" t="e">
        <f>'branches '!#REF!</f>
        <v>#REF!</v>
      </c>
      <c r="G70" s="58" t="e">
        <f>'branches '!#REF!</f>
        <v>#REF!</v>
      </c>
      <c r="H70" s="55">
        <f>'branches '!X16</f>
        <v>0.5930560539627735</v>
      </c>
      <c r="I70" s="58">
        <f>'branches '!Y16</f>
        <v>25.471709032148215</v>
      </c>
      <c r="J70" s="58">
        <f>'branches '!Z16</f>
        <v>14</v>
      </c>
      <c r="K70" s="58" t="e">
        <f>'branches '!#REF!</f>
        <v>#REF!</v>
      </c>
      <c r="L70" s="58" t="e">
        <f>'branches '!#REF!</f>
        <v>#REF!</v>
      </c>
      <c r="M70" s="55">
        <f>'branches '!AA16</f>
        <v>0.54962939402025968</v>
      </c>
    </row>
    <row r="71" spans="1:14" x14ac:dyDescent="0.25">
      <c r="A71" s="54">
        <v>73002</v>
      </c>
      <c r="B71" s="54" t="s">
        <v>112</v>
      </c>
      <c r="C71" s="54" t="s">
        <v>521</v>
      </c>
      <c r="D71" s="58">
        <f>'branches '!V17</f>
        <v>624.91195441508592</v>
      </c>
      <c r="E71" s="58">
        <f>'branches '!W17</f>
        <v>339</v>
      </c>
      <c r="F71" s="58" t="e">
        <f>'branches '!#REF!</f>
        <v>#REF!</v>
      </c>
      <c r="G71" s="58" t="e">
        <f>'branches '!#REF!</f>
        <v>#REF!</v>
      </c>
      <c r="H71" s="55">
        <f>'branches '!X17</f>
        <v>0.54247642024595621</v>
      </c>
      <c r="I71" s="58">
        <f>'branches '!Y17</f>
        <v>27.063690846657479</v>
      </c>
      <c r="J71" s="58">
        <f>'branches '!Z17</f>
        <v>20</v>
      </c>
      <c r="K71" s="58" t="e">
        <f>'branches '!#REF!</f>
        <v>#REF!</v>
      </c>
      <c r="L71" s="58" t="e">
        <f>'branches '!#REF!</f>
        <v>#REF!</v>
      </c>
      <c r="M71" s="55">
        <f>'branches '!AA17</f>
        <v>0.73899750456505509</v>
      </c>
    </row>
    <row r="72" spans="1:14" x14ac:dyDescent="0.25">
      <c r="A72" s="54">
        <v>13015</v>
      </c>
      <c r="B72" s="54" t="s">
        <v>112</v>
      </c>
      <c r="C72" s="54" t="s">
        <v>531</v>
      </c>
      <c r="D72" s="58">
        <f>'branches '!V18</f>
        <v>363.02081541409638</v>
      </c>
      <c r="E72" s="58">
        <f>'branches '!W18</f>
        <v>452</v>
      </c>
      <c r="F72" s="58" t="e">
        <f>'branches '!#REF!</f>
        <v>#REF!</v>
      </c>
      <c r="G72" s="58" t="e">
        <f>'branches '!#REF!</f>
        <v>#REF!</v>
      </c>
      <c r="H72" s="55">
        <f>'branches '!X18</f>
        <v>1.2451076654775441</v>
      </c>
      <c r="I72" s="58">
        <f>'branches '!Y18</f>
        <v>15.919818145092634</v>
      </c>
      <c r="J72" s="58">
        <f>'branches '!Z18</f>
        <v>6</v>
      </c>
      <c r="K72" s="58" t="e">
        <f>'branches '!#REF!</f>
        <v>#REF!</v>
      </c>
      <c r="L72" s="58" t="e">
        <f>'branches '!#REF!</f>
        <v>#REF!</v>
      </c>
      <c r="M72" s="55">
        <f>'branches '!AA18</f>
        <v>0.37688872732817813</v>
      </c>
    </row>
    <row r="73" spans="1:14" x14ac:dyDescent="0.25">
      <c r="A73" s="298" t="s">
        <v>27</v>
      </c>
      <c r="B73" s="299"/>
      <c r="C73" s="300"/>
      <c r="D73" s="73">
        <f>SUM(D63:D72)</f>
        <v>6172.6719707678585</v>
      </c>
      <c r="E73" s="73">
        <f t="shared" ref="E73:L73" si="5">SUM(E63:E72)</f>
        <v>3091</v>
      </c>
      <c r="F73" s="73" t="e">
        <f t="shared" si="5"/>
        <v>#REF!</v>
      </c>
      <c r="G73" s="73" t="e">
        <f t="shared" si="5"/>
        <v>#REF!</v>
      </c>
      <c r="H73" s="74" t="e">
        <f>G73/D73</f>
        <v>#REF!</v>
      </c>
      <c r="I73" s="52">
        <f t="shared" si="5"/>
        <v>236.35093043789925</v>
      </c>
      <c r="J73" s="52">
        <f t="shared" si="5"/>
        <v>82</v>
      </c>
      <c r="K73" s="52" t="e">
        <f t="shared" si="5"/>
        <v>#REF!</v>
      </c>
      <c r="L73" s="52" t="e">
        <f t="shared" si="5"/>
        <v>#REF!</v>
      </c>
      <c r="M73" s="53" t="e">
        <f>L73/I73</f>
        <v>#REF!</v>
      </c>
    </row>
    <row r="75" spans="1:14" x14ac:dyDescent="0.25">
      <c r="A75" s="302" t="s">
        <v>508</v>
      </c>
      <c r="B75" s="302" t="s">
        <v>18</v>
      </c>
      <c r="C75" s="302" t="s">
        <v>19</v>
      </c>
      <c r="D75" s="285" t="s">
        <v>1152</v>
      </c>
      <c r="E75" s="286"/>
      <c r="F75" s="286"/>
      <c r="G75" s="286"/>
      <c r="H75" s="286"/>
      <c r="I75" s="288" t="s">
        <v>1160</v>
      </c>
      <c r="J75" s="288"/>
      <c r="K75" s="288"/>
      <c r="L75" s="287" t="s">
        <v>1157</v>
      </c>
      <c r="M75" s="287"/>
      <c r="N75" s="287"/>
    </row>
    <row r="76" spans="1:14" x14ac:dyDescent="0.25">
      <c r="A76" s="302"/>
      <c r="B76" s="302"/>
      <c r="C76" s="302"/>
      <c r="D76" s="50" t="s">
        <v>24</v>
      </c>
      <c r="E76" s="50" t="s">
        <v>25</v>
      </c>
      <c r="F76" s="50" t="s">
        <v>26</v>
      </c>
      <c r="G76" s="50" t="s">
        <v>27</v>
      </c>
      <c r="H76" s="51" t="s">
        <v>28</v>
      </c>
      <c r="I76" s="77" t="s">
        <v>24</v>
      </c>
      <c r="J76" s="77" t="s">
        <v>29</v>
      </c>
      <c r="K76" s="78" t="s">
        <v>28</v>
      </c>
      <c r="L76" s="73" t="s">
        <v>24</v>
      </c>
      <c r="M76" s="50" t="s">
        <v>29</v>
      </c>
      <c r="N76" s="51" t="s">
        <v>28</v>
      </c>
    </row>
    <row r="77" spans="1:14" x14ac:dyDescent="0.25">
      <c r="A77" s="54">
        <v>3000</v>
      </c>
      <c r="B77" s="54" t="s">
        <v>112</v>
      </c>
      <c r="C77" s="54" t="s">
        <v>509</v>
      </c>
      <c r="D77" s="58">
        <f>'branches '!AB39</f>
        <v>38.142474612438747</v>
      </c>
      <c r="E77" s="58">
        <f>'branches '!AC39</f>
        <v>7</v>
      </c>
      <c r="F77" s="58" t="e">
        <f>'branches '!#REF!</f>
        <v>#REF!</v>
      </c>
      <c r="G77" s="58" t="e">
        <f>'branches '!#REF!</f>
        <v>#REF!</v>
      </c>
      <c r="H77" s="55">
        <f>'branches '!AD39</f>
        <v>0.1835224397768154</v>
      </c>
      <c r="I77" s="58" t="e">
        <f>'branches '!#REF!</f>
        <v>#REF!</v>
      </c>
      <c r="J77" s="58" t="e">
        <f>'branches '!#REF!</f>
        <v>#REF!</v>
      </c>
      <c r="K77" s="55" t="e">
        <f>'branches '!#REF!</f>
        <v>#REF!</v>
      </c>
      <c r="L77" s="58" t="e">
        <f>'branches '!#REF!</f>
        <v>#REF!</v>
      </c>
      <c r="M77" s="58" t="e">
        <f>'branches '!#REF!</f>
        <v>#REF!</v>
      </c>
      <c r="N77" s="55" t="e">
        <f>'branches '!#REF!</f>
        <v>#REF!</v>
      </c>
    </row>
    <row r="78" spans="1:14" x14ac:dyDescent="0.25">
      <c r="A78" s="54">
        <v>13006</v>
      </c>
      <c r="B78" s="54" t="s">
        <v>112</v>
      </c>
      <c r="C78" s="54" t="s">
        <v>135</v>
      </c>
      <c r="D78" s="58">
        <f>'branches '!AB40</f>
        <v>20.41388296522511</v>
      </c>
      <c r="E78" s="58">
        <f>'branches '!AC40</f>
        <v>8</v>
      </c>
      <c r="F78" s="58" t="e">
        <f>'branches '!#REF!</f>
        <v>#REF!</v>
      </c>
      <c r="G78" s="58" t="e">
        <f>'branches '!#REF!</f>
        <v>#REF!</v>
      </c>
      <c r="H78" s="55">
        <f>'branches '!AD40</f>
        <v>0.39189016678639421</v>
      </c>
      <c r="I78" s="58" t="e">
        <f>'branches '!#REF!</f>
        <v>#REF!</v>
      </c>
      <c r="J78" s="58" t="e">
        <f>'branches '!#REF!</f>
        <v>#REF!</v>
      </c>
      <c r="K78" s="55" t="e">
        <f>'branches '!#REF!</f>
        <v>#REF!</v>
      </c>
      <c r="L78" s="58" t="e">
        <f>'branches '!#REF!</f>
        <v>#REF!</v>
      </c>
      <c r="M78" s="58" t="e">
        <f>'branches '!#REF!</f>
        <v>#REF!</v>
      </c>
      <c r="N78" s="55" t="e">
        <f>'branches '!#REF!</f>
        <v>#REF!</v>
      </c>
    </row>
    <row r="79" spans="1:14" x14ac:dyDescent="0.25">
      <c r="A79" s="54">
        <v>33026</v>
      </c>
      <c r="B79" s="54" t="s">
        <v>112</v>
      </c>
      <c r="C79" s="54" t="s">
        <v>152</v>
      </c>
      <c r="D79" s="58">
        <f>'branches '!AB41</f>
        <v>19.569806394263512</v>
      </c>
      <c r="E79" s="58">
        <f>'branches '!AC41</f>
        <v>3</v>
      </c>
      <c r="F79" s="58" t="e">
        <f>'branches '!#REF!</f>
        <v>#REF!</v>
      </c>
      <c r="G79" s="58" t="e">
        <f>'branches '!#REF!</f>
        <v>#REF!</v>
      </c>
      <c r="H79" s="55">
        <f>'branches '!AD41</f>
        <v>0.15329737758056658</v>
      </c>
      <c r="I79" s="58" t="e">
        <f>'branches '!#REF!</f>
        <v>#REF!</v>
      </c>
      <c r="J79" s="58" t="e">
        <f>'branches '!#REF!</f>
        <v>#REF!</v>
      </c>
      <c r="K79" s="55" t="e">
        <f>'branches '!#REF!</f>
        <v>#REF!</v>
      </c>
      <c r="L79" s="58" t="e">
        <f>'branches '!#REF!</f>
        <v>#REF!</v>
      </c>
      <c r="M79" s="58" t="e">
        <f>'branches '!#REF!</f>
        <v>#REF!</v>
      </c>
      <c r="N79" s="55" t="e">
        <f>'branches '!#REF!</f>
        <v>#REF!</v>
      </c>
    </row>
    <row r="80" spans="1:14" x14ac:dyDescent="0.25">
      <c r="A80" s="54">
        <v>43004</v>
      </c>
      <c r="B80" s="54" t="s">
        <v>112</v>
      </c>
      <c r="C80" s="54" t="s">
        <v>510</v>
      </c>
      <c r="D80" s="58">
        <f>'branches '!AB42</f>
        <v>18.274302516173982</v>
      </c>
      <c r="E80" s="58">
        <f>'branches '!AC42</f>
        <v>3</v>
      </c>
      <c r="F80" s="58" t="e">
        <f>'branches '!#REF!</f>
        <v>#REF!</v>
      </c>
      <c r="G80" s="58" t="e">
        <f>'branches '!#REF!</f>
        <v>#REF!</v>
      </c>
      <c r="H80" s="55">
        <f>'branches '!AD42</f>
        <v>0.16416495225165498</v>
      </c>
      <c r="I80" s="58" t="e">
        <f>'branches '!#REF!</f>
        <v>#REF!</v>
      </c>
      <c r="J80" s="58" t="e">
        <f>'branches '!#REF!</f>
        <v>#REF!</v>
      </c>
      <c r="K80" s="55" t="e">
        <f>'branches '!#REF!</f>
        <v>#REF!</v>
      </c>
      <c r="L80" s="58" t="e">
        <f>'branches '!#REF!</f>
        <v>#REF!</v>
      </c>
      <c r="M80" s="58" t="e">
        <f>'branches '!#REF!</f>
        <v>#REF!</v>
      </c>
      <c r="N80" s="55" t="e">
        <f>'branches '!#REF!</f>
        <v>#REF!</v>
      </c>
    </row>
    <row r="81" spans="1:14" x14ac:dyDescent="0.25">
      <c r="A81" s="54">
        <v>73006</v>
      </c>
      <c r="B81" s="54" t="s">
        <v>112</v>
      </c>
      <c r="C81" s="54" t="s">
        <v>511</v>
      </c>
      <c r="D81" s="58">
        <f>'branches '!AB13</f>
        <v>38.226488907759347</v>
      </c>
      <c r="E81" s="58">
        <f>'branches '!AC13</f>
        <v>38</v>
      </c>
      <c r="F81" s="58" t="e">
        <f>'branches '!#REF!</f>
        <v>#REF!</v>
      </c>
      <c r="G81" s="58" t="e">
        <f>'branches '!#REF!</f>
        <v>#REF!</v>
      </c>
      <c r="H81" s="55">
        <f>'branches '!AD13</f>
        <v>0.9940750795003469</v>
      </c>
      <c r="I81" s="58" t="e">
        <f>'branches '!#REF!</f>
        <v>#REF!</v>
      </c>
      <c r="J81" s="58" t="e">
        <f>'branches '!#REF!</f>
        <v>#REF!</v>
      </c>
      <c r="K81" s="55" t="e">
        <f>'branches '!#REF!</f>
        <v>#REF!</v>
      </c>
      <c r="L81" s="58" t="e">
        <f>'branches '!#REF!</f>
        <v>#REF!</v>
      </c>
      <c r="M81" s="58" t="e">
        <f>'branches '!#REF!</f>
        <v>#REF!</v>
      </c>
      <c r="N81" s="55" t="e">
        <f>'branches '!#REF!</f>
        <v>#REF!</v>
      </c>
    </row>
    <row r="82" spans="1:14" x14ac:dyDescent="0.25">
      <c r="A82" s="54">
        <v>73037</v>
      </c>
      <c r="B82" s="54" t="s">
        <v>112</v>
      </c>
      <c r="C82" s="54" t="s">
        <v>164</v>
      </c>
      <c r="D82" s="58">
        <f>'branches '!AB14</f>
        <v>35.341470876985056</v>
      </c>
      <c r="E82" s="58">
        <f>'branches '!AC14</f>
        <v>4</v>
      </c>
      <c r="F82" s="58" t="e">
        <f>'branches '!#REF!</f>
        <v>#REF!</v>
      </c>
      <c r="G82" s="58" t="e">
        <f>'branches '!#REF!</f>
        <v>#REF!</v>
      </c>
      <c r="H82" s="55">
        <f>'branches '!AD14</f>
        <v>0.11318148058757978</v>
      </c>
      <c r="I82" s="58" t="e">
        <f>'branches '!#REF!</f>
        <v>#REF!</v>
      </c>
      <c r="J82" s="58" t="e">
        <f>'branches '!#REF!</f>
        <v>#REF!</v>
      </c>
      <c r="K82" s="55" t="e">
        <f>'branches '!#REF!</f>
        <v>#REF!</v>
      </c>
      <c r="L82" s="58" t="e">
        <f>'branches '!#REF!</f>
        <v>#REF!</v>
      </c>
      <c r="M82" s="58" t="e">
        <f>'branches '!#REF!</f>
        <v>#REF!</v>
      </c>
      <c r="N82" s="55" t="e">
        <f>'branches '!#REF!</f>
        <v>#REF!</v>
      </c>
    </row>
    <row r="83" spans="1:14" x14ac:dyDescent="0.25">
      <c r="A83" s="54">
        <v>73038</v>
      </c>
      <c r="B83" s="54" t="s">
        <v>112</v>
      </c>
      <c r="C83" s="54" t="s">
        <v>1162</v>
      </c>
      <c r="D83" s="58">
        <f>'branches '!AB15</f>
        <v>12.261326630790734</v>
      </c>
      <c r="E83" s="58">
        <f>'branches '!AC15</f>
        <v>5</v>
      </c>
      <c r="F83" s="58" t="e">
        <f>'branches '!#REF!</f>
        <v>#REF!</v>
      </c>
      <c r="G83" s="58" t="e">
        <f>'branches '!#REF!</f>
        <v>#REF!</v>
      </c>
      <c r="H83" s="55">
        <f>'branches '!AD15</f>
        <v>0.40778621682289773</v>
      </c>
      <c r="I83" s="58" t="e">
        <f>'branches '!#REF!</f>
        <v>#REF!</v>
      </c>
      <c r="J83" s="58" t="e">
        <f>'branches '!#REF!</f>
        <v>#REF!</v>
      </c>
      <c r="K83" s="55" t="e">
        <f>'branches '!#REF!</f>
        <v>#REF!</v>
      </c>
      <c r="L83" s="58" t="e">
        <f>'branches '!#REF!</f>
        <v>#REF!</v>
      </c>
      <c r="M83" s="58" t="e">
        <f>'branches '!#REF!</f>
        <v>#REF!</v>
      </c>
      <c r="N83" s="55" t="e">
        <f>'branches '!#REF!</f>
        <v>#REF!</v>
      </c>
    </row>
    <row r="84" spans="1:14" x14ac:dyDescent="0.25">
      <c r="A84" s="54">
        <v>13013</v>
      </c>
      <c r="B84" s="54" t="s">
        <v>112</v>
      </c>
      <c r="C84" s="54" t="s">
        <v>482</v>
      </c>
      <c r="D84" s="58">
        <f>'branches '!AB16</f>
        <v>27.407671292355758</v>
      </c>
      <c r="E84" s="58">
        <f>'branches '!AC16</f>
        <v>19</v>
      </c>
      <c r="F84" s="58" t="e">
        <f>'branches '!#REF!</f>
        <v>#REF!</v>
      </c>
      <c r="G84" s="58" t="e">
        <f>'branches '!#REF!</f>
        <v>#REF!</v>
      </c>
      <c r="H84" s="55">
        <f>'branches '!AD16</f>
        <v>0.69323656859892613</v>
      </c>
      <c r="I84" s="58" t="e">
        <f>'branches '!#REF!</f>
        <v>#REF!</v>
      </c>
      <c r="J84" s="58" t="e">
        <f>'branches '!#REF!</f>
        <v>#REF!</v>
      </c>
      <c r="K84" s="55" t="e">
        <f>'branches '!#REF!</f>
        <v>#REF!</v>
      </c>
      <c r="L84" s="58" t="e">
        <f>'branches '!#REF!</f>
        <v>#REF!</v>
      </c>
      <c r="M84" s="58" t="e">
        <f>'branches '!#REF!</f>
        <v>#REF!</v>
      </c>
      <c r="N84" s="55" t="e">
        <f>'branches '!#REF!</f>
        <v>#REF!</v>
      </c>
    </row>
    <row r="85" spans="1:14" x14ac:dyDescent="0.25">
      <c r="A85" s="54">
        <v>73002</v>
      </c>
      <c r="B85" s="54" t="s">
        <v>112</v>
      </c>
      <c r="C85" s="54" t="s">
        <v>521</v>
      </c>
      <c r="D85" s="58">
        <f>'branches '!AB17</f>
        <v>24.522653261581468</v>
      </c>
      <c r="E85" s="58">
        <f>'branches '!AC17</f>
        <v>30</v>
      </c>
      <c r="F85" s="58" t="e">
        <f>'branches '!#REF!</f>
        <v>#REF!</v>
      </c>
      <c r="G85" s="58" t="e">
        <f>'branches '!#REF!</f>
        <v>#REF!</v>
      </c>
      <c r="H85" s="55">
        <f>'branches '!AD17</f>
        <v>1.2233586504686931</v>
      </c>
      <c r="I85" s="58" t="e">
        <f>'branches '!#REF!</f>
        <v>#REF!</v>
      </c>
      <c r="J85" s="58" t="e">
        <f>'branches '!#REF!</f>
        <v>#REF!</v>
      </c>
      <c r="K85" s="55" t="e">
        <f>'branches '!#REF!</f>
        <v>#REF!</v>
      </c>
      <c r="L85" s="58" t="e">
        <f>'branches '!#REF!</f>
        <v>#REF!</v>
      </c>
      <c r="M85" s="58" t="e">
        <f>'branches '!#REF!</f>
        <v>#REF!</v>
      </c>
      <c r="N85" s="55" t="e">
        <f>'branches '!#REF!</f>
        <v>#REF!</v>
      </c>
    </row>
    <row r="86" spans="1:14" x14ac:dyDescent="0.25">
      <c r="A86" s="54">
        <v>13015</v>
      </c>
      <c r="B86" s="54" t="s">
        <v>112</v>
      </c>
      <c r="C86" s="54" t="s">
        <v>531</v>
      </c>
      <c r="D86" s="58">
        <f>'branches '!AB18</f>
        <v>14.425090153871452</v>
      </c>
      <c r="E86" s="58">
        <f>'branches '!AC18</f>
        <v>17</v>
      </c>
      <c r="F86" s="58" t="e">
        <f>'branches '!#REF!</f>
        <v>#REF!</v>
      </c>
      <c r="G86" s="58" t="e">
        <f>'branches '!#REF!</f>
        <v>#REF!</v>
      </c>
      <c r="H86" s="55">
        <f>'branches '!AD18</f>
        <v>1.1785021666181743</v>
      </c>
      <c r="I86" s="58" t="e">
        <f>'branches '!#REF!</f>
        <v>#REF!</v>
      </c>
      <c r="J86" s="58" t="e">
        <f>'branches '!#REF!</f>
        <v>#REF!</v>
      </c>
      <c r="K86" s="55" t="e">
        <f>'branches '!#REF!</f>
        <v>#REF!</v>
      </c>
      <c r="L86" s="58" t="e">
        <f>'branches '!#REF!</f>
        <v>#REF!</v>
      </c>
      <c r="M86" s="58" t="e">
        <f>'branches '!#REF!</f>
        <v>#REF!</v>
      </c>
      <c r="N86" s="55" t="e">
        <f>'branches '!#REF!</f>
        <v>#REF!</v>
      </c>
    </row>
    <row r="87" spans="1:14" x14ac:dyDescent="0.25">
      <c r="A87" s="298" t="s">
        <v>27</v>
      </c>
      <c r="B87" s="299"/>
      <c r="C87" s="300"/>
      <c r="D87" s="73">
        <f>SUM(D77:D86)</f>
        <v>248.58516761144517</v>
      </c>
      <c r="E87" s="73">
        <f>SUM(E77:E86)</f>
        <v>134</v>
      </c>
      <c r="F87" s="73" t="e">
        <f>SUM(F77:F86)</f>
        <v>#REF!</v>
      </c>
      <c r="G87" s="73" t="e">
        <f>SUM(G77:G86)</f>
        <v>#REF!</v>
      </c>
      <c r="H87" s="51" t="e">
        <f>G87/D87</f>
        <v>#REF!</v>
      </c>
      <c r="I87" s="52" t="e">
        <f>SUM(I77:I86)</f>
        <v>#REF!</v>
      </c>
      <c r="J87" s="52" t="e">
        <f>SUM(J77:J86)</f>
        <v>#REF!</v>
      </c>
      <c r="K87" s="53" t="e">
        <f>J87/I87</f>
        <v>#REF!</v>
      </c>
      <c r="L87" s="73" t="e">
        <f>SUM(L77:L86)</f>
        <v>#REF!</v>
      </c>
      <c r="M87" s="73" t="e">
        <f>SUM(M77:M86)</f>
        <v>#REF!</v>
      </c>
      <c r="N87" s="51" t="e">
        <f>M87/L87</f>
        <v>#REF!</v>
      </c>
    </row>
    <row r="89" spans="1:14" x14ac:dyDescent="0.25">
      <c r="A89" s="302" t="s">
        <v>508</v>
      </c>
      <c r="B89" s="302" t="s">
        <v>18</v>
      </c>
      <c r="C89" s="302" t="s">
        <v>19</v>
      </c>
      <c r="D89" s="287" t="s">
        <v>1142</v>
      </c>
      <c r="E89" s="287"/>
      <c r="F89" s="287"/>
      <c r="G89" s="288" t="s">
        <v>1158</v>
      </c>
      <c r="H89" s="288"/>
      <c r="I89" s="288"/>
      <c r="J89" s="287" t="s">
        <v>1159</v>
      </c>
      <c r="K89" s="287"/>
      <c r="L89" s="287"/>
    </row>
    <row r="90" spans="1:14" x14ac:dyDescent="0.25">
      <c r="A90" s="302"/>
      <c r="B90" s="302"/>
      <c r="C90" s="302"/>
      <c r="D90" s="50" t="s">
        <v>24</v>
      </c>
      <c r="E90" s="50" t="s">
        <v>29</v>
      </c>
      <c r="F90" s="51" t="s">
        <v>28</v>
      </c>
      <c r="G90" s="52" t="s">
        <v>24</v>
      </c>
      <c r="H90" s="52" t="s">
        <v>29</v>
      </c>
      <c r="I90" s="53" t="s">
        <v>28</v>
      </c>
      <c r="J90" s="50" t="s">
        <v>24</v>
      </c>
      <c r="K90" s="50" t="s">
        <v>29</v>
      </c>
      <c r="L90" s="51" t="s">
        <v>28</v>
      </c>
    </row>
    <row r="91" spans="1:14" x14ac:dyDescent="0.25">
      <c r="A91" s="54">
        <v>3000</v>
      </c>
      <c r="B91" s="54" t="s">
        <v>112</v>
      </c>
      <c r="C91" s="54" t="s">
        <v>509</v>
      </c>
      <c r="D91" s="58" t="e">
        <f>'branches '!#REF!</f>
        <v>#REF!</v>
      </c>
      <c r="E91" s="58" t="e">
        <f>'branches '!#REF!</f>
        <v>#REF!</v>
      </c>
      <c r="F91" s="55" t="e">
        <f>'branches '!#REF!</f>
        <v>#REF!</v>
      </c>
      <c r="G91" s="58" t="e">
        <f>'branches '!#REF!</f>
        <v>#REF!</v>
      </c>
      <c r="H91" s="58" t="e">
        <f>'branches '!#REF!</f>
        <v>#REF!</v>
      </c>
      <c r="I91" s="55" t="e">
        <f>'branches '!#REF!</f>
        <v>#REF!</v>
      </c>
      <c r="J91" s="58" t="e">
        <f>'branches '!#REF!</f>
        <v>#REF!</v>
      </c>
      <c r="K91" s="58" t="e">
        <f>'branches '!#REF!</f>
        <v>#REF!</v>
      </c>
      <c r="L91" s="55" t="e">
        <f>'branches '!#REF!</f>
        <v>#REF!</v>
      </c>
    </row>
    <row r="92" spans="1:14" x14ac:dyDescent="0.25">
      <c r="A92" s="54">
        <v>13006</v>
      </c>
      <c r="B92" s="54" t="s">
        <v>112</v>
      </c>
      <c r="C92" s="54" t="s">
        <v>135</v>
      </c>
      <c r="D92" s="58" t="e">
        <f>'branches '!#REF!</f>
        <v>#REF!</v>
      </c>
      <c r="E92" s="58" t="e">
        <f>'branches '!#REF!</f>
        <v>#REF!</v>
      </c>
      <c r="F92" s="55" t="e">
        <f>'branches '!#REF!</f>
        <v>#REF!</v>
      </c>
      <c r="G92" s="58" t="e">
        <f>'branches '!#REF!</f>
        <v>#REF!</v>
      </c>
      <c r="H92" s="58" t="e">
        <f>'branches '!#REF!</f>
        <v>#REF!</v>
      </c>
      <c r="I92" s="55" t="e">
        <f>'branches '!#REF!</f>
        <v>#REF!</v>
      </c>
      <c r="J92" s="58" t="e">
        <f>'branches '!#REF!</f>
        <v>#REF!</v>
      </c>
      <c r="K92" s="58" t="e">
        <f>'branches '!#REF!</f>
        <v>#REF!</v>
      </c>
      <c r="L92" s="55" t="e">
        <f>'branches '!#REF!</f>
        <v>#REF!</v>
      </c>
    </row>
    <row r="93" spans="1:14" x14ac:dyDescent="0.25">
      <c r="A93" s="54">
        <v>33026</v>
      </c>
      <c r="B93" s="54" t="s">
        <v>112</v>
      </c>
      <c r="C93" s="54" t="s">
        <v>152</v>
      </c>
      <c r="D93" s="58" t="e">
        <f>'branches '!#REF!</f>
        <v>#REF!</v>
      </c>
      <c r="E93" s="58" t="e">
        <f>'branches '!#REF!</f>
        <v>#REF!</v>
      </c>
      <c r="F93" s="55" t="e">
        <f>'branches '!#REF!</f>
        <v>#REF!</v>
      </c>
      <c r="G93" s="58" t="e">
        <f>'branches '!#REF!</f>
        <v>#REF!</v>
      </c>
      <c r="H93" s="58" t="e">
        <f>'branches '!#REF!</f>
        <v>#REF!</v>
      </c>
      <c r="I93" s="55" t="e">
        <f>'branches '!#REF!</f>
        <v>#REF!</v>
      </c>
      <c r="J93" s="58" t="e">
        <f>'branches '!#REF!</f>
        <v>#REF!</v>
      </c>
      <c r="K93" s="58" t="e">
        <f>'branches '!#REF!</f>
        <v>#REF!</v>
      </c>
      <c r="L93" s="55" t="e">
        <f>'branches '!#REF!</f>
        <v>#REF!</v>
      </c>
    </row>
    <row r="94" spans="1:14" x14ac:dyDescent="0.25">
      <c r="A94" s="54">
        <v>43004</v>
      </c>
      <c r="B94" s="54" t="s">
        <v>112</v>
      </c>
      <c r="C94" s="54" t="s">
        <v>510</v>
      </c>
      <c r="D94" s="58" t="e">
        <f>'branches '!#REF!</f>
        <v>#REF!</v>
      </c>
      <c r="E94" s="58" t="e">
        <f>'branches '!#REF!</f>
        <v>#REF!</v>
      </c>
      <c r="F94" s="55" t="e">
        <f>'branches '!#REF!</f>
        <v>#REF!</v>
      </c>
      <c r="G94" s="58" t="e">
        <f>'branches '!#REF!</f>
        <v>#REF!</v>
      </c>
      <c r="H94" s="58" t="e">
        <f>'branches '!#REF!</f>
        <v>#REF!</v>
      </c>
      <c r="I94" s="55" t="e">
        <f>'branches '!#REF!</f>
        <v>#REF!</v>
      </c>
      <c r="J94" s="58" t="e">
        <f>'branches '!#REF!</f>
        <v>#REF!</v>
      </c>
      <c r="K94" s="58" t="e">
        <f>'branches '!#REF!</f>
        <v>#REF!</v>
      </c>
      <c r="L94" s="55" t="e">
        <f>'branches '!#REF!</f>
        <v>#REF!</v>
      </c>
    </row>
    <row r="95" spans="1:14" x14ac:dyDescent="0.25">
      <c r="A95" s="54">
        <v>73006</v>
      </c>
      <c r="B95" s="54" t="s">
        <v>112</v>
      </c>
      <c r="C95" s="54" t="s">
        <v>511</v>
      </c>
      <c r="D95" s="58" t="e">
        <f>'branches '!#REF!</f>
        <v>#REF!</v>
      </c>
      <c r="E95" s="58" t="e">
        <f>'branches '!#REF!</f>
        <v>#REF!</v>
      </c>
      <c r="F95" s="55" t="e">
        <f>'branches '!#REF!</f>
        <v>#REF!</v>
      </c>
      <c r="G95" s="58" t="e">
        <f>'branches '!#REF!</f>
        <v>#REF!</v>
      </c>
      <c r="H95" s="58" t="e">
        <f>'branches '!#REF!</f>
        <v>#REF!</v>
      </c>
      <c r="I95" s="55" t="e">
        <f>'branches '!#REF!</f>
        <v>#REF!</v>
      </c>
      <c r="J95" s="58" t="e">
        <f>'branches '!#REF!</f>
        <v>#REF!</v>
      </c>
      <c r="K95" s="58" t="e">
        <f>'branches '!#REF!</f>
        <v>#REF!</v>
      </c>
      <c r="L95" s="55" t="e">
        <f>'branches '!#REF!</f>
        <v>#REF!</v>
      </c>
    </row>
    <row r="96" spans="1:14" x14ac:dyDescent="0.25">
      <c r="A96" s="54">
        <v>73037</v>
      </c>
      <c r="B96" s="54" t="s">
        <v>112</v>
      </c>
      <c r="C96" s="54" t="s">
        <v>164</v>
      </c>
      <c r="D96" s="58" t="e">
        <f>'branches '!#REF!</f>
        <v>#REF!</v>
      </c>
      <c r="E96" s="58" t="e">
        <f>'branches '!#REF!</f>
        <v>#REF!</v>
      </c>
      <c r="F96" s="55" t="e">
        <f>'branches '!#REF!</f>
        <v>#REF!</v>
      </c>
      <c r="G96" s="58" t="e">
        <f>'branches '!#REF!</f>
        <v>#REF!</v>
      </c>
      <c r="H96" s="58" t="e">
        <f>'branches '!#REF!</f>
        <v>#REF!</v>
      </c>
      <c r="I96" s="55" t="e">
        <f>'branches '!#REF!</f>
        <v>#REF!</v>
      </c>
      <c r="J96" s="58" t="e">
        <f>'branches '!#REF!</f>
        <v>#REF!</v>
      </c>
      <c r="K96" s="58" t="e">
        <f>'branches '!#REF!</f>
        <v>#REF!</v>
      </c>
      <c r="L96" s="55" t="e">
        <f>'branches '!#REF!</f>
        <v>#REF!</v>
      </c>
    </row>
    <row r="97" spans="1:14" x14ac:dyDescent="0.25">
      <c r="A97" s="54">
        <v>73038</v>
      </c>
      <c r="B97" s="54" t="s">
        <v>112</v>
      </c>
      <c r="C97" s="54" t="s">
        <v>1162</v>
      </c>
      <c r="D97" s="58" t="e">
        <f>'branches '!#REF!</f>
        <v>#REF!</v>
      </c>
      <c r="E97" s="58" t="e">
        <f>'branches '!#REF!</f>
        <v>#REF!</v>
      </c>
      <c r="F97" s="55" t="e">
        <f>'branches '!#REF!</f>
        <v>#REF!</v>
      </c>
      <c r="G97" s="58" t="e">
        <f>'branches '!#REF!</f>
        <v>#REF!</v>
      </c>
      <c r="H97" s="58" t="e">
        <f>'branches '!#REF!</f>
        <v>#REF!</v>
      </c>
      <c r="I97" s="55" t="e">
        <f>'branches '!#REF!</f>
        <v>#REF!</v>
      </c>
      <c r="J97" s="58" t="e">
        <f>'branches '!#REF!</f>
        <v>#REF!</v>
      </c>
      <c r="K97" s="58" t="e">
        <f>'branches '!#REF!</f>
        <v>#REF!</v>
      </c>
      <c r="L97" s="55" t="e">
        <f>'branches '!#REF!</f>
        <v>#REF!</v>
      </c>
    </row>
    <row r="98" spans="1:14" x14ac:dyDescent="0.25">
      <c r="A98" s="54">
        <v>13013</v>
      </c>
      <c r="B98" s="54" t="s">
        <v>112</v>
      </c>
      <c r="C98" s="54" t="s">
        <v>482</v>
      </c>
      <c r="D98" s="58" t="e">
        <f>'branches '!#REF!</f>
        <v>#REF!</v>
      </c>
      <c r="E98" s="58" t="e">
        <f>'branches '!#REF!</f>
        <v>#REF!</v>
      </c>
      <c r="F98" s="55" t="e">
        <f>'branches '!#REF!</f>
        <v>#REF!</v>
      </c>
      <c r="G98" s="58" t="e">
        <f>'branches '!#REF!</f>
        <v>#REF!</v>
      </c>
      <c r="H98" s="58" t="e">
        <f>'branches '!#REF!</f>
        <v>#REF!</v>
      </c>
      <c r="I98" s="55" t="e">
        <f>'branches '!#REF!</f>
        <v>#REF!</v>
      </c>
      <c r="J98" s="58" t="e">
        <f>'branches '!#REF!</f>
        <v>#REF!</v>
      </c>
      <c r="K98" s="58" t="e">
        <f>'branches '!#REF!</f>
        <v>#REF!</v>
      </c>
      <c r="L98" s="55" t="e">
        <f>'branches '!#REF!</f>
        <v>#REF!</v>
      </c>
    </row>
    <row r="99" spans="1:14" x14ac:dyDescent="0.25">
      <c r="A99" s="54">
        <v>73002</v>
      </c>
      <c r="B99" s="54" t="s">
        <v>112</v>
      </c>
      <c r="C99" s="54" t="s">
        <v>521</v>
      </c>
      <c r="D99" s="58" t="e">
        <f>'branches '!#REF!</f>
        <v>#REF!</v>
      </c>
      <c r="E99" s="58" t="e">
        <f>'branches '!#REF!</f>
        <v>#REF!</v>
      </c>
      <c r="F99" s="55" t="e">
        <f>'branches '!#REF!</f>
        <v>#REF!</v>
      </c>
      <c r="G99" s="58" t="e">
        <f>'branches '!#REF!</f>
        <v>#REF!</v>
      </c>
      <c r="H99" s="58" t="e">
        <f>'branches '!#REF!</f>
        <v>#REF!</v>
      </c>
      <c r="I99" s="55" t="e">
        <f>'branches '!#REF!</f>
        <v>#REF!</v>
      </c>
      <c r="J99" s="58" t="e">
        <f>'branches '!#REF!</f>
        <v>#REF!</v>
      </c>
      <c r="K99" s="58" t="e">
        <f>'branches '!#REF!</f>
        <v>#REF!</v>
      </c>
      <c r="L99" s="55" t="e">
        <f>'branches '!#REF!</f>
        <v>#REF!</v>
      </c>
    </row>
    <row r="100" spans="1:14" x14ac:dyDescent="0.25">
      <c r="A100" s="54">
        <v>13015</v>
      </c>
      <c r="B100" s="54" t="s">
        <v>112</v>
      </c>
      <c r="C100" s="54" t="s">
        <v>531</v>
      </c>
      <c r="D100" s="58" t="e">
        <f>'branches '!#REF!</f>
        <v>#REF!</v>
      </c>
      <c r="E100" s="58" t="e">
        <f>'branches '!#REF!</f>
        <v>#REF!</v>
      </c>
      <c r="F100" s="55" t="e">
        <f>'branches '!#REF!</f>
        <v>#REF!</v>
      </c>
      <c r="G100" s="58" t="e">
        <f>'branches '!#REF!</f>
        <v>#REF!</v>
      </c>
      <c r="H100" s="58" t="e">
        <f>'branches '!#REF!</f>
        <v>#REF!</v>
      </c>
      <c r="I100" s="55" t="e">
        <f>'branches '!#REF!</f>
        <v>#REF!</v>
      </c>
      <c r="J100" s="58" t="e">
        <f>'branches '!#REF!</f>
        <v>#REF!</v>
      </c>
      <c r="K100" s="58" t="e">
        <f>'branches '!#REF!</f>
        <v>#REF!</v>
      </c>
      <c r="L100" s="55" t="e">
        <f>'branches '!#REF!</f>
        <v>#REF!</v>
      </c>
    </row>
    <row r="101" spans="1:14" x14ac:dyDescent="0.25">
      <c r="A101" s="298" t="s">
        <v>27</v>
      </c>
      <c r="B101" s="299"/>
      <c r="C101" s="300"/>
      <c r="D101" s="73" t="e">
        <f>SUM(D91:D100)</f>
        <v>#REF!</v>
      </c>
      <c r="E101" s="73" t="e">
        <f>SUM(E91:E100)</f>
        <v>#REF!</v>
      </c>
      <c r="F101" s="51" t="e">
        <f>E101/D101</f>
        <v>#REF!</v>
      </c>
      <c r="G101" s="52" t="e">
        <f>SUM(G91:G100)</f>
        <v>#REF!</v>
      </c>
      <c r="H101" s="52" t="e">
        <f>SUM(H91:H100)</f>
        <v>#REF!</v>
      </c>
      <c r="I101" s="53" t="e">
        <f>H101/G101</f>
        <v>#REF!</v>
      </c>
      <c r="J101" s="73" t="e">
        <f>SUM(J91:J100)</f>
        <v>#REF!</v>
      </c>
      <c r="K101" s="73" t="e">
        <f>SUM(K91:K100)</f>
        <v>#REF!</v>
      </c>
      <c r="L101" s="51" t="e">
        <f>K101/J101</f>
        <v>#REF!</v>
      </c>
    </row>
    <row r="103" spans="1:14" ht="21.75" x14ac:dyDescent="0.25">
      <c r="A103" s="291" t="s">
        <v>1134</v>
      </c>
      <c r="B103" s="291"/>
      <c r="C103" s="291"/>
      <c r="D103" s="291"/>
      <c r="E103" s="291"/>
      <c r="F103" s="291"/>
      <c r="G103" s="291"/>
      <c r="H103" s="291"/>
      <c r="I103" s="291"/>
      <c r="J103" s="291"/>
      <c r="K103" s="291"/>
      <c r="L103" s="291"/>
      <c r="M103" s="291"/>
      <c r="N103" s="291"/>
    </row>
  </sheetData>
  <mergeCells count="50">
    <mergeCell ref="A17:C17"/>
    <mergeCell ref="A1:A3"/>
    <mergeCell ref="A5:A6"/>
    <mergeCell ref="B5:B6"/>
    <mergeCell ref="C5:C6"/>
    <mergeCell ref="A61:A62"/>
    <mergeCell ref="B61:B62"/>
    <mergeCell ref="C61:C62"/>
    <mergeCell ref="A19:A20"/>
    <mergeCell ref="B19:B20"/>
    <mergeCell ref="C19:C20"/>
    <mergeCell ref="A31:C31"/>
    <mergeCell ref="A33:A34"/>
    <mergeCell ref="B33:B34"/>
    <mergeCell ref="C33:C34"/>
    <mergeCell ref="A45:C45"/>
    <mergeCell ref="A47:A48"/>
    <mergeCell ref="B47:B48"/>
    <mergeCell ref="C47:C48"/>
    <mergeCell ref="A59:C59"/>
    <mergeCell ref="A101:C101"/>
    <mergeCell ref="A73:C73"/>
    <mergeCell ref="A75:A76"/>
    <mergeCell ref="B75:B76"/>
    <mergeCell ref="C75:C76"/>
    <mergeCell ref="A87:C87"/>
    <mergeCell ref="A89:A90"/>
    <mergeCell ref="B89:B90"/>
    <mergeCell ref="C89:C90"/>
    <mergeCell ref="N5:N6"/>
    <mergeCell ref="B1:N3"/>
    <mergeCell ref="A103:N103"/>
    <mergeCell ref="D5:H5"/>
    <mergeCell ref="I5:M5"/>
    <mergeCell ref="D19:F19"/>
    <mergeCell ref="G19:I19"/>
    <mergeCell ref="J19:L19"/>
    <mergeCell ref="D33:F33"/>
    <mergeCell ref="G33:I33"/>
    <mergeCell ref="J33:L33"/>
    <mergeCell ref="D47:H47"/>
    <mergeCell ref="I47:K47"/>
    <mergeCell ref="D61:H61"/>
    <mergeCell ref="I61:M61"/>
    <mergeCell ref="D75:H75"/>
    <mergeCell ref="D89:F89"/>
    <mergeCell ref="G89:I89"/>
    <mergeCell ref="J89:L89"/>
    <mergeCell ref="I75:K75"/>
    <mergeCell ref="L75:N75"/>
  </mergeCells>
  <conditionalFormatting sqref="F21:F30">
    <cfRule type="cellIs" dxfId="272" priority="47" operator="between">
      <formula>0.7</formula>
      <formula>0.89</formula>
    </cfRule>
    <cfRule type="cellIs" dxfId="271" priority="46" operator="lessThan">
      <formula>0.7</formula>
    </cfRule>
    <cfRule type="cellIs" dxfId="270" priority="48" operator="greaterThan">
      <formula>0.89</formula>
    </cfRule>
  </conditionalFormatting>
  <conditionalFormatting sqref="F35:F44">
    <cfRule type="cellIs" dxfId="269" priority="39" operator="greaterThan">
      <formula>0.89</formula>
    </cfRule>
    <cfRule type="cellIs" dxfId="268" priority="38" operator="between">
      <formula>0.7</formula>
      <formula>0.89</formula>
    </cfRule>
    <cfRule type="cellIs" dxfId="267" priority="37" operator="lessThan">
      <formula>0.7</formula>
    </cfRule>
  </conditionalFormatting>
  <conditionalFormatting sqref="F91:F100">
    <cfRule type="cellIs" dxfId="266" priority="7" operator="lessThan">
      <formula>0.7</formula>
    </cfRule>
    <cfRule type="cellIs" dxfId="265" priority="8" operator="between">
      <formula>0.7</formula>
      <formula>0.89</formula>
    </cfRule>
    <cfRule type="cellIs" dxfId="264" priority="9" operator="greaterThan">
      <formula>0.89</formula>
    </cfRule>
  </conditionalFormatting>
  <conditionalFormatting sqref="H7:H16">
    <cfRule type="cellIs" dxfId="263" priority="53" operator="between">
      <formula>0.7</formula>
      <formula>0.89</formula>
    </cfRule>
    <cfRule type="cellIs" dxfId="262" priority="52" operator="lessThan">
      <formula>0.7</formula>
    </cfRule>
    <cfRule type="cellIs" dxfId="261" priority="54" operator="greaterThan">
      <formula>0.89</formula>
    </cfRule>
  </conditionalFormatting>
  <conditionalFormatting sqref="H49:H58">
    <cfRule type="cellIs" dxfId="260" priority="25" operator="lessThan">
      <formula>0.7</formula>
    </cfRule>
    <cfRule type="cellIs" dxfId="259" priority="26" operator="between">
      <formula>0.7</formula>
      <formula>0.89</formula>
    </cfRule>
    <cfRule type="cellIs" dxfId="258" priority="27" operator="greaterThan">
      <formula>0.89</formula>
    </cfRule>
  </conditionalFormatting>
  <conditionalFormatting sqref="H63:H72">
    <cfRule type="cellIs" dxfId="257" priority="22" operator="lessThan">
      <formula>0.7</formula>
    </cfRule>
    <cfRule type="cellIs" dxfId="256" priority="23" operator="between">
      <formula>0.7</formula>
      <formula>0.89</formula>
    </cfRule>
    <cfRule type="cellIs" dxfId="255" priority="24" operator="greaterThan">
      <formula>0.89</formula>
    </cfRule>
  </conditionalFormatting>
  <conditionalFormatting sqref="H77:H86">
    <cfRule type="cellIs" dxfId="254" priority="16" operator="lessThan">
      <formula>0.7</formula>
    </cfRule>
    <cfRule type="cellIs" dxfId="253" priority="17" operator="between">
      <formula>0.7</formula>
      <formula>0.89</formula>
    </cfRule>
    <cfRule type="cellIs" dxfId="252" priority="18" operator="greaterThan">
      <formula>0.89</formula>
    </cfRule>
  </conditionalFormatting>
  <conditionalFormatting sqref="I21:I30">
    <cfRule type="cellIs" dxfId="251" priority="45" operator="greaterThan">
      <formula>0.89</formula>
    </cfRule>
    <cfRule type="cellIs" dxfId="250" priority="44" operator="between">
      <formula>0.7</formula>
      <formula>0.89</formula>
    </cfRule>
    <cfRule type="cellIs" dxfId="249" priority="43" operator="lessThan">
      <formula>0.7</formula>
    </cfRule>
  </conditionalFormatting>
  <conditionalFormatting sqref="I35:I44">
    <cfRule type="cellIs" dxfId="248" priority="34" operator="lessThan">
      <formula>0.7</formula>
    </cfRule>
    <cfRule type="cellIs" dxfId="247" priority="35" operator="between">
      <formula>0.7</formula>
      <formula>0.89</formula>
    </cfRule>
    <cfRule type="cellIs" dxfId="246" priority="36" operator="greaterThan">
      <formula>0.89</formula>
    </cfRule>
  </conditionalFormatting>
  <conditionalFormatting sqref="I91:I100">
    <cfRule type="cellIs" dxfId="245" priority="4" operator="lessThan">
      <formula>0.7</formula>
    </cfRule>
    <cfRule type="cellIs" dxfId="244" priority="6" operator="greaterThan">
      <formula>0.89</formula>
    </cfRule>
    <cfRule type="cellIs" dxfId="243" priority="5" operator="between">
      <formula>0.7</formula>
      <formula>0.89</formula>
    </cfRule>
  </conditionalFormatting>
  <conditionalFormatting sqref="K49:K58">
    <cfRule type="cellIs" dxfId="242" priority="28" operator="lessThan">
      <formula>0.7</formula>
    </cfRule>
    <cfRule type="cellIs" dxfId="241" priority="29" operator="between">
      <formula>0.7</formula>
      <formula>0.89</formula>
    </cfRule>
    <cfRule type="cellIs" dxfId="240" priority="30" operator="greaterThan">
      <formula>0.89</formula>
    </cfRule>
  </conditionalFormatting>
  <conditionalFormatting sqref="K77:K86">
    <cfRule type="cellIs" dxfId="239" priority="12" operator="greaterThan">
      <formula>0.89</formula>
    </cfRule>
    <cfRule type="cellIs" dxfId="238" priority="11" operator="between">
      <formula>0.7</formula>
      <formula>0.89</formula>
    </cfRule>
    <cfRule type="cellIs" dxfId="237" priority="10" operator="lessThan">
      <formula>0.7</formula>
    </cfRule>
  </conditionalFormatting>
  <conditionalFormatting sqref="L21:L30">
    <cfRule type="cellIs" dxfId="236" priority="40" operator="lessThan">
      <formula>0.7</formula>
    </cfRule>
    <cfRule type="cellIs" dxfId="235" priority="41" operator="between">
      <formula>0.7</formula>
      <formula>0.89</formula>
    </cfRule>
    <cfRule type="cellIs" dxfId="234" priority="42" operator="greaterThan">
      <formula>0.89</formula>
    </cfRule>
  </conditionalFormatting>
  <conditionalFormatting sqref="L35:L44">
    <cfRule type="cellIs" dxfId="233" priority="31" operator="lessThan">
      <formula>0.7</formula>
    </cfRule>
    <cfRule type="cellIs" dxfId="232" priority="32" operator="between">
      <formula>0.7</formula>
      <formula>0.89</formula>
    </cfRule>
    <cfRule type="cellIs" dxfId="231" priority="33" operator="greaterThan">
      <formula>0.89</formula>
    </cfRule>
  </conditionalFormatting>
  <conditionalFormatting sqref="L91:L100">
    <cfRule type="cellIs" dxfId="230" priority="2" operator="between">
      <formula>0.7</formula>
      <formula>0.89</formula>
    </cfRule>
    <cfRule type="cellIs" dxfId="229" priority="3" operator="greaterThan">
      <formula>0.89</formula>
    </cfRule>
    <cfRule type="cellIs" dxfId="228" priority="1" operator="lessThan">
      <formula>0.7</formula>
    </cfRule>
  </conditionalFormatting>
  <conditionalFormatting sqref="M7:M16">
    <cfRule type="cellIs" dxfId="227" priority="49" operator="lessThan">
      <formula>0.7</formula>
    </cfRule>
    <cfRule type="cellIs" dxfId="226" priority="50" operator="between">
      <formula>0.7</formula>
      <formula>0.89</formula>
    </cfRule>
    <cfRule type="cellIs" dxfId="225" priority="51" operator="greaterThan">
      <formula>0.89</formula>
    </cfRule>
  </conditionalFormatting>
  <conditionalFormatting sqref="M63:M72">
    <cfRule type="cellIs" dxfId="224" priority="21" operator="greaterThan">
      <formula>0.89</formula>
    </cfRule>
    <cfRule type="cellIs" dxfId="223" priority="20" operator="between">
      <formula>0.7</formula>
      <formula>0.89</formula>
    </cfRule>
    <cfRule type="cellIs" dxfId="222" priority="19" operator="lessThan">
      <formula>0.7</formula>
    </cfRule>
  </conditionalFormatting>
  <conditionalFormatting sqref="N77:N86">
    <cfRule type="cellIs" dxfId="221" priority="15" operator="greaterThan">
      <formula>0.89</formula>
    </cfRule>
    <cfRule type="cellIs" dxfId="220" priority="14" operator="between">
      <formula>0.7</formula>
      <formula>0.89</formula>
    </cfRule>
    <cfRule type="cellIs" dxfId="219" priority="13" operator="lessThan">
      <formula>0.7</formula>
    </cfRule>
  </conditionalFormatting>
  <pageMargins left="0.7" right="0.7" top="0.75" bottom="0.75" header="0.3" footer="0.3"/>
  <ignoredErrors>
    <ignoredError sqref="H17 F31:L31 I45 F45 H59 H73 I101 M17 H87 K87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1EA16-C1D7-4D51-87F2-169070D35FBB}">
  <dimension ref="A1:N96"/>
  <sheetViews>
    <sheetView showGridLines="0" workbookViewId="0">
      <selection activeCell="A96" sqref="A1:N96"/>
    </sheetView>
  </sheetViews>
  <sheetFormatPr defaultRowHeight="15" x14ac:dyDescent="0.25"/>
  <cols>
    <col min="1" max="1" width="6" bestFit="1" customWidth="1"/>
    <col min="2" max="2" width="9.140625" bestFit="1" customWidth="1"/>
    <col min="3" max="3" width="15.5703125" bestFit="1" customWidth="1"/>
    <col min="4" max="4" width="10.42578125" bestFit="1" customWidth="1"/>
    <col min="5" max="5" width="15.42578125" bestFit="1" customWidth="1"/>
    <col min="6" max="6" width="16.42578125" bestFit="1" customWidth="1"/>
    <col min="7" max="7" width="10.42578125" bestFit="1" customWidth="1"/>
    <col min="8" max="8" width="12.42578125" bestFit="1" customWidth="1"/>
    <col min="9" max="9" width="10.42578125" bestFit="1" customWidth="1"/>
    <col min="10" max="10" width="16.42578125" bestFit="1" customWidth="1"/>
    <col min="11" max="11" width="16.140625" bestFit="1" customWidth="1"/>
    <col min="12" max="12" width="10.42578125" bestFit="1" customWidth="1"/>
    <col min="13" max="13" width="7.42578125" bestFit="1" customWidth="1"/>
    <col min="14" max="14" width="12.140625" customWidth="1"/>
  </cols>
  <sheetData>
    <row r="1" spans="1:14" ht="14.45" customHeight="1" x14ac:dyDescent="0.25">
      <c r="A1" s="301"/>
      <c r="B1" s="290" t="s">
        <v>221</v>
      </c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</row>
    <row r="2" spans="1:14" ht="14.45" customHeight="1" x14ac:dyDescent="0.25">
      <c r="A2" s="301"/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</row>
    <row r="3" spans="1:14" ht="14.45" customHeight="1" x14ac:dyDescent="0.25">
      <c r="A3" s="301"/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</row>
    <row r="5" spans="1:14" x14ac:dyDescent="0.25">
      <c r="A5" s="302" t="s">
        <v>508</v>
      </c>
      <c r="B5" s="302" t="s">
        <v>18</v>
      </c>
      <c r="C5" s="302" t="s">
        <v>19</v>
      </c>
      <c r="D5" s="292" t="s">
        <v>1156</v>
      </c>
      <c r="E5" s="293"/>
      <c r="F5" s="293"/>
      <c r="G5" s="293"/>
      <c r="H5" s="293"/>
      <c r="I5" s="294" t="s">
        <v>1155</v>
      </c>
      <c r="J5" s="294"/>
      <c r="K5" s="294"/>
      <c r="L5" s="294"/>
      <c r="M5" s="295"/>
      <c r="N5" s="289" t="s">
        <v>1164</v>
      </c>
    </row>
    <row r="6" spans="1:14" x14ac:dyDescent="0.25">
      <c r="A6" s="302"/>
      <c r="B6" s="302"/>
      <c r="C6" s="302"/>
      <c r="D6" s="73" t="s">
        <v>24</v>
      </c>
      <c r="E6" s="50" t="s">
        <v>25</v>
      </c>
      <c r="F6" s="50" t="s">
        <v>26</v>
      </c>
      <c r="G6" s="50" t="s">
        <v>27</v>
      </c>
      <c r="H6" s="51" t="s">
        <v>28</v>
      </c>
      <c r="I6" s="52" t="s">
        <v>24</v>
      </c>
      <c r="J6" s="52" t="s">
        <v>25</v>
      </c>
      <c r="K6" s="52" t="s">
        <v>26</v>
      </c>
      <c r="L6" s="52" t="s">
        <v>27</v>
      </c>
      <c r="M6" s="53" t="s">
        <v>28</v>
      </c>
      <c r="N6" s="289"/>
    </row>
    <row r="7" spans="1:14" x14ac:dyDescent="0.25">
      <c r="A7" s="54">
        <v>23012</v>
      </c>
      <c r="B7" s="54" t="s">
        <v>221</v>
      </c>
      <c r="C7" s="54" t="s">
        <v>513</v>
      </c>
      <c r="D7" s="58">
        <f>'branches '!D19</f>
        <v>255746</v>
      </c>
      <c r="E7" s="58">
        <f>'branches '!E19</f>
        <v>335310.56</v>
      </c>
      <c r="F7" s="58" t="e">
        <f>'branches '!#REF!</f>
        <v>#REF!</v>
      </c>
      <c r="G7" s="58" t="e">
        <f>'branches '!#REF!</f>
        <v>#REF!</v>
      </c>
      <c r="H7" s="55">
        <f>'branches '!F19</f>
        <v>1.311107739710494</v>
      </c>
      <c r="I7" s="58">
        <f>'branches '!G19</f>
        <v>34112</v>
      </c>
      <c r="J7" s="58">
        <f>'branches '!H19</f>
        <v>41728.68</v>
      </c>
      <c r="K7" s="58" t="e">
        <f>'branches '!#REF!</f>
        <v>#REF!</v>
      </c>
      <c r="L7" s="58" t="e">
        <f>'branches '!#REF!</f>
        <v>#REF!</v>
      </c>
      <c r="M7" s="55">
        <f>'branches '!I19</f>
        <v>1.2232844746716698</v>
      </c>
      <c r="N7" s="58" t="e">
        <f>L7+G7+K33</f>
        <v>#REF!</v>
      </c>
    </row>
    <row r="8" spans="1:14" x14ac:dyDescent="0.25">
      <c r="A8" s="54">
        <v>23015</v>
      </c>
      <c r="B8" s="54" t="s">
        <v>221</v>
      </c>
      <c r="C8" s="54" t="s">
        <v>514</v>
      </c>
      <c r="D8" s="58">
        <f>'branches '!D20</f>
        <v>121407</v>
      </c>
      <c r="E8" s="58">
        <f>'branches '!E20</f>
        <v>65038.299999999996</v>
      </c>
      <c r="F8" s="58" t="e">
        <f>'branches '!#REF!</f>
        <v>#REF!</v>
      </c>
      <c r="G8" s="58" t="e">
        <f>'branches '!#REF!</f>
        <v>#REF!</v>
      </c>
      <c r="H8" s="55">
        <f>'branches '!F20</f>
        <v>0.53570469577536717</v>
      </c>
      <c r="I8" s="58">
        <f>'branches '!G20</f>
        <v>16172</v>
      </c>
      <c r="J8" s="58">
        <f>'branches '!H20</f>
        <v>3216.52</v>
      </c>
      <c r="K8" s="58" t="e">
        <f>'branches '!#REF!</f>
        <v>#REF!</v>
      </c>
      <c r="L8" s="58" t="e">
        <f>'branches '!#REF!</f>
        <v>#REF!</v>
      </c>
      <c r="M8" s="55">
        <f>'branches '!I20</f>
        <v>0.19889438535740786</v>
      </c>
      <c r="N8" s="58" t="e">
        <f t="shared" ref="N8:N15" si="0">L8+G8+K34</f>
        <v>#REF!</v>
      </c>
    </row>
    <row r="9" spans="1:14" x14ac:dyDescent="0.25">
      <c r="A9" s="54">
        <v>33027</v>
      </c>
      <c r="B9" s="54" t="s">
        <v>221</v>
      </c>
      <c r="C9" s="54" t="s">
        <v>515</v>
      </c>
      <c r="D9" s="58">
        <f>'branches '!D21</f>
        <v>653734</v>
      </c>
      <c r="E9" s="58">
        <f>'branches '!E21</f>
        <v>572501.91</v>
      </c>
      <c r="F9" s="58" t="e">
        <f>'branches '!#REF!</f>
        <v>#REF!</v>
      </c>
      <c r="G9" s="58" t="e">
        <f>'branches '!#REF!</f>
        <v>#REF!</v>
      </c>
      <c r="H9" s="55">
        <f>'branches '!F21</f>
        <v>0.87574137187296364</v>
      </c>
      <c r="I9" s="58">
        <f>'branches '!G21</f>
        <v>87079</v>
      </c>
      <c r="J9" s="58">
        <f>'branches '!H21</f>
        <v>18691.02</v>
      </c>
      <c r="K9" s="58" t="e">
        <f>'branches '!#REF!</f>
        <v>#REF!</v>
      </c>
      <c r="L9" s="58" t="e">
        <f>'branches '!#REF!</f>
        <v>#REF!</v>
      </c>
      <c r="M9" s="55">
        <f>'branches '!I21</f>
        <v>0.21464440335787044</v>
      </c>
      <c r="N9" s="58" t="e">
        <f t="shared" si="0"/>
        <v>#REF!</v>
      </c>
    </row>
    <row r="10" spans="1:14" x14ac:dyDescent="0.25">
      <c r="A10" s="54">
        <v>73001</v>
      </c>
      <c r="B10" s="54" t="s">
        <v>221</v>
      </c>
      <c r="C10" s="54" t="s">
        <v>258</v>
      </c>
      <c r="D10" s="58">
        <f>'branches '!D22</f>
        <v>653732</v>
      </c>
      <c r="E10" s="58">
        <f>'branches '!E22</f>
        <v>603188.92000000004</v>
      </c>
      <c r="F10" s="58" t="e">
        <f>'branches '!#REF!</f>
        <v>#REF!</v>
      </c>
      <c r="G10" s="58" t="e">
        <f>'branches '!#REF!</f>
        <v>#REF!</v>
      </c>
      <c r="H10" s="55">
        <f>'branches '!F22</f>
        <v>0.92268532059008901</v>
      </c>
      <c r="I10" s="58">
        <f>'branches '!G22</f>
        <v>87078</v>
      </c>
      <c r="J10" s="58">
        <f>'branches '!H22</f>
        <v>21315.65</v>
      </c>
      <c r="K10" s="58" t="e">
        <f>'branches '!#REF!</f>
        <v>#REF!</v>
      </c>
      <c r="L10" s="58" t="e">
        <f>'branches '!#REF!</f>
        <v>#REF!</v>
      </c>
      <c r="M10" s="55">
        <f>'branches '!I22</f>
        <v>0.24478800615540092</v>
      </c>
      <c r="N10" s="58" t="e">
        <f t="shared" si="0"/>
        <v>#REF!</v>
      </c>
    </row>
    <row r="11" spans="1:14" x14ac:dyDescent="0.25">
      <c r="A11" s="54">
        <v>73004</v>
      </c>
      <c r="B11" s="54" t="s">
        <v>221</v>
      </c>
      <c r="C11" s="54" t="s">
        <v>270</v>
      </c>
      <c r="D11" s="58">
        <f>'branches '!D23</f>
        <v>380702</v>
      </c>
      <c r="E11" s="58">
        <f>'branches '!E23</f>
        <v>359393.22000000003</v>
      </c>
      <c r="F11" s="58" t="e">
        <f>'branches '!#REF!</f>
        <v>#REF!</v>
      </c>
      <c r="G11" s="58" t="e">
        <f>'branches '!#REF!</f>
        <v>#REF!</v>
      </c>
      <c r="H11" s="55">
        <f>'branches '!F23</f>
        <v>0.94402766468261268</v>
      </c>
      <c r="I11" s="58">
        <f>'branches '!G23</f>
        <v>50923</v>
      </c>
      <c r="J11" s="58">
        <f>'branches '!H23</f>
        <v>17443.18</v>
      </c>
      <c r="K11" s="58" t="e">
        <f>'branches '!#REF!</f>
        <v>#REF!</v>
      </c>
      <c r="L11" s="58" t="e">
        <f>'branches '!#REF!</f>
        <v>#REF!</v>
      </c>
      <c r="M11" s="55">
        <f>'branches '!I23</f>
        <v>0.34254030595212381</v>
      </c>
      <c r="N11" s="58" t="e">
        <f t="shared" si="0"/>
        <v>#REF!</v>
      </c>
    </row>
    <row r="12" spans="1:14" x14ac:dyDescent="0.25">
      <c r="A12" s="54">
        <v>73030</v>
      </c>
      <c r="B12" s="54" t="s">
        <v>221</v>
      </c>
      <c r="C12" s="54" t="s">
        <v>278</v>
      </c>
      <c r="D12" s="58">
        <f>'branches '!D24</f>
        <v>638857</v>
      </c>
      <c r="E12" s="58">
        <f>'branches '!E24</f>
        <v>437966.35</v>
      </c>
      <c r="F12" s="58" t="e">
        <f>'branches '!#REF!</f>
        <v>#REF!</v>
      </c>
      <c r="G12" s="58" t="e">
        <f>'branches '!#REF!</f>
        <v>#REF!</v>
      </c>
      <c r="H12" s="55">
        <f>'branches '!F24</f>
        <v>0.68554676555160232</v>
      </c>
      <c r="I12" s="58">
        <f>'branches '!G24</f>
        <v>83897</v>
      </c>
      <c r="J12" s="58">
        <f>'branches '!H24</f>
        <v>22528.29</v>
      </c>
      <c r="K12" s="58" t="e">
        <f>'branches '!#REF!</f>
        <v>#REF!</v>
      </c>
      <c r="L12" s="58" t="e">
        <f>'branches '!#REF!</f>
        <v>#REF!</v>
      </c>
      <c r="M12" s="55">
        <f>'branches '!I24</f>
        <v>0.26852318914859891</v>
      </c>
      <c r="N12" s="58" t="e">
        <f t="shared" si="0"/>
        <v>#REF!</v>
      </c>
    </row>
    <row r="13" spans="1:14" x14ac:dyDescent="0.25">
      <c r="A13" s="54">
        <v>13014</v>
      </c>
      <c r="B13" s="54" t="s">
        <v>221</v>
      </c>
      <c r="C13" s="54" t="s">
        <v>533</v>
      </c>
      <c r="D13" s="58">
        <f>'branches '!D25</f>
        <v>789541</v>
      </c>
      <c r="E13" s="58">
        <f>'branches '!E25</f>
        <v>754797</v>
      </c>
      <c r="F13" s="58" t="e">
        <f>'branches '!#REF!</f>
        <v>#REF!</v>
      </c>
      <c r="G13" s="58" t="e">
        <f>'branches '!#REF!</f>
        <v>#REF!</v>
      </c>
      <c r="H13" s="55">
        <f>'branches '!F25</f>
        <v>0.9559946855198147</v>
      </c>
      <c r="I13" s="58">
        <f>'branches '!G25</f>
        <v>102355</v>
      </c>
      <c r="J13" s="58">
        <f>'branches '!H25</f>
        <v>27587.93</v>
      </c>
      <c r="K13" s="58" t="e">
        <f>'branches '!#REF!</f>
        <v>#REF!</v>
      </c>
      <c r="L13" s="58" t="e">
        <f>'branches '!#REF!</f>
        <v>#REF!</v>
      </c>
      <c r="M13" s="55">
        <f>'branches '!I25</f>
        <v>0.26953182550925703</v>
      </c>
      <c r="N13" s="58" t="e">
        <f t="shared" si="0"/>
        <v>#REF!</v>
      </c>
    </row>
    <row r="14" spans="1:14" x14ac:dyDescent="0.25">
      <c r="A14" s="54">
        <v>13016</v>
      </c>
      <c r="B14" s="54" t="s">
        <v>221</v>
      </c>
      <c r="C14" s="54" t="s">
        <v>528</v>
      </c>
      <c r="D14" s="58">
        <f>'branches '!D26</f>
        <v>1371818</v>
      </c>
      <c r="E14" s="58">
        <f>'branches '!E26</f>
        <v>1515052.3</v>
      </c>
      <c r="F14" s="58" t="e">
        <f>'branches '!#REF!</f>
        <v>#REF!</v>
      </c>
      <c r="G14" s="58" t="e">
        <f>'branches '!#REF!</f>
        <v>#REF!</v>
      </c>
      <c r="H14" s="55">
        <f>'branches '!F26</f>
        <v>1.1044120284177639</v>
      </c>
      <c r="I14" s="58">
        <f>'branches '!G26</f>
        <v>163335</v>
      </c>
      <c r="J14" s="58">
        <f>'branches '!H26</f>
        <v>53361.77</v>
      </c>
      <c r="K14" s="58" t="e">
        <f>'branches '!#REF!</f>
        <v>#REF!</v>
      </c>
      <c r="L14" s="58" t="e">
        <f>'branches '!#REF!</f>
        <v>#REF!</v>
      </c>
      <c r="M14" s="55">
        <f>'branches '!I26</f>
        <v>0.32670138059815712</v>
      </c>
      <c r="N14" s="58" t="e">
        <f t="shared" si="0"/>
        <v>#REF!</v>
      </c>
    </row>
    <row r="15" spans="1:14" x14ac:dyDescent="0.25">
      <c r="A15" s="54">
        <v>13012</v>
      </c>
      <c r="B15" s="54" t="s">
        <v>221</v>
      </c>
      <c r="C15" s="54" t="s">
        <v>307</v>
      </c>
      <c r="D15" s="58">
        <f>'branches '!D27</f>
        <v>356957</v>
      </c>
      <c r="E15" s="58">
        <f>'branches '!E27</f>
        <v>272939.19999999995</v>
      </c>
      <c r="F15" s="58" t="e">
        <f>'branches '!#REF!</f>
        <v>#REF!</v>
      </c>
      <c r="G15" s="58" t="e">
        <f>'branches '!#REF!</f>
        <v>#REF!</v>
      </c>
      <c r="H15" s="55">
        <f>'branches '!F27</f>
        <v>0.76462767224063388</v>
      </c>
      <c r="I15" s="58">
        <f>'branches '!G27</f>
        <v>33684</v>
      </c>
      <c r="J15" s="58">
        <f>'branches '!H27</f>
        <v>12062.31</v>
      </c>
      <c r="K15" s="58" t="e">
        <f>'branches '!#REF!</f>
        <v>#REF!</v>
      </c>
      <c r="L15" s="58" t="e">
        <f>'branches '!#REF!</f>
        <v>#REF!</v>
      </c>
      <c r="M15" s="55">
        <f>'branches '!I27</f>
        <v>0.35810206626291413</v>
      </c>
      <c r="N15" s="58" t="e">
        <f t="shared" si="0"/>
        <v>#REF!</v>
      </c>
    </row>
    <row r="16" spans="1:14" x14ac:dyDescent="0.25">
      <c r="A16" s="298" t="s">
        <v>27</v>
      </c>
      <c r="B16" s="299"/>
      <c r="C16" s="300"/>
      <c r="D16" s="73">
        <f>SUM(D7:D15)</f>
        <v>5222494</v>
      </c>
      <c r="E16" s="73">
        <f>SUM(E7:E15)</f>
        <v>4916187.76</v>
      </c>
      <c r="F16" s="73" t="e">
        <f>SUM(F7:F15)</f>
        <v>#REF!</v>
      </c>
      <c r="G16" s="73" t="e">
        <f>SUM(G7:G15)</f>
        <v>#REF!</v>
      </c>
      <c r="H16" s="74" t="e">
        <f>G16/D16</f>
        <v>#REF!</v>
      </c>
      <c r="I16" s="52">
        <f>SUM(I7:I15)</f>
        <v>658635</v>
      </c>
      <c r="J16" s="52">
        <f>SUM(J7:J15)</f>
        <v>217935.34999999998</v>
      </c>
      <c r="K16" s="52" t="e">
        <f>SUM(K7:K15)</f>
        <v>#REF!</v>
      </c>
      <c r="L16" s="52" t="e">
        <f>SUM(L7:L15)</f>
        <v>#REF!</v>
      </c>
      <c r="M16" s="53" t="e">
        <f>L16/I16</f>
        <v>#REF!</v>
      </c>
      <c r="N16" s="73" t="e">
        <f>SUM(N7:N15)</f>
        <v>#REF!</v>
      </c>
    </row>
    <row r="18" spans="1:12" x14ac:dyDescent="0.25">
      <c r="A18" s="302" t="s">
        <v>508</v>
      </c>
      <c r="B18" s="302" t="s">
        <v>18</v>
      </c>
      <c r="C18" s="302" t="s">
        <v>19</v>
      </c>
      <c r="D18" s="296" t="s">
        <v>496</v>
      </c>
      <c r="E18" s="296"/>
      <c r="F18" s="296"/>
      <c r="G18" s="288" t="s">
        <v>522</v>
      </c>
      <c r="H18" s="288"/>
      <c r="I18" s="288"/>
      <c r="J18" s="296" t="s">
        <v>507</v>
      </c>
      <c r="K18" s="296"/>
      <c r="L18" s="296"/>
    </row>
    <row r="19" spans="1:12" x14ac:dyDescent="0.25">
      <c r="A19" s="302"/>
      <c r="B19" s="302"/>
      <c r="C19" s="302"/>
      <c r="D19" s="73" t="s">
        <v>24</v>
      </c>
      <c r="E19" s="73" t="s">
        <v>29</v>
      </c>
      <c r="F19" s="73" t="s">
        <v>28</v>
      </c>
      <c r="G19" s="52" t="s">
        <v>24</v>
      </c>
      <c r="H19" s="52" t="s">
        <v>29</v>
      </c>
      <c r="I19" s="53" t="s">
        <v>28</v>
      </c>
      <c r="J19" s="73" t="s">
        <v>24</v>
      </c>
      <c r="K19" s="73" t="s">
        <v>29</v>
      </c>
      <c r="L19" s="73" t="s">
        <v>28</v>
      </c>
    </row>
    <row r="20" spans="1:12" x14ac:dyDescent="0.25">
      <c r="A20" s="54">
        <v>23012</v>
      </c>
      <c r="B20" s="54" t="s">
        <v>221</v>
      </c>
      <c r="C20" s="54" t="s">
        <v>513</v>
      </c>
      <c r="D20" s="58">
        <f>'branches '!M19</f>
        <v>2205</v>
      </c>
      <c r="E20" s="58">
        <f>'branches '!N19</f>
        <v>0</v>
      </c>
      <c r="F20" s="55">
        <f>'branches '!O19</f>
        <v>0</v>
      </c>
      <c r="G20" s="58" t="e">
        <f>'branches '!#REF!</f>
        <v>#REF!</v>
      </c>
      <c r="H20" s="58" t="e">
        <f>'branches '!#REF!</f>
        <v>#REF!</v>
      </c>
      <c r="I20" s="55" t="e">
        <f>'branches '!#REF!</f>
        <v>#REF!</v>
      </c>
      <c r="J20" s="58">
        <f>'branches '!AK19</f>
        <v>7.4848554366732971</v>
      </c>
      <c r="K20" s="58">
        <f>'branches '!AL19</f>
        <v>1</v>
      </c>
      <c r="L20" s="55">
        <f>'branches '!AM19</f>
        <v>0.13360311477765266</v>
      </c>
    </row>
    <row r="21" spans="1:12" x14ac:dyDescent="0.25">
      <c r="A21" s="54">
        <v>23015</v>
      </c>
      <c r="B21" s="54" t="s">
        <v>221</v>
      </c>
      <c r="C21" s="54" t="s">
        <v>514</v>
      </c>
      <c r="D21" s="58">
        <f>'branches '!M20</f>
        <v>1925</v>
      </c>
      <c r="E21" s="58">
        <f>'branches '!N20</f>
        <v>0</v>
      </c>
      <c r="F21" s="55">
        <f>'branches '!O20</f>
        <v>0</v>
      </c>
      <c r="G21" s="58" t="e">
        <f>'branches '!#REF!</f>
        <v>#REF!</v>
      </c>
      <c r="H21" s="58" t="e">
        <f>'branches '!#REF!</f>
        <v>#REF!</v>
      </c>
      <c r="I21" s="55" t="e">
        <f>'branches '!#REF!</f>
        <v>#REF!</v>
      </c>
      <c r="J21" s="58">
        <f>'branches '!AK20</f>
        <v>3.553188882720336</v>
      </c>
      <c r="K21" s="58">
        <f>'branches '!AL20</f>
        <v>0</v>
      </c>
      <c r="L21" s="55">
        <f>'branches '!AM20</f>
        <v>0</v>
      </c>
    </row>
    <row r="22" spans="1:12" x14ac:dyDescent="0.25">
      <c r="A22" s="54">
        <v>33027</v>
      </c>
      <c r="B22" s="54" t="s">
        <v>221</v>
      </c>
      <c r="C22" s="54" t="s">
        <v>515</v>
      </c>
      <c r="D22" s="58">
        <f>'branches '!M21</f>
        <v>11107</v>
      </c>
      <c r="E22" s="58">
        <f>'branches '!N21</f>
        <v>1053</v>
      </c>
      <c r="F22" s="55">
        <f>'branches '!O21</f>
        <v>9.4805077878815161E-2</v>
      </c>
      <c r="G22" s="58" t="e">
        <f>'branches '!#REF!</f>
        <v>#REF!</v>
      </c>
      <c r="H22" s="58" t="e">
        <f>'branches '!#REF!</f>
        <v>#REF!</v>
      </c>
      <c r="I22" s="55" t="e">
        <f>'branches '!#REF!</f>
        <v>#REF!</v>
      </c>
      <c r="J22" s="58">
        <f>'branches '!AK21</f>
        <v>19.132672589358901</v>
      </c>
      <c r="K22" s="58">
        <f>'branches '!AL21</f>
        <v>0</v>
      </c>
      <c r="L22" s="55">
        <f>'branches '!AM21</f>
        <v>0</v>
      </c>
    </row>
    <row r="23" spans="1:12" x14ac:dyDescent="0.25">
      <c r="A23" s="54">
        <v>73001</v>
      </c>
      <c r="B23" s="54" t="s">
        <v>221</v>
      </c>
      <c r="C23" s="54" t="s">
        <v>258</v>
      </c>
      <c r="D23" s="58">
        <f>'branches '!M22</f>
        <v>13326</v>
      </c>
      <c r="E23" s="58">
        <f>'branches '!N22</f>
        <v>4388</v>
      </c>
      <c r="F23" s="55">
        <f>'branches '!O22</f>
        <v>0.32928110460753413</v>
      </c>
      <c r="G23" s="58" t="e">
        <f>'branches '!#REF!</f>
        <v>#REF!</v>
      </c>
      <c r="H23" s="58" t="e">
        <f>'branches '!#REF!</f>
        <v>#REF!</v>
      </c>
      <c r="I23" s="55" t="e">
        <f>'branches '!#REF!</f>
        <v>#REF!</v>
      </c>
      <c r="J23" s="58">
        <f>'branches '!AK22</f>
        <v>19.132614055849587</v>
      </c>
      <c r="K23" s="58">
        <f>'branches '!AL22</f>
        <v>0</v>
      </c>
      <c r="L23" s="55">
        <f>'branches '!AM22</f>
        <v>0</v>
      </c>
    </row>
    <row r="24" spans="1:12" x14ac:dyDescent="0.25">
      <c r="A24" s="54">
        <v>73004</v>
      </c>
      <c r="B24" s="54" t="s">
        <v>221</v>
      </c>
      <c r="C24" s="54" t="s">
        <v>270</v>
      </c>
      <c r="D24" s="58">
        <f>'branches '!M23</f>
        <v>5277</v>
      </c>
      <c r="E24" s="58">
        <f>'branches '!N23</f>
        <v>120</v>
      </c>
      <c r="F24" s="55">
        <f>'branches '!O23</f>
        <v>2.2740193291642979E-2</v>
      </c>
      <c r="G24" s="58" t="e">
        <f>'branches '!#REF!</f>
        <v>#REF!</v>
      </c>
      <c r="H24" s="58" t="e">
        <f>'branches '!#REF!</f>
        <v>#REF!</v>
      </c>
      <c r="I24" s="55" t="e">
        <f>'branches '!#REF!</f>
        <v>#REF!</v>
      </c>
      <c r="J24" s="58">
        <f>'branches '!AK23</f>
        <v>11.141912031673604</v>
      </c>
      <c r="K24" s="58">
        <f>'branches '!AL23</f>
        <v>0</v>
      </c>
      <c r="L24" s="55">
        <f>'branches '!AM23</f>
        <v>0</v>
      </c>
    </row>
    <row r="25" spans="1:12" x14ac:dyDescent="0.25">
      <c r="A25" s="54">
        <v>73030</v>
      </c>
      <c r="B25" s="54" t="s">
        <v>221</v>
      </c>
      <c r="C25" s="54" t="s">
        <v>278</v>
      </c>
      <c r="D25" s="58">
        <f>'branches '!M24</f>
        <v>10830</v>
      </c>
      <c r="E25" s="58">
        <f>'branches '!N24</f>
        <v>1777</v>
      </c>
      <c r="F25" s="58" t="s">
        <v>1165</v>
      </c>
      <c r="G25" s="58" t="e">
        <f>'branches '!#REF!</f>
        <v>#REF!</v>
      </c>
      <c r="H25" s="58" t="e">
        <f>'branches '!#REF!</f>
        <v>#REF!</v>
      </c>
      <c r="I25" s="58" t="s">
        <v>1165</v>
      </c>
      <c r="J25" s="58">
        <f>'branches '!AK24</f>
        <v>18.697271080317162</v>
      </c>
      <c r="K25" s="58">
        <f>'branches '!AL24</f>
        <v>1</v>
      </c>
      <c r="L25" s="55">
        <f>'branches '!AM24</f>
        <v>5.3483740793206544E-2</v>
      </c>
    </row>
    <row r="26" spans="1:12" x14ac:dyDescent="0.25">
      <c r="A26" s="54">
        <v>13014</v>
      </c>
      <c r="B26" s="54" t="s">
        <v>221</v>
      </c>
      <c r="C26" s="54" t="s">
        <v>533</v>
      </c>
      <c r="D26" s="58">
        <f>'branches '!M25</f>
        <v>10276</v>
      </c>
      <c r="E26" s="58">
        <f>'branches '!N25</f>
        <v>350</v>
      </c>
      <c r="F26" s="55">
        <f>'branches '!O25</f>
        <v>3.4059945504087197E-2</v>
      </c>
      <c r="G26" s="58" t="e">
        <f>'branches '!#REF!</f>
        <v>#REF!</v>
      </c>
      <c r="H26" s="58" t="e">
        <f>'branches '!#REF!</f>
        <v>#REF!</v>
      </c>
      <c r="I26" s="55" t="e">
        <f>'branches '!#REF!</f>
        <v>#REF!</v>
      </c>
      <c r="J26" s="58">
        <f>'branches '!AK25</f>
        <v>23.107302739149279</v>
      </c>
      <c r="K26" s="58">
        <f>'branches '!AL25</f>
        <v>0</v>
      </c>
      <c r="L26" s="55">
        <f>'branches '!AM25</f>
        <v>0</v>
      </c>
    </row>
    <row r="27" spans="1:12" x14ac:dyDescent="0.25">
      <c r="A27" s="54">
        <v>13016</v>
      </c>
      <c r="B27" s="54" t="s">
        <v>221</v>
      </c>
      <c r="C27" s="54" t="s">
        <v>528</v>
      </c>
      <c r="D27" s="58">
        <f>'branches '!M26</f>
        <v>16751</v>
      </c>
      <c r="E27" s="58">
        <f>'branches '!N26</f>
        <v>2603</v>
      </c>
      <c r="F27" s="55">
        <f>'branches '!O26</f>
        <v>0.155393707838338</v>
      </c>
      <c r="G27" s="58" t="e">
        <f>'branches '!#REF!</f>
        <v>#REF!</v>
      </c>
      <c r="H27" s="58" t="e">
        <f>'branches '!#REF!</f>
        <v>#REF!</v>
      </c>
      <c r="I27" s="55" t="e">
        <f>'branches '!#REF!</f>
        <v>#REF!</v>
      </c>
      <c r="J27" s="58">
        <f>'branches '!AK26</f>
        <v>40.148660840937062</v>
      </c>
      <c r="K27" s="58">
        <f>'branches '!AL26</f>
        <v>3</v>
      </c>
      <c r="L27" s="55">
        <f>'branches '!AM26</f>
        <v>7.4722293027046346E-2</v>
      </c>
    </row>
    <row r="28" spans="1:12" x14ac:dyDescent="0.25">
      <c r="A28" s="54">
        <v>13012</v>
      </c>
      <c r="B28" s="54" t="s">
        <v>221</v>
      </c>
      <c r="C28" s="54" t="s">
        <v>307</v>
      </c>
      <c r="D28" s="58">
        <f>'branches '!M27</f>
        <v>3135</v>
      </c>
      <c r="E28" s="58">
        <f>'branches '!N27</f>
        <v>2380</v>
      </c>
      <c r="F28" s="55">
        <f>'branches '!O27</f>
        <v>0.75917065390749605</v>
      </c>
      <c r="G28" s="58" t="e">
        <f>'branches '!#REF!</f>
        <v>#REF!</v>
      </c>
      <c r="H28" s="58" t="e">
        <f>'branches '!#REF!</f>
        <v>#REF!</v>
      </c>
      <c r="I28" s="55" t="e">
        <f>'branches '!#REF!</f>
        <v>#REF!</v>
      </c>
      <c r="J28" s="58">
        <f>'branches '!AK27</f>
        <v>10.446972942327896</v>
      </c>
      <c r="K28" s="58">
        <f>'branches '!AL27</f>
        <v>1</v>
      </c>
      <c r="L28" s="55">
        <f>'branches '!AM27</f>
        <v>9.5721507609951767E-2</v>
      </c>
    </row>
    <row r="29" spans="1:12" x14ac:dyDescent="0.25">
      <c r="A29" s="298" t="s">
        <v>27</v>
      </c>
      <c r="B29" s="299"/>
      <c r="C29" s="300"/>
      <c r="D29" s="73">
        <f>SUM(D20:D28)</f>
        <v>74832</v>
      </c>
      <c r="E29" s="73">
        <f>SUM(E20:E28)</f>
        <v>12671</v>
      </c>
      <c r="F29" s="74">
        <f>E29/D29</f>
        <v>0.16932595680992088</v>
      </c>
      <c r="G29" s="52" t="e">
        <f>SUM(G20:G28)</f>
        <v>#REF!</v>
      </c>
      <c r="H29" s="52" t="e">
        <f>SUM(H20:H28)</f>
        <v>#REF!</v>
      </c>
      <c r="I29" s="53" t="e">
        <f>H29/G29</f>
        <v>#REF!</v>
      </c>
      <c r="J29" s="73">
        <f>SUM(J20:J28)</f>
        <v>152.84545059900714</v>
      </c>
      <c r="K29" s="73">
        <f>SUM(K20:K28)</f>
        <v>6</v>
      </c>
      <c r="L29" s="74">
        <f>K29/J29</f>
        <v>3.9255339144775143E-2</v>
      </c>
    </row>
    <row r="31" spans="1:12" x14ac:dyDescent="0.25">
      <c r="A31" s="302" t="s">
        <v>508</v>
      </c>
      <c r="B31" s="302" t="s">
        <v>18</v>
      </c>
      <c r="C31" s="302" t="s">
        <v>19</v>
      </c>
      <c r="D31" s="285" t="s">
        <v>1154</v>
      </c>
      <c r="E31" s="286"/>
      <c r="F31" s="286"/>
      <c r="G31" s="307" t="s">
        <v>466</v>
      </c>
      <c r="H31" s="307"/>
      <c r="I31" s="307"/>
      <c r="J31" s="286" t="s">
        <v>523</v>
      </c>
      <c r="K31" s="286"/>
      <c r="L31" s="286"/>
    </row>
    <row r="32" spans="1:12" x14ac:dyDescent="0.25">
      <c r="A32" s="302"/>
      <c r="B32" s="302"/>
      <c r="C32" s="302"/>
      <c r="D32" s="73" t="s">
        <v>24</v>
      </c>
      <c r="E32" s="50" t="s">
        <v>29</v>
      </c>
      <c r="F32" s="51" t="s">
        <v>28</v>
      </c>
      <c r="G32" s="52" t="s">
        <v>24</v>
      </c>
      <c r="H32" s="52" t="s">
        <v>29</v>
      </c>
      <c r="I32" s="53" t="s">
        <v>28</v>
      </c>
      <c r="J32" s="50" t="s">
        <v>24</v>
      </c>
      <c r="K32" s="50" t="s">
        <v>29</v>
      </c>
      <c r="L32" s="51" t="s">
        <v>28</v>
      </c>
    </row>
    <row r="33" spans="1:12" x14ac:dyDescent="0.25">
      <c r="A33" s="54">
        <v>23012</v>
      </c>
      <c r="B33" s="54" t="s">
        <v>221</v>
      </c>
      <c r="C33" s="54" t="s">
        <v>513</v>
      </c>
      <c r="D33" s="58">
        <f>'branches '!P19</f>
        <v>61</v>
      </c>
      <c r="E33" s="58">
        <f>'branches '!Q19</f>
        <v>31</v>
      </c>
      <c r="F33" s="55">
        <f>'branches '!R19</f>
        <v>0.50819672131147542</v>
      </c>
      <c r="G33" s="58">
        <f>'branches '!S19</f>
        <v>12</v>
      </c>
      <c r="H33" s="58">
        <f>'branches '!T19</f>
        <v>2</v>
      </c>
      <c r="I33" s="55">
        <f>'branches '!U19</f>
        <v>0.16666666666666666</v>
      </c>
      <c r="J33" s="58" t="e">
        <f>'branches '!#REF!</f>
        <v>#REF!</v>
      </c>
      <c r="K33" s="58" t="e">
        <f>'branches '!#REF!</f>
        <v>#REF!</v>
      </c>
      <c r="L33" s="55" t="e">
        <f>'branches '!#REF!</f>
        <v>#REF!</v>
      </c>
    </row>
    <row r="34" spans="1:12" x14ac:dyDescent="0.25">
      <c r="A34" s="54">
        <v>23015</v>
      </c>
      <c r="B34" s="54" t="s">
        <v>221</v>
      </c>
      <c r="C34" s="54" t="s">
        <v>514</v>
      </c>
      <c r="D34" s="58">
        <f>'branches '!P20</f>
        <v>27</v>
      </c>
      <c r="E34" s="58">
        <f>'branches '!Q20</f>
        <v>26</v>
      </c>
      <c r="F34" s="55">
        <f>'branches '!R20</f>
        <v>0.96296296296296291</v>
      </c>
      <c r="G34" s="58">
        <f>'branches '!S20</f>
        <v>3</v>
      </c>
      <c r="H34" s="58">
        <f>'branches '!T20</f>
        <v>1</v>
      </c>
      <c r="I34" s="55">
        <f>'branches '!U20</f>
        <v>0.33333333333333331</v>
      </c>
      <c r="J34" s="58" t="e">
        <f>'branches '!#REF!</f>
        <v>#REF!</v>
      </c>
      <c r="K34" s="58" t="e">
        <f>'branches '!#REF!</f>
        <v>#REF!</v>
      </c>
      <c r="L34" s="55" t="e">
        <f>'branches '!#REF!</f>
        <v>#REF!</v>
      </c>
    </row>
    <row r="35" spans="1:12" x14ac:dyDescent="0.25">
      <c r="A35" s="54">
        <v>33027</v>
      </c>
      <c r="B35" s="54" t="s">
        <v>221</v>
      </c>
      <c r="C35" s="54" t="s">
        <v>515</v>
      </c>
      <c r="D35" s="58">
        <f>'branches '!P21</f>
        <v>152</v>
      </c>
      <c r="E35" s="58">
        <f>'branches '!Q21</f>
        <v>69</v>
      </c>
      <c r="F35" s="55">
        <f>'branches '!R21</f>
        <v>0.45394736842105265</v>
      </c>
      <c r="G35" s="58">
        <f>'branches '!S21</f>
        <v>18</v>
      </c>
      <c r="H35" s="58">
        <f>'branches '!T21</f>
        <v>11</v>
      </c>
      <c r="I35" s="55">
        <f>'branches '!U21</f>
        <v>0.61111111111111116</v>
      </c>
      <c r="J35" s="58" t="e">
        <f>'branches '!#REF!</f>
        <v>#REF!</v>
      </c>
      <c r="K35" s="58" t="e">
        <f>'branches '!#REF!</f>
        <v>#REF!</v>
      </c>
      <c r="L35" s="55" t="e">
        <f>'branches '!#REF!</f>
        <v>#REF!</v>
      </c>
    </row>
    <row r="36" spans="1:12" x14ac:dyDescent="0.25">
      <c r="A36" s="54">
        <v>73001</v>
      </c>
      <c r="B36" s="54" t="s">
        <v>221</v>
      </c>
      <c r="C36" s="54" t="s">
        <v>258</v>
      </c>
      <c r="D36" s="58">
        <f>'branches '!P22</f>
        <v>149</v>
      </c>
      <c r="E36" s="58">
        <f>'branches '!Q22</f>
        <v>80</v>
      </c>
      <c r="F36" s="55">
        <f>'branches '!R22</f>
        <v>0.53691275167785235</v>
      </c>
      <c r="G36" s="58">
        <f>'branches '!S22</f>
        <v>24</v>
      </c>
      <c r="H36" s="58">
        <f>'branches '!T22</f>
        <v>10</v>
      </c>
      <c r="I36" s="55">
        <f>'branches '!U22</f>
        <v>0.41666666666666669</v>
      </c>
      <c r="J36" s="58" t="e">
        <f>'branches '!#REF!</f>
        <v>#REF!</v>
      </c>
      <c r="K36" s="58" t="e">
        <f>'branches '!#REF!</f>
        <v>#REF!</v>
      </c>
      <c r="L36" s="55" t="e">
        <f>'branches '!#REF!</f>
        <v>#REF!</v>
      </c>
    </row>
    <row r="37" spans="1:12" x14ac:dyDescent="0.25">
      <c r="A37" s="54">
        <v>73004</v>
      </c>
      <c r="B37" s="54" t="s">
        <v>221</v>
      </c>
      <c r="C37" s="54" t="s">
        <v>270</v>
      </c>
      <c r="D37" s="58">
        <f>'branches '!P23</f>
        <v>55</v>
      </c>
      <c r="E37" s="58">
        <f>'branches '!Q23</f>
        <v>31</v>
      </c>
      <c r="F37" s="55">
        <f>'branches '!R23</f>
        <v>0.5636363636363636</v>
      </c>
      <c r="G37" s="58">
        <f>'branches '!S23</f>
        <v>6</v>
      </c>
      <c r="H37" s="58">
        <f>'branches '!T23</f>
        <v>7</v>
      </c>
      <c r="I37" s="55">
        <f>'branches '!U23</f>
        <v>1.1666666666666667</v>
      </c>
      <c r="J37" s="58" t="e">
        <f>'branches '!#REF!</f>
        <v>#REF!</v>
      </c>
      <c r="K37" s="58" t="e">
        <f>'branches '!#REF!</f>
        <v>#REF!</v>
      </c>
      <c r="L37" s="55" t="e">
        <f>'branches '!#REF!</f>
        <v>#REF!</v>
      </c>
    </row>
    <row r="38" spans="1:12" x14ac:dyDescent="0.25">
      <c r="A38" s="54">
        <v>73030</v>
      </c>
      <c r="B38" s="54" t="s">
        <v>221</v>
      </c>
      <c r="C38" s="54" t="s">
        <v>278</v>
      </c>
      <c r="D38" s="58">
        <f>'branches '!P24</f>
        <v>114</v>
      </c>
      <c r="E38" s="58">
        <f>'branches '!Q24</f>
        <v>66</v>
      </c>
      <c r="F38" s="55">
        <f>'branches '!R24</f>
        <v>0.57894736842105265</v>
      </c>
      <c r="G38" s="58">
        <f>'branches '!S24</f>
        <v>18</v>
      </c>
      <c r="H38" s="58">
        <f>'branches '!T24</f>
        <v>11</v>
      </c>
      <c r="I38" s="55">
        <f>'branches '!U24</f>
        <v>0.61111111111111116</v>
      </c>
      <c r="J38" s="58" t="e">
        <f>'branches '!#REF!</f>
        <v>#REF!</v>
      </c>
      <c r="K38" s="58" t="e">
        <f>'branches '!#REF!</f>
        <v>#REF!</v>
      </c>
      <c r="L38" s="55" t="e">
        <f>'branches '!#REF!</f>
        <v>#REF!</v>
      </c>
    </row>
    <row r="39" spans="1:12" x14ac:dyDescent="0.25">
      <c r="A39" s="54">
        <v>13014</v>
      </c>
      <c r="B39" s="54" t="s">
        <v>221</v>
      </c>
      <c r="C39" s="54" t="s">
        <v>533</v>
      </c>
      <c r="D39" s="58">
        <f>'branches '!P25</f>
        <v>149</v>
      </c>
      <c r="E39" s="58">
        <f>'branches '!Q25</f>
        <v>81</v>
      </c>
      <c r="F39" s="55">
        <f>'branches '!R25</f>
        <v>0.5436241610738255</v>
      </c>
      <c r="G39" s="58">
        <f>'branches '!S25</f>
        <v>21</v>
      </c>
      <c r="H39" s="58">
        <f>'branches '!T25</f>
        <v>15</v>
      </c>
      <c r="I39" s="55">
        <f>'branches '!U25</f>
        <v>0.7142857142857143</v>
      </c>
      <c r="J39" s="58" t="e">
        <f>'branches '!#REF!</f>
        <v>#REF!</v>
      </c>
      <c r="K39" s="58" t="e">
        <f>'branches '!#REF!</f>
        <v>#REF!</v>
      </c>
      <c r="L39" s="55" t="e">
        <f>'branches '!#REF!</f>
        <v>#REF!</v>
      </c>
    </row>
    <row r="40" spans="1:12" x14ac:dyDescent="0.25">
      <c r="A40" s="54">
        <v>13016</v>
      </c>
      <c r="B40" s="54" t="s">
        <v>221</v>
      </c>
      <c r="C40" s="54" t="s">
        <v>528</v>
      </c>
      <c r="D40" s="58">
        <f>'branches '!P26</f>
        <v>247</v>
      </c>
      <c r="E40" s="58">
        <f>'branches '!Q26</f>
        <v>120</v>
      </c>
      <c r="F40" s="55">
        <f>'branches '!R26</f>
        <v>0.48582995951417002</v>
      </c>
      <c r="G40" s="58">
        <f>'branches '!S26</f>
        <v>35</v>
      </c>
      <c r="H40" s="58">
        <f>'branches '!T26</f>
        <v>20</v>
      </c>
      <c r="I40" s="55">
        <f>'branches '!U26</f>
        <v>0.5714285714285714</v>
      </c>
      <c r="J40" s="58" t="e">
        <f>'branches '!#REF!</f>
        <v>#REF!</v>
      </c>
      <c r="K40" s="58" t="e">
        <f>'branches '!#REF!</f>
        <v>#REF!</v>
      </c>
      <c r="L40" s="55" t="e">
        <f>'branches '!#REF!</f>
        <v>#REF!</v>
      </c>
    </row>
    <row r="41" spans="1:12" x14ac:dyDescent="0.25">
      <c r="A41" s="54">
        <v>13012</v>
      </c>
      <c r="B41" s="54" t="s">
        <v>221</v>
      </c>
      <c r="C41" s="54" t="s">
        <v>307</v>
      </c>
      <c r="D41" s="58">
        <f>'branches '!P27</f>
        <v>51</v>
      </c>
      <c r="E41" s="58">
        <f>'branches '!Q27</f>
        <v>31</v>
      </c>
      <c r="F41" s="55">
        <f>'branches '!R27</f>
        <v>0.60784313725490191</v>
      </c>
      <c r="G41" s="58">
        <f>'branches '!S27</f>
        <v>6</v>
      </c>
      <c r="H41" s="58">
        <f>'branches '!T27</f>
        <v>3</v>
      </c>
      <c r="I41" s="55">
        <f>'branches '!U27</f>
        <v>0.5</v>
      </c>
      <c r="J41" s="58" t="e">
        <f>'branches '!#REF!</f>
        <v>#REF!</v>
      </c>
      <c r="K41" s="58" t="e">
        <f>'branches '!#REF!</f>
        <v>#REF!</v>
      </c>
      <c r="L41" s="55" t="e">
        <f>'branches '!#REF!</f>
        <v>#REF!</v>
      </c>
    </row>
    <row r="42" spans="1:12" x14ac:dyDescent="0.25">
      <c r="A42" s="298" t="s">
        <v>27</v>
      </c>
      <c r="B42" s="299"/>
      <c r="C42" s="300"/>
      <c r="D42" s="73">
        <f>SUM(D33:D41)</f>
        <v>1005</v>
      </c>
      <c r="E42" s="73">
        <f>SUM(E33:E41)</f>
        <v>535</v>
      </c>
      <c r="F42" s="74">
        <f>E42/D42</f>
        <v>0.53233830845771146</v>
      </c>
      <c r="G42" s="52">
        <f>SUM(G33:G41)</f>
        <v>143</v>
      </c>
      <c r="H42" s="52">
        <f>SUM(H33:H41)</f>
        <v>80</v>
      </c>
      <c r="I42" s="53">
        <f>H42/G42</f>
        <v>0.55944055944055948</v>
      </c>
      <c r="J42" s="73" t="e">
        <f>SUM(J33:J41)</f>
        <v>#REF!</v>
      </c>
      <c r="K42" s="73" t="e">
        <f>SUM(K33:K41)</f>
        <v>#REF!</v>
      </c>
      <c r="L42" s="74" t="e">
        <f>K42/J42</f>
        <v>#REF!</v>
      </c>
    </row>
    <row r="44" spans="1:12" x14ac:dyDescent="0.25">
      <c r="A44" s="302" t="s">
        <v>508</v>
      </c>
      <c r="B44" s="302" t="s">
        <v>18</v>
      </c>
      <c r="C44" s="302" t="s">
        <v>19</v>
      </c>
      <c r="D44" s="287" t="s">
        <v>1151</v>
      </c>
      <c r="E44" s="287"/>
      <c r="F44" s="287"/>
      <c r="G44" s="287"/>
      <c r="H44" s="287"/>
      <c r="I44" s="297" t="s">
        <v>1150</v>
      </c>
      <c r="J44" s="297"/>
      <c r="K44" s="297"/>
    </row>
    <row r="45" spans="1:12" x14ac:dyDescent="0.25">
      <c r="A45" s="302"/>
      <c r="B45" s="302"/>
      <c r="C45" s="302"/>
      <c r="D45" s="50" t="s">
        <v>24</v>
      </c>
      <c r="E45" s="50" t="s">
        <v>25</v>
      </c>
      <c r="F45" s="50" t="s">
        <v>26</v>
      </c>
      <c r="G45" s="50" t="s">
        <v>27</v>
      </c>
      <c r="H45" s="51" t="s">
        <v>28</v>
      </c>
      <c r="I45" s="52" t="s">
        <v>24</v>
      </c>
      <c r="J45" s="52" t="s">
        <v>29</v>
      </c>
      <c r="K45" s="53" t="s">
        <v>28</v>
      </c>
    </row>
    <row r="46" spans="1:12" x14ac:dyDescent="0.25">
      <c r="A46" s="54">
        <v>23012</v>
      </c>
      <c r="B46" s="54" t="s">
        <v>221</v>
      </c>
      <c r="C46" s="54" t="s">
        <v>513</v>
      </c>
      <c r="D46" s="58">
        <f>'branches '!AE19</f>
        <v>20.610435016254964</v>
      </c>
      <c r="E46" s="58">
        <f>'branches '!AF19</f>
        <v>6</v>
      </c>
      <c r="F46" s="58" t="e">
        <f>'branches '!#REF!</f>
        <v>#REF!</v>
      </c>
      <c r="G46" s="58" t="e">
        <f>'branches '!#REF!</f>
        <v>#REF!</v>
      </c>
      <c r="H46" s="55">
        <f>'branches '!AG19</f>
        <v>0.29111467056701817</v>
      </c>
      <c r="I46" s="58">
        <f>'branches '!AH19</f>
        <v>12</v>
      </c>
      <c r="J46" s="58">
        <f>'branches '!AI19</f>
        <v>8</v>
      </c>
      <c r="K46" s="55">
        <f>'branches '!AJ19</f>
        <v>0.66666666666666663</v>
      </c>
    </row>
    <row r="47" spans="1:12" x14ac:dyDescent="0.25">
      <c r="A47" s="54">
        <v>23015</v>
      </c>
      <c r="B47" s="54" t="s">
        <v>221</v>
      </c>
      <c r="C47" s="54" t="s">
        <v>514</v>
      </c>
      <c r="D47" s="58">
        <f>'branches '!AE20</f>
        <v>10.75327044326346</v>
      </c>
      <c r="E47" s="58">
        <f>'branches '!AF20</f>
        <v>7</v>
      </c>
      <c r="F47" s="58" t="e">
        <f>'branches '!#REF!</f>
        <v>#REF!</v>
      </c>
      <c r="G47" s="58" t="e">
        <f>'branches '!#REF!</f>
        <v>#REF!</v>
      </c>
      <c r="H47" s="55">
        <f>'branches '!AG20</f>
        <v>0.65096474946236005</v>
      </c>
      <c r="I47" s="58">
        <f>'branches '!AH20</f>
        <v>27</v>
      </c>
      <c r="J47" s="58">
        <f>'branches '!AI20</f>
        <v>32</v>
      </c>
      <c r="K47" s="55">
        <f>'branches '!AJ20</f>
        <v>1.1851851851851851</v>
      </c>
    </row>
    <row r="48" spans="1:12" x14ac:dyDescent="0.25">
      <c r="A48" s="54">
        <v>33027</v>
      </c>
      <c r="B48" s="54" t="s">
        <v>221</v>
      </c>
      <c r="C48" s="54" t="s">
        <v>515</v>
      </c>
      <c r="D48" s="58">
        <f>'branches '!AE21</f>
        <v>62.727410919036849</v>
      </c>
      <c r="E48" s="58">
        <f>'branches '!AF21</f>
        <v>20</v>
      </c>
      <c r="F48" s="58" t="e">
        <f>'branches '!#REF!</f>
        <v>#REF!</v>
      </c>
      <c r="G48" s="58" t="e">
        <f>'branches '!#REF!</f>
        <v>#REF!</v>
      </c>
      <c r="H48" s="55">
        <f>'branches '!AG21</f>
        <v>0.31883987728768659</v>
      </c>
      <c r="I48" s="58">
        <f>'branches '!AH21</f>
        <v>45</v>
      </c>
      <c r="J48" s="58">
        <f>'branches '!AI21</f>
        <v>23</v>
      </c>
      <c r="K48" s="55">
        <f>'branches '!AJ21</f>
        <v>0.51111111111111107</v>
      </c>
    </row>
    <row r="49" spans="1:13" x14ac:dyDescent="0.25">
      <c r="A49" s="54">
        <v>73001</v>
      </c>
      <c r="B49" s="54" t="s">
        <v>221</v>
      </c>
      <c r="C49" s="54" t="s">
        <v>258</v>
      </c>
      <c r="D49" s="58">
        <f>'branches '!AE22</f>
        <v>60.935199178492937</v>
      </c>
      <c r="E49" s="58">
        <f>'branches '!AF22</f>
        <v>13</v>
      </c>
      <c r="F49" s="58" t="e">
        <f>'branches '!#REF!</f>
        <v>#REF!</v>
      </c>
      <c r="G49" s="58" t="e">
        <f>'branches '!#REF!</f>
        <v>#REF!</v>
      </c>
      <c r="H49" s="55">
        <f>'branches '!AG22</f>
        <v>0.21334138847926087</v>
      </c>
      <c r="I49" s="58">
        <f>'branches '!AH22</f>
        <v>44</v>
      </c>
      <c r="J49" s="58">
        <f>'branches '!AI22</f>
        <v>23</v>
      </c>
      <c r="K49" s="55">
        <f>'branches '!AJ22</f>
        <v>0.52272727272727271</v>
      </c>
    </row>
    <row r="50" spans="1:13" x14ac:dyDescent="0.25">
      <c r="A50" s="54">
        <v>73004</v>
      </c>
      <c r="B50" s="54" t="s">
        <v>221</v>
      </c>
      <c r="C50" s="54" t="s">
        <v>270</v>
      </c>
      <c r="D50" s="58">
        <f>'branches '!AE23</f>
        <v>32.259811329790381</v>
      </c>
      <c r="E50" s="58">
        <f>'branches '!AF23</f>
        <v>7</v>
      </c>
      <c r="F50" s="58" t="e">
        <f>'branches '!#REF!</f>
        <v>#REF!</v>
      </c>
      <c r="G50" s="58" t="e">
        <f>'branches '!#REF!</f>
        <v>#REF!</v>
      </c>
      <c r="H50" s="55">
        <f>'branches '!AG23</f>
        <v>0.21698824982078668</v>
      </c>
      <c r="I50" s="58">
        <f>'branches '!AH23</f>
        <v>22</v>
      </c>
      <c r="J50" s="58">
        <f>'branches '!AI23</f>
        <v>11</v>
      </c>
      <c r="K50" s="55">
        <f>'branches '!AJ23</f>
        <v>0.5</v>
      </c>
    </row>
    <row r="51" spans="1:13" x14ac:dyDescent="0.25">
      <c r="A51" s="54">
        <v>73030</v>
      </c>
      <c r="B51" s="54" t="s">
        <v>221</v>
      </c>
      <c r="C51" s="54" t="s">
        <v>278</v>
      </c>
      <c r="D51" s="58">
        <f>'branches '!AE24</f>
        <v>52.870246346045342</v>
      </c>
      <c r="E51" s="58">
        <f>'branches '!AF24</f>
        <v>19</v>
      </c>
      <c r="F51" s="58" t="e">
        <f>'branches '!#REF!</f>
        <v>#REF!</v>
      </c>
      <c r="G51" s="58" t="e">
        <f>'branches '!#REF!</f>
        <v>#REF!</v>
      </c>
      <c r="H51" s="55">
        <f>'branches '!AG24</f>
        <v>0.35937037016323997</v>
      </c>
      <c r="I51" s="58">
        <f>'branches '!AH24</f>
        <v>37</v>
      </c>
      <c r="J51" s="58">
        <f>'branches '!AI24</f>
        <v>21</v>
      </c>
      <c r="K51" s="55">
        <f>'branches '!AJ24</f>
        <v>0.56756756756756754</v>
      </c>
    </row>
    <row r="52" spans="1:13" x14ac:dyDescent="0.25">
      <c r="A52" s="54">
        <v>13014</v>
      </c>
      <c r="B52" s="54" t="s">
        <v>221</v>
      </c>
      <c r="C52" s="54" t="s">
        <v>533</v>
      </c>
      <c r="D52" s="58">
        <f>'branches '!AE25</f>
        <v>58.246881567677072</v>
      </c>
      <c r="E52" s="58">
        <f>'branches '!AF25</f>
        <v>25</v>
      </c>
      <c r="F52" s="58" t="e">
        <f>'branches '!#REF!</f>
        <v>#REF!</v>
      </c>
      <c r="G52" s="58" t="e">
        <f>'branches '!#REF!</f>
        <v>#REF!</v>
      </c>
      <c r="H52" s="55">
        <f>'branches '!AG25</f>
        <v>0.42920752711803967</v>
      </c>
      <c r="I52" s="58">
        <f>'branches '!AH25</f>
        <v>56</v>
      </c>
      <c r="J52" s="58">
        <f>'branches '!AI25</f>
        <v>35</v>
      </c>
      <c r="K52" s="55">
        <f>'branches '!AJ25</f>
        <v>0.625</v>
      </c>
    </row>
    <row r="53" spans="1:13" x14ac:dyDescent="0.25">
      <c r="A53" s="54">
        <v>13016</v>
      </c>
      <c r="B53" s="54" t="s">
        <v>221</v>
      </c>
      <c r="C53" s="54" t="s">
        <v>528</v>
      </c>
      <c r="D53" s="58">
        <f>'branches '!AE26</f>
        <v>106.63659856236265</v>
      </c>
      <c r="E53" s="58">
        <f>'branches '!AF26</f>
        <v>57</v>
      </c>
      <c r="F53" s="58" t="e">
        <f>'branches '!#REF!</f>
        <v>#REF!</v>
      </c>
      <c r="G53" s="58" t="e">
        <f>'branches '!#REF!</f>
        <v>#REF!</v>
      </c>
      <c r="H53" s="55">
        <f>'branches '!AG26</f>
        <v>0.53452567662935691</v>
      </c>
      <c r="I53" s="58">
        <f>'branches '!AH26</f>
        <v>59</v>
      </c>
      <c r="J53" s="58">
        <f>'branches '!AI26</f>
        <v>26</v>
      </c>
      <c r="K53" s="55">
        <f>'branches '!AJ26</f>
        <v>0.44067796610169491</v>
      </c>
    </row>
    <row r="54" spans="1:13" x14ac:dyDescent="0.25">
      <c r="A54" s="54">
        <v>13012</v>
      </c>
      <c r="B54" s="54" t="s">
        <v>221</v>
      </c>
      <c r="C54" s="54" t="s">
        <v>307</v>
      </c>
      <c r="D54" s="58">
        <f>'branches '!AE27</f>
        <v>27.779281978430603</v>
      </c>
      <c r="E54" s="58">
        <f>'branches '!AF27</f>
        <v>16</v>
      </c>
      <c r="F54" s="58" t="e">
        <f>'branches '!#REF!</f>
        <v>#REF!</v>
      </c>
      <c r="G54" s="58" t="e">
        <f>'branches '!#REF!</f>
        <v>#REF!</v>
      </c>
      <c r="H54" s="55">
        <f>'branches '!AG27</f>
        <v>0.57596881058420801</v>
      </c>
      <c r="I54" s="58">
        <f>'branches '!AH27</f>
        <v>21</v>
      </c>
      <c r="J54" s="58">
        <f>'branches '!AI27</f>
        <v>12</v>
      </c>
      <c r="K54" s="55">
        <f>'branches '!AJ27</f>
        <v>0.5714285714285714</v>
      </c>
    </row>
    <row r="55" spans="1:13" x14ac:dyDescent="0.25">
      <c r="A55" s="298" t="s">
        <v>27</v>
      </c>
      <c r="B55" s="299"/>
      <c r="C55" s="300"/>
      <c r="D55" s="73">
        <f>SUM(D46:D54)</f>
        <v>432.81913534135424</v>
      </c>
      <c r="E55" s="73">
        <f>SUM(E46:E54)</f>
        <v>170</v>
      </c>
      <c r="F55" s="73" t="e">
        <f>SUM(F46:F54)</f>
        <v>#REF!</v>
      </c>
      <c r="G55" s="73" t="e">
        <f>SUM(G46:G54)</f>
        <v>#REF!</v>
      </c>
      <c r="H55" s="74" t="e">
        <f>G55/D55</f>
        <v>#REF!</v>
      </c>
      <c r="I55" s="52">
        <f>SUM(I46:I54)</f>
        <v>323</v>
      </c>
      <c r="J55" s="52">
        <f>SUM(J46:J54)</f>
        <v>191</v>
      </c>
      <c r="K55" s="53">
        <f>J55/I55</f>
        <v>0.59133126934984526</v>
      </c>
    </row>
    <row r="57" spans="1:13" x14ac:dyDescent="0.25">
      <c r="A57" s="302" t="s">
        <v>508</v>
      </c>
      <c r="B57" s="302" t="s">
        <v>18</v>
      </c>
      <c r="C57" s="302" t="s">
        <v>19</v>
      </c>
      <c r="D57" s="287" t="s">
        <v>1153</v>
      </c>
      <c r="E57" s="287"/>
      <c r="F57" s="287"/>
      <c r="G57" s="287"/>
      <c r="H57" s="287"/>
      <c r="I57" s="297" t="s">
        <v>501</v>
      </c>
      <c r="J57" s="297"/>
      <c r="K57" s="297"/>
      <c r="L57" s="297"/>
      <c r="M57" s="297"/>
    </row>
    <row r="58" spans="1:13" x14ac:dyDescent="0.25">
      <c r="A58" s="302"/>
      <c r="B58" s="302"/>
      <c r="C58" s="302"/>
      <c r="D58" s="50" t="s">
        <v>24</v>
      </c>
      <c r="E58" s="50" t="s">
        <v>25</v>
      </c>
      <c r="F58" s="50" t="s">
        <v>26</v>
      </c>
      <c r="G58" s="50" t="s">
        <v>27</v>
      </c>
      <c r="H58" s="51" t="s">
        <v>28</v>
      </c>
      <c r="I58" s="52" t="s">
        <v>24</v>
      </c>
      <c r="J58" s="52" t="s">
        <v>25</v>
      </c>
      <c r="K58" s="52" t="s">
        <v>26</v>
      </c>
      <c r="L58" s="52" t="s">
        <v>27</v>
      </c>
      <c r="M58" s="53" t="s">
        <v>28</v>
      </c>
    </row>
    <row r="59" spans="1:13" x14ac:dyDescent="0.25">
      <c r="A59" s="54">
        <v>23012</v>
      </c>
      <c r="B59" s="54" t="s">
        <v>221</v>
      </c>
      <c r="C59" s="54" t="s">
        <v>513</v>
      </c>
      <c r="D59" s="58">
        <f>'branches '!V19</f>
        <v>334.12123736643019</v>
      </c>
      <c r="E59" s="58">
        <f>'branches '!W19</f>
        <v>190</v>
      </c>
      <c r="F59" s="58" t="e">
        <f>'branches '!#REF!</f>
        <v>#REF!</v>
      </c>
      <c r="G59" s="58" t="e">
        <f>'branches '!#REF!</f>
        <v>#REF!</v>
      </c>
      <c r="H59" s="55">
        <f>'branches '!X19</f>
        <v>0.56865586126040624</v>
      </c>
      <c r="I59" s="58">
        <f>'branches '!Y19</f>
        <v>8.7558999798009491</v>
      </c>
      <c r="J59" s="58">
        <f>'branches '!Z19</f>
        <v>8</v>
      </c>
      <c r="K59" s="58" t="e">
        <f>'branches '!#REF!</f>
        <v>#REF!</v>
      </c>
      <c r="L59" s="58" t="e">
        <f>'branches '!#REF!</f>
        <v>#REF!</v>
      </c>
      <c r="M59" s="55">
        <f>'branches '!AA19</f>
        <v>0.91366964200770451</v>
      </c>
    </row>
    <row r="60" spans="1:13" x14ac:dyDescent="0.25">
      <c r="A60" s="54">
        <v>23015</v>
      </c>
      <c r="B60" s="54" t="s">
        <v>221</v>
      </c>
      <c r="C60" s="54" t="s">
        <v>514</v>
      </c>
      <c r="D60" s="58">
        <f>'branches '!V20</f>
        <v>156.72798860377148</v>
      </c>
      <c r="E60" s="58">
        <f>'branches '!W20</f>
        <v>47</v>
      </c>
      <c r="F60" s="58" t="e">
        <f>'branches '!#REF!</f>
        <v>#REF!</v>
      </c>
      <c r="G60" s="58" t="e">
        <f>'branches '!#REF!</f>
        <v>#REF!</v>
      </c>
      <c r="H60" s="55">
        <f>'branches '!X20</f>
        <v>0.29988262095816243</v>
      </c>
      <c r="I60" s="58">
        <f>'branches '!Y20</f>
        <v>6.3679272580370538</v>
      </c>
      <c r="J60" s="58">
        <f>'branches '!Z20</f>
        <v>2</v>
      </c>
      <c r="K60" s="58" t="e">
        <f>'branches '!#REF!</f>
        <v>#REF!</v>
      </c>
      <c r="L60" s="58" t="e">
        <f>'branches '!#REF!</f>
        <v>#REF!</v>
      </c>
      <c r="M60" s="55">
        <f>'branches '!AA20</f>
        <v>0.31407393944014844</v>
      </c>
    </row>
    <row r="61" spans="1:13" x14ac:dyDescent="0.25">
      <c r="A61" s="54">
        <v>33027</v>
      </c>
      <c r="B61" s="54" t="s">
        <v>221</v>
      </c>
      <c r="C61" s="54" t="s">
        <v>515</v>
      </c>
      <c r="D61" s="58">
        <f>'branches '!V21</f>
        <v>834.17130724129959</v>
      </c>
      <c r="E61" s="58">
        <f>'branches '!W21</f>
        <v>505</v>
      </c>
      <c r="F61" s="58" t="e">
        <f>'branches '!#REF!</f>
        <v>#REF!</v>
      </c>
      <c r="G61" s="58" t="e">
        <f>'branches '!#REF!</f>
        <v>#REF!</v>
      </c>
      <c r="H61" s="55">
        <f>'branches '!X21</f>
        <v>0.60539123752660962</v>
      </c>
      <c r="I61" s="58">
        <f>'branches '!Y21</f>
        <v>35.81959082645843</v>
      </c>
      <c r="J61" s="58">
        <f>'branches '!Z21</f>
        <v>24</v>
      </c>
      <c r="K61" s="58" t="e">
        <f>'branches '!#REF!</f>
        <v>#REF!</v>
      </c>
      <c r="L61" s="58" t="e">
        <f>'branches '!#REF!</f>
        <v>#REF!</v>
      </c>
      <c r="M61" s="55">
        <f>'branches '!AA21</f>
        <v>0.67002440413898323</v>
      </c>
    </row>
    <row r="62" spans="1:13" x14ac:dyDescent="0.25">
      <c r="A62" s="54">
        <v>73001</v>
      </c>
      <c r="B62" s="54" t="s">
        <v>221</v>
      </c>
      <c r="C62" s="54" t="s">
        <v>258</v>
      </c>
      <c r="D62" s="58">
        <f>'branches '!V22</f>
        <v>837.30520317774472</v>
      </c>
      <c r="E62" s="58">
        <f>'branches '!W22</f>
        <v>383</v>
      </c>
      <c r="F62" s="58" t="e">
        <f>'branches '!#REF!</f>
        <v>#REF!</v>
      </c>
      <c r="G62" s="58" t="e">
        <f>'branches '!#REF!</f>
        <v>#REF!</v>
      </c>
      <c r="H62" s="55">
        <f>'branches '!X22</f>
        <v>0.4574198255862218</v>
      </c>
      <c r="I62" s="58">
        <f>'branches '!Y22</f>
        <v>35.023599919203797</v>
      </c>
      <c r="J62" s="58">
        <f>'branches '!Z22</f>
        <v>13</v>
      </c>
      <c r="K62" s="58" t="e">
        <f>'branches '!#REF!</f>
        <v>#REF!</v>
      </c>
      <c r="L62" s="58" t="e">
        <f>'branches '!#REF!</f>
        <v>#REF!</v>
      </c>
      <c r="M62" s="55">
        <f>'branches '!AA22</f>
        <v>0.37117829206562997</v>
      </c>
    </row>
    <row r="63" spans="1:13" x14ac:dyDescent="0.25">
      <c r="A63" s="54">
        <v>73004</v>
      </c>
      <c r="B63" s="54" t="s">
        <v>221</v>
      </c>
      <c r="C63" s="54" t="s">
        <v>270</v>
      </c>
      <c r="D63" s="58">
        <f>'branches '!V23</f>
        <v>250.45597720754296</v>
      </c>
      <c r="E63" s="58">
        <f>'branches '!W23</f>
        <v>325</v>
      </c>
      <c r="F63" s="58" t="e">
        <f>'branches '!#REF!</f>
        <v>#REF!</v>
      </c>
      <c r="G63" s="58" t="e">
        <f>'branches '!#REF!</f>
        <v>#REF!</v>
      </c>
      <c r="H63" s="55">
        <f>'branches '!X23</f>
        <v>1.2976332352838413</v>
      </c>
      <c r="I63" s="58">
        <f>'branches '!Y23</f>
        <v>9.5518908870555812</v>
      </c>
      <c r="J63" s="58">
        <f>'branches '!Z23</f>
        <v>4</v>
      </c>
      <c r="K63" s="58" t="e">
        <f>'branches '!#REF!</f>
        <v>#REF!</v>
      </c>
      <c r="L63" s="58" t="e">
        <f>'branches '!#REF!</f>
        <v>#REF!</v>
      </c>
      <c r="M63" s="55">
        <f>'branches '!AA23</f>
        <v>0.41876525258686453</v>
      </c>
    </row>
    <row r="64" spans="1:13" x14ac:dyDescent="0.25">
      <c r="A64" s="54">
        <v>73030</v>
      </c>
      <c r="B64" s="54" t="s">
        <v>221</v>
      </c>
      <c r="C64" s="54" t="s">
        <v>278</v>
      </c>
      <c r="D64" s="58">
        <f>'branches '!V24</f>
        <v>551.74880401786788</v>
      </c>
      <c r="E64" s="58">
        <f>'branches '!W24</f>
        <v>326</v>
      </c>
      <c r="F64" s="58" t="e">
        <f>'branches '!#REF!</f>
        <v>#REF!</v>
      </c>
      <c r="G64" s="58" t="e">
        <f>'branches '!#REF!</f>
        <v>#REF!</v>
      </c>
      <c r="H64" s="55">
        <f>'branches '!X24</f>
        <v>0.59084858476547375</v>
      </c>
      <c r="I64" s="58">
        <f>'branches '!Y24</f>
        <v>23.083736310384321</v>
      </c>
      <c r="J64" s="58">
        <f>'branches '!Z24</f>
        <v>12</v>
      </c>
      <c r="K64" s="58" t="e">
        <f>'branches '!#REF!</f>
        <v>#REF!</v>
      </c>
      <c r="L64" s="58" t="e">
        <f>'branches '!#REF!</f>
        <v>#REF!</v>
      </c>
      <c r="M64" s="55">
        <f>'branches '!AA24</f>
        <v>0.51984652045265944</v>
      </c>
    </row>
    <row r="65" spans="1:14" x14ac:dyDescent="0.25">
      <c r="A65" s="54">
        <v>13014</v>
      </c>
      <c r="B65" s="54" t="s">
        <v>221</v>
      </c>
      <c r="C65" s="54" t="s">
        <v>533</v>
      </c>
      <c r="D65" s="58">
        <f>'branches '!V25</f>
        <v>658.01237636741985</v>
      </c>
      <c r="E65" s="58">
        <f>'branches '!W25</f>
        <v>269</v>
      </c>
      <c r="F65" s="58" t="e">
        <f>'branches '!#REF!</f>
        <v>#REF!</v>
      </c>
      <c r="G65" s="58" t="e">
        <f>'branches '!#REF!</f>
        <v>#REF!</v>
      </c>
      <c r="H65" s="55">
        <f>'branches '!X25</f>
        <v>0.4088069003884453</v>
      </c>
      <c r="I65" s="58">
        <f>'branches '!Y25</f>
        <v>22.287745403129687</v>
      </c>
      <c r="J65" s="58">
        <f>'branches '!Z25</f>
        <v>8</v>
      </c>
      <c r="K65" s="58" t="e">
        <f>'branches '!#REF!</f>
        <v>#REF!</v>
      </c>
      <c r="L65" s="58" t="e">
        <f>'branches '!#REF!</f>
        <v>#REF!</v>
      </c>
      <c r="M65" s="55">
        <f>'branches '!AA25</f>
        <v>0.35894164507445536</v>
      </c>
    </row>
    <row r="66" spans="1:14" x14ac:dyDescent="0.25">
      <c r="A66" s="54">
        <v>13016</v>
      </c>
      <c r="B66" s="54" t="s">
        <v>221</v>
      </c>
      <c r="C66" s="54" t="s">
        <v>528</v>
      </c>
      <c r="D66" s="58">
        <f>'branches '!V26</f>
        <v>1090.1713072412995</v>
      </c>
      <c r="E66" s="58">
        <f>'branches '!W26</f>
        <v>814</v>
      </c>
      <c r="F66" s="58" t="e">
        <f>'branches '!#REF!</f>
        <v>#REF!</v>
      </c>
      <c r="G66" s="58" t="e">
        <f>'branches '!#REF!</f>
        <v>#REF!</v>
      </c>
      <c r="H66" s="55">
        <f>'branches '!X26</f>
        <v>0.74667164196409042</v>
      </c>
      <c r="I66" s="58">
        <f>'branches '!Y26</f>
        <v>47.759454435277902</v>
      </c>
      <c r="J66" s="58">
        <f>'branches '!Z26</f>
        <v>21</v>
      </c>
      <c r="K66" s="58" t="e">
        <f>'branches '!#REF!</f>
        <v>#REF!</v>
      </c>
      <c r="L66" s="58" t="e">
        <f>'branches '!#REF!</f>
        <v>#REF!</v>
      </c>
      <c r="M66" s="55">
        <f>'branches '!AA26</f>
        <v>0.43970351521620782</v>
      </c>
    </row>
    <row r="67" spans="1:14" x14ac:dyDescent="0.25">
      <c r="A67" s="54">
        <v>13012</v>
      </c>
      <c r="B67" s="54" t="s">
        <v>221</v>
      </c>
      <c r="C67" s="54" t="s">
        <v>307</v>
      </c>
      <c r="D67" s="58">
        <f>'branches '!V27</f>
        <v>250.19240485799105</v>
      </c>
      <c r="E67" s="58">
        <f>'branches '!W27</f>
        <v>162</v>
      </c>
      <c r="F67" s="58" t="e">
        <f>'branches '!#REF!</f>
        <v>#REF!</v>
      </c>
      <c r="G67" s="58" t="e">
        <f>'branches '!#REF!</f>
        <v>#REF!</v>
      </c>
      <c r="H67" s="55">
        <f>'branches '!X27</f>
        <v>0.64750167013243676</v>
      </c>
      <c r="I67" s="58">
        <f>'branches '!Y27</f>
        <v>16.715809052347268</v>
      </c>
      <c r="J67" s="58">
        <f>'branches '!Z27</f>
        <v>10</v>
      </c>
      <c r="K67" s="58" t="e">
        <f>'branches '!#REF!</f>
        <v>#REF!</v>
      </c>
      <c r="L67" s="58" t="e">
        <f>'branches '!#REF!</f>
        <v>#REF!</v>
      </c>
      <c r="M67" s="55">
        <f>'branches '!AA27</f>
        <v>0.59823607512409216</v>
      </c>
    </row>
    <row r="68" spans="1:14" x14ac:dyDescent="0.25">
      <c r="A68" s="298" t="s">
        <v>27</v>
      </c>
      <c r="B68" s="299"/>
      <c r="C68" s="300"/>
      <c r="D68" s="73">
        <f>SUM(D59:D67)</f>
        <v>4962.9066060813675</v>
      </c>
      <c r="E68" s="73">
        <f>SUM(E59:E67)</f>
        <v>3021</v>
      </c>
      <c r="F68" s="73" t="e">
        <f>SUM(F59:F67)</f>
        <v>#REF!</v>
      </c>
      <c r="G68" s="73" t="e">
        <f>SUM(G59:G67)</f>
        <v>#REF!</v>
      </c>
      <c r="H68" s="74" t="e">
        <f>G68/D68</f>
        <v>#REF!</v>
      </c>
      <c r="I68" s="52">
        <f>SUM(I59:I67)</f>
        <v>205.36565407169496</v>
      </c>
      <c r="J68" s="52">
        <f>SUM(J59:J67)</f>
        <v>102</v>
      </c>
      <c r="K68" s="52" t="e">
        <f>SUM(K59:K67)</f>
        <v>#REF!</v>
      </c>
      <c r="L68" s="52" t="e">
        <f>SUM(L59:L67)</f>
        <v>#REF!</v>
      </c>
      <c r="M68" s="53" t="e">
        <f>L68/I68</f>
        <v>#REF!</v>
      </c>
    </row>
    <row r="70" spans="1:14" x14ac:dyDescent="0.25">
      <c r="A70" s="302" t="s">
        <v>508</v>
      </c>
      <c r="B70" s="302" t="s">
        <v>18</v>
      </c>
      <c r="C70" s="302" t="s">
        <v>19</v>
      </c>
      <c r="D70" s="287" t="s">
        <v>1152</v>
      </c>
      <c r="E70" s="287"/>
      <c r="F70" s="287"/>
      <c r="G70" s="287"/>
      <c r="H70" s="287"/>
      <c r="I70" s="288" t="s">
        <v>1160</v>
      </c>
      <c r="J70" s="288"/>
      <c r="K70" s="288"/>
      <c r="L70" s="287" t="s">
        <v>1157</v>
      </c>
      <c r="M70" s="287"/>
      <c r="N70" s="287"/>
    </row>
    <row r="71" spans="1:14" x14ac:dyDescent="0.25">
      <c r="A71" s="302"/>
      <c r="B71" s="302"/>
      <c r="C71" s="302"/>
      <c r="D71" s="50" t="s">
        <v>24</v>
      </c>
      <c r="E71" s="50" t="s">
        <v>25</v>
      </c>
      <c r="F71" s="50" t="s">
        <v>26</v>
      </c>
      <c r="G71" s="50" t="s">
        <v>27</v>
      </c>
      <c r="H71" s="51" t="s">
        <v>28</v>
      </c>
      <c r="I71" s="77" t="s">
        <v>24</v>
      </c>
      <c r="J71" s="77" t="s">
        <v>29</v>
      </c>
      <c r="K71" s="78" t="s">
        <v>28</v>
      </c>
      <c r="L71" s="73" t="s">
        <v>24</v>
      </c>
      <c r="M71" s="50" t="s">
        <v>29</v>
      </c>
      <c r="N71" s="51" t="s">
        <v>28</v>
      </c>
    </row>
    <row r="72" spans="1:14" x14ac:dyDescent="0.25">
      <c r="A72" s="54">
        <v>23012</v>
      </c>
      <c r="B72" s="54" t="s">
        <v>221</v>
      </c>
      <c r="C72" s="54" t="s">
        <v>513</v>
      </c>
      <c r="D72" s="58">
        <f>'branches '!AB19</f>
        <v>9.3763086000164435</v>
      </c>
      <c r="E72" s="58">
        <f>'branches '!AC19</f>
        <v>10</v>
      </c>
      <c r="F72" s="58" t="e">
        <f>'branches '!#REF!</f>
        <v>#REF!</v>
      </c>
      <c r="G72" s="58" t="e">
        <f>'branches '!#REF!</f>
        <v>#REF!</v>
      </c>
      <c r="H72" s="55">
        <f>'branches '!AD19</f>
        <v>1.0665177978445017</v>
      </c>
      <c r="I72" s="58" t="e">
        <f>'branches '!#REF!</f>
        <v>#REF!</v>
      </c>
      <c r="J72" s="58" t="e">
        <f>'branches '!#REF!</f>
        <v>#REF!</v>
      </c>
      <c r="K72" s="55" t="e">
        <f>'branches '!#REF!</f>
        <v>#REF!</v>
      </c>
      <c r="L72" s="58" t="e">
        <f>'branches '!#REF!</f>
        <v>#REF!</v>
      </c>
      <c r="M72" s="58" t="e">
        <f>'branches '!#REF!</f>
        <v>#REF!</v>
      </c>
      <c r="N72" s="55" t="e">
        <f>'branches '!#REF!</f>
        <v>#REF!</v>
      </c>
    </row>
    <row r="73" spans="1:14" x14ac:dyDescent="0.25">
      <c r="A73" s="54">
        <v>23015</v>
      </c>
      <c r="B73" s="54" t="s">
        <v>221</v>
      </c>
      <c r="C73" s="54" t="s">
        <v>514</v>
      </c>
      <c r="D73" s="58">
        <f>'branches '!AB20</f>
        <v>6.4912905692421532</v>
      </c>
      <c r="E73" s="58">
        <f>'branches '!AC20</f>
        <v>1</v>
      </c>
      <c r="F73" s="58" t="e">
        <f>'branches '!#REF!</f>
        <v>#REF!</v>
      </c>
      <c r="G73" s="58" t="e">
        <f>'branches '!#REF!</f>
        <v>#REF!</v>
      </c>
      <c r="H73" s="55">
        <f>'branches '!AD20</f>
        <v>0.15405257079976137</v>
      </c>
      <c r="I73" s="58" t="e">
        <f>'branches '!#REF!</f>
        <v>#REF!</v>
      </c>
      <c r="J73" s="58" t="e">
        <f>'branches '!#REF!</f>
        <v>#REF!</v>
      </c>
      <c r="K73" s="55" t="e">
        <f>'branches '!#REF!</f>
        <v>#REF!</v>
      </c>
      <c r="L73" s="58" t="e">
        <f>'branches '!#REF!</f>
        <v>#REF!</v>
      </c>
      <c r="M73" s="58" t="e">
        <f>'branches '!#REF!</f>
        <v>#REF!</v>
      </c>
      <c r="N73" s="55" t="e">
        <f>'branches '!#REF!</f>
        <v>#REF!</v>
      </c>
    </row>
    <row r="74" spans="1:14" x14ac:dyDescent="0.25">
      <c r="A74" s="54">
        <v>33027</v>
      </c>
      <c r="B74" s="54" t="s">
        <v>221</v>
      </c>
      <c r="C74" s="54" t="s">
        <v>515</v>
      </c>
      <c r="D74" s="58">
        <f>'branches '!AB21</f>
        <v>32.456452846210766</v>
      </c>
      <c r="E74" s="58">
        <f>'branches '!AC21</f>
        <v>11</v>
      </c>
      <c r="F74" s="58" t="e">
        <f>'branches '!#REF!</f>
        <v>#REF!</v>
      </c>
      <c r="G74" s="58" t="e">
        <f>'branches '!#REF!</f>
        <v>#REF!</v>
      </c>
      <c r="H74" s="55">
        <f>'branches '!AD21</f>
        <v>0.33891565575947497</v>
      </c>
      <c r="I74" s="58" t="e">
        <f>'branches '!#REF!</f>
        <v>#REF!</v>
      </c>
      <c r="J74" s="58" t="e">
        <f>'branches '!#REF!</f>
        <v>#REF!</v>
      </c>
      <c r="K74" s="55" t="e">
        <f>'branches '!#REF!</f>
        <v>#REF!</v>
      </c>
      <c r="L74" s="58" t="e">
        <f>'branches '!#REF!</f>
        <v>#REF!</v>
      </c>
      <c r="M74" s="58" t="e">
        <f>'branches '!#REF!</f>
        <v>#REF!</v>
      </c>
      <c r="N74" s="55" t="e">
        <f>'branches '!#REF!</f>
        <v>#REF!</v>
      </c>
    </row>
    <row r="75" spans="1:14" x14ac:dyDescent="0.25">
      <c r="A75" s="54">
        <v>73001</v>
      </c>
      <c r="B75" s="54" t="s">
        <v>221</v>
      </c>
      <c r="C75" s="54" t="s">
        <v>258</v>
      </c>
      <c r="D75" s="58">
        <f>'branches '!AB22</f>
        <v>31.735198338517193</v>
      </c>
      <c r="E75" s="58">
        <f>'branches '!AC22</f>
        <v>21</v>
      </c>
      <c r="F75" s="58" t="e">
        <f>'branches '!#REF!</f>
        <v>#REF!</v>
      </c>
      <c r="G75" s="58" t="e">
        <f>'branches '!#REF!</f>
        <v>#REF!</v>
      </c>
      <c r="H75" s="55">
        <f>'branches '!AD22</f>
        <v>0.66172581548079312</v>
      </c>
      <c r="I75" s="58" t="e">
        <f>'branches '!#REF!</f>
        <v>#REF!</v>
      </c>
      <c r="J75" s="58" t="e">
        <f>'branches '!#REF!</f>
        <v>#REF!</v>
      </c>
      <c r="K75" s="55" t="e">
        <f>'branches '!#REF!</f>
        <v>#REF!</v>
      </c>
      <c r="L75" s="58" t="e">
        <f>'branches '!#REF!</f>
        <v>#REF!</v>
      </c>
      <c r="M75" s="58" t="e">
        <f>'branches '!#REF!</f>
        <v>#REF!</v>
      </c>
      <c r="N75" s="55" t="e">
        <f>'branches '!#REF!</f>
        <v>#REF!</v>
      </c>
    </row>
    <row r="76" spans="1:14" x14ac:dyDescent="0.25">
      <c r="A76" s="54">
        <v>73004</v>
      </c>
      <c r="B76" s="54" t="s">
        <v>221</v>
      </c>
      <c r="C76" s="54" t="s">
        <v>270</v>
      </c>
      <c r="D76" s="58">
        <f>'branches '!AB23</f>
        <v>10.097563107710016</v>
      </c>
      <c r="E76" s="58">
        <f>'branches '!AC23</f>
        <v>9</v>
      </c>
      <c r="F76" s="58" t="e">
        <f>'branches '!#REF!</f>
        <v>#REF!</v>
      </c>
      <c r="G76" s="58" t="e">
        <f>'branches '!#REF!</f>
        <v>#REF!</v>
      </c>
      <c r="H76" s="55">
        <f>'branches '!AD23</f>
        <v>0.89130415962719067</v>
      </c>
      <c r="I76" s="58" t="e">
        <f>'branches '!#REF!</f>
        <v>#REF!</v>
      </c>
      <c r="J76" s="58" t="e">
        <f>'branches '!#REF!</f>
        <v>#REF!</v>
      </c>
      <c r="K76" s="55" t="e">
        <f>'branches '!#REF!</f>
        <v>#REF!</v>
      </c>
      <c r="L76" s="58" t="e">
        <f>'branches '!#REF!</f>
        <v>#REF!</v>
      </c>
      <c r="M76" s="58" t="e">
        <f>'branches '!#REF!</f>
        <v>#REF!</v>
      </c>
      <c r="N76" s="55" t="e">
        <f>'branches '!#REF!</f>
        <v>#REF!</v>
      </c>
    </row>
    <row r="77" spans="1:14" x14ac:dyDescent="0.25">
      <c r="A77" s="54">
        <v>73030</v>
      </c>
      <c r="B77" s="54" t="s">
        <v>221</v>
      </c>
      <c r="C77" s="54" t="s">
        <v>278</v>
      </c>
      <c r="D77" s="58">
        <f>'branches '!AB24</f>
        <v>15.867599169258597</v>
      </c>
      <c r="E77" s="58">
        <f>'branches '!AC24</f>
        <v>10</v>
      </c>
      <c r="F77" s="58" t="e">
        <f>'branches '!#REF!</f>
        <v>#REF!</v>
      </c>
      <c r="G77" s="58" t="e">
        <f>'branches '!#REF!</f>
        <v>#REF!</v>
      </c>
      <c r="H77" s="55">
        <f>'branches '!AD24</f>
        <v>0.63021506236266012</v>
      </c>
      <c r="I77" s="58" t="e">
        <f>'branches '!#REF!</f>
        <v>#REF!</v>
      </c>
      <c r="J77" s="58" t="e">
        <f>'branches '!#REF!</f>
        <v>#REF!</v>
      </c>
      <c r="K77" s="55" t="e">
        <f>'branches '!#REF!</f>
        <v>#REF!</v>
      </c>
      <c r="L77" s="58" t="e">
        <f>'branches '!#REF!</f>
        <v>#REF!</v>
      </c>
      <c r="M77" s="58" t="e">
        <f>'branches '!#REF!</f>
        <v>#REF!</v>
      </c>
      <c r="N77" s="55" t="e">
        <f>'branches '!#REF!</f>
        <v>#REF!</v>
      </c>
    </row>
    <row r="78" spans="1:14" x14ac:dyDescent="0.25">
      <c r="A78" s="54">
        <v>13014</v>
      </c>
      <c r="B78" s="54" t="s">
        <v>221</v>
      </c>
      <c r="C78" s="54" t="s">
        <v>533</v>
      </c>
      <c r="D78" s="58">
        <f>'branches '!AB25</f>
        <v>18.752617200032887</v>
      </c>
      <c r="E78" s="58">
        <f>'branches '!AC25</f>
        <v>3</v>
      </c>
      <c r="F78" s="58" t="e">
        <f>'branches '!#REF!</f>
        <v>#REF!</v>
      </c>
      <c r="G78" s="58" t="e">
        <f>'branches '!#REF!</f>
        <v>#REF!</v>
      </c>
      <c r="H78" s="55">
        <f>'branches '!AD25</f>
        <v>0.15997766967667526</v>
      </c>
      <c r="I78" s="58" t="e">
        <f>'branches '!#REF!</f>
        <v>#REF!</v>
      </c>
      <c r="J78" s="58" t="e">
        <f>'branches '!#REF!</f>
        <v>#REF!</v>
      </c>
      <c r="K78" s="55" t="e">
        <f>'branches '!#REF!</f>
        <v>#REF!</v>
      </c>
      <c r="L78" s="58" t="e">
        <f>'branches '!#REF!</f>
        <v>#REF!</v>
      </c>
      <c r="M78" s="58" t="e">
        <f>'branches '!#REF!</f>
        <v>#REF!</v>
      </c>
      <c r="N78" s="55" t="e">
        <f>'branches '!#REF!</f>
        <v>#REF!</v>
      </c>
    </row>
    <row r="79" spans="1:14" x14ac:dyDescent="0.25">
      <c r="A79" s="54">
        <v>13016</v>
      </c>
      <c r="B79" s="54" t="s">
        <v>221</v>
      </c>
      <c r="C79" s="54" t="s">
        <v>528</v>
      </c>
      <c r="D79" s="58">
        <f>'branches '!AB26</f>
        <v>45.439033984695072</v>
      </c>
      <c r="E79" s="58">
        <f>'branches '!AC26</f>
        <v>17</v>
      </c>
      <c r="F79" s="58" t="e">
        <f>'branches '!#REF!</f>
        <v>#REF!</v>
      </c>
      <c r="G79" s="58" t="e">
        <f>'branches '!#REF!</f>
        <v>#REF!</v>
      </c>
      <c r="H79" s="55">
        <f>'branches '!AD26</f>
        <v>0.37412767194227758</v>
      </c>
      <c r="I79" s="58" t="e">
        <f>'branches '!#REF!</f>
        <v>#REF!</v>
      </c>
      <c r="J79" s="58" t="e">
        <f>'branches '!#REF!</f>
        <v>#REF!</v>
      </c>
      <c r="K79" s="55" t="e">
        <f>'branches '!#REF!</f>
        <v>#REF!</v>
      </c>
      <c r="L79" s="58" t="e">
        <f>'branches '!#REF!</f>
        <v>#REF!</v>
      </c>
      <c r="M79" s="58" t="e">
        <f>'branches '!#REF!</f>
        <v>#REF!</v>
      </c>
      <c r="N79" s="55" t="e">
        <f>'branches '!#REF!</f>
        <v>#REF!</v>
      </c>
    </row>
    <row r="80" spans="1:14" x14ac:dyDescent="0.25">
      <c r="A80" s="54">
        <v>13012</v>
      </c>
      <c r="B80" s="54" t="s">
        <v>221</v>
      </c>
      <c r="C80" s="54" t="s">
        <v>307</v>
      </c>
      <c r="D80" s="58">
        <f>'branches '!AB27</f>
        <v>18.031362692339314</v>
      </c>
      <c r="E80" s="58">
        <f>'branches '!AC27</f>
        <v>35</v>
      </c>
      <c r="F80" s="58" t="e">
        <f>'branches '!#REF!</f>
        <v>#REF!</v>
      </c>
      <c r="G80" s="58" t="e">
        <f>'branches '!#REF!</f>
        <v>#REF!</v>
      </c>
      <c r="H80" s="55">
        <f>'branches '!AD27</f>
        <v>1.9410623920769932</v>
      </c>
      <c r="I80" s="58" t="e">
        <f>'branches '!#REF!</f>
        <v>#REF!</v>
      </c>
      <c r="J80" s="58" t="e">
        <f>'branches '!#REF!</f>
        <v>#REF!</v>
      </c>
      <c r="K80" s="55" t="e">
        <f>'branches '!#REF!</f>
        <v>#REF!</v>
      </c>
      <c r="L80" s="58" t="e">
        <f>'branches '!#REF!</f>
        <v>#REF!</v>
      </c>
      <c r="M80" s="58" t="e">
        <f>'branches '!#REF!</f>
        <v>#REF!</v>
      </c>
      <c r="N80" s="55" t="e">
        <f>'branches '!#REF!</f>
        <v>#REF!</v>
      </c>
    </row>
    <row r="81" spans="1:14" x14ac:dyDescent="0.25">
      <c r="A81" s="298" t="s">
        <v>27</v>
      </c>
      <c r="B81" s="299"/>
      <c r="C81" s="300"/>
      <c r="D81" s="73">
        <f>SUM(D72:D80)</f>
        <v>188.24742650802244</v>
      </c>
      <c r="E81" s="73">
        <f>SUM(E72:E80)</f>
        <v>117</v>
      </c>
      <c r="F81" s="73" t="e">
        <f>SUM(F72:F80)</f>
        <v>#REF!</v>
      </c>
      <c r="G81" s="73" t="e">
        <f>SUM(G72:G80)</f>
        <v>#REF!</v>
      </c>
      <c r="H81" s="51" t="e">
        <f>G81/D81</f>
        <v>#REF!</v>
      </c>
      <c r="I81" s="52" t="e">
        <f>SUM(I72:I80)</f>
        <v>#REF!</v>
      </c>
      <c r="J81" s="52" t="e">
        <f>SUM(J72:J80)</f>
        <v>#REF!</v>
      </c>
      <c r="K81" s="53" t="e">
        <f>J81/I81</f>
        <v>#REF!</v>
      </c>
      <c r="L81" s="73" t="e">
        <f>SUM(L72:L80)</f>
        <v>#REF!</v>
      </c>
      <c r="M81" s="73" t="e">
        <f>SUM(M72:M80)</f>
        <v>#REF!</v>
      </c>
      <c r="N81" s="51" t="e">
        <f>M81/L81</f>
        <v>#REF!</v>
      </c>
    </row>
    <row r="83" spans="1:14" x14ac:dyDescent="0.25">
      <c r="A83" s="302" t="s">
        <v>508</v>
      </c>
      <c r="B83" s="302" t="s">
        <v>18</v>
      </c>
      <c r="C83" s="302" t="s">
        <v>19</v>
      </c>
      <c r="D83" s="285" t="s">
        <v>1142</v>
      </c>
      <c r="E83" s="286"/>
      <c r="F83" s="305"/>
      <c r="G83" s="306" t="s">
        <v>1158</v>
      </c>
      <c r="H83" s="294"/>
      <c r="I83" s="295"/>
      <c r="J83" s="285" t="s">
        <v>1159</v>
      </c>
      <c r="K83" s="286"/>
      <c r="L83" s="286"/>
    </row>
    <row r="84" spans="1:14" x14ac:dyDescent="0.25">
      <c r="A84" s="302"/>
      <c r="B84" s="302"/>
      <c r="C84" s="302"/>
      <c r="D84" s="50" t="s">
        <v>24</v>
      </c>
      <c r="E84" s="50" t="s">
        <v>29</v>
      </c>
      <c r="F84" s="76" t="s">
        <v>28</v>
      </c>
      <c r="G84" s="77" t="s">
        <v>24</v>
      </c>
      <c r="H84" s="77" t="s">
        <v>29</v>
      </c>
      <c r="I84" s="78" t="s">
        <v>28</v>
      </c>
      <c r="J84" s="73" t="s">
        <v>24</v>
      </c>
      <c r="K84" s="50" t="s">
        <v>29</v>
      </c>
      <c r="L84" s="51" t="s">
        <v>28</v>
      </c>
    </row>
    <row r="85" spans="1:14" x14ac:dyDescent="0.25">
      <c r="A85" s="54">
        <v>23012</v>
      </c>
      <c r="B85" s="54" t="s">
        <v>221</v>
      </c>
      <c r="C85" s="54" t="s">
        <v>513</v>
      </c>
      <c r="D85" s="58" t="e">
        <f>'branches '!#REF!</f>
        <v>#REF!</v>
      </c>
      <c r="E85" s="58" t="e">
        <f>'branches '!#REF!</f>
        <v>#REF!</v>
      </c>
      <c r="F85" s="55" t="e">
        <f>'branches '!#REF!</f>
        <v>#REF!</v>
      </c>
      <c r="G85" s="58" t="e">
        <f>'branches '!#REF!</f>
        <v>#REF!</v>
      </c>
      <c r="H85" s="58" t="e">
        <f>'branches '!#REF!</f>
        <v>#REF!</v>
      </c>
      <c r="I85" s="55" t="e">
        <f>'branches '!#REF!</f>
        <v>#REF!</v>
      </c>
      <c r="J85" s="58" t="e">
        <f>'branches '!#REF!</f>
        <v>#REF!</v>
      </c>
      <c r="K85" s="58" t="e">
        <f>'branches '!#REF!</f>
        <v>#REF!</v>
      </c>
      <c r="L85" s="55" t="e">
        <f>'branches '!#REF!</f>
        <v>#REF!</v>
      </c>
    </row>
    <row r="86" spans="1:14" x14ac:dyDescent="0.25">
      <c r="A86" s="54">
        <v>23015</v>
      </c>
      <c r="B86" s="54" t="s">
        <v>221</v>
      </c>
      <c r="C86" s="54" t="s">
        <v>514</v>
      </c>
      <c r="D86" s="58" t="e">
        <f>'branches '!#REF!</f>
        <v>#REF!</v>
      </c>
      <c r="E86" s="58" t="e">
        <f>'branches '!#REF!</f>
        <v>#REF!</v>
      </c>
      <c r="F86" s="55" t="e">
        <f>'branches '!#REF!</f>
        <v>#REF!</v>
      </c>
      <c r="G86" s="58" t="e">
        <f>'branches '!#REF!</f>
        <v>#REF!</v>
      </c>
      <c r="H86" s="58" t="e">
        <f>'branches '!#REF!</f>
        <v>#REF!</v>
      </c>
      <c r="I86" s="55" t="e">
        <f>'branches '!#REF!</f>
        <v>#REF!</v>
      </c>
      <c r="J86" s="58" t="e">
        <f>'branches '!#REF!</f>
        <v>#REF!</v>
      </c>
      <c r="K86" s="58" t="e">
        <f>'branches '!#REF!</f>
        <v>#REF!</v>
      </c>
      <c r="L86" s="55" t="e">
        <f>'branches '!#REF!</f>
        <v>#REF!</v>
      </c>
    </row>
    <row r="87" spans="1:14" x14ac:dyDescent="0.25">
      <c r="A87" s="54">
        <v>33027</v>
      </c>
      <c r="B87" s="54" t="s">
        <v>221</v>
      </c>
      <c r="C87" s="54" t="s">
        <v>515</v>
      </c>
      <c r="D87" s="58" t="e">
        <f>'branches '!#REF!</f>
        <v>#REF!</v>
      </c>
      <c r="E87" s="58" t="e">
        <f>'branches '!#REF!</f>
        <v>#REF!</v>
      </c>
      <c r="F87" s="55" t="e">
        <f>'branches '!#REF!</f>
        <v>#REF!</v>
      </c>
      <c r="G87" s="58" t="e">
        <f>'branches '!#REF!</f>
        <v>#REF!</v>
      </c>
      <c r="H87" s="58" t="e">
        <f>'branches '!#REF!</f>
        <v>#REF!</v>
      </c>
      <c r="I87" s="55" t="e">
        <f>'branches '!#REF!</f>
        <v>#REF!</v>
      </c>
      <c r="J87" s="58" t="e">
        <f>'branches '!#REF!</f>
        <v>#REF!</v>
      </c>
      <c r="K87" s="58" t="e">
        <f>'branches '!#REF!</f>
        <v>#REF!</v>
      </c>
      <c r="L87" s="55" t="e">
        <f>'branches '!#REF!</f>
        <v>#REF!</v>
      </c>
    </row>
    <row r="88" spans="1:14" x14ac:dyDescent="0.25">
      <c r="A88" s="54">
        <v>73001</v>
      </c>
      <c r="B88" s="54" t="s">
        <v>221</v>
      </c>
      <c r="C88" s="54" t="s">
        <v>258</v>
      </c>
      <c r="D88" s="58" t="e">
        <f>'branches '!#REF!</f>
        <v>#REF!</v>
      </c>
      <c r="E88" s="58" t="e">
        <f>'branches '!#REF!</f>
        <v>#REF!</v>
      </c>
      <c r="F88" s="55" t="e">
        <f>'branches '!#REF!</f>
        <v>#REF!</v>
      </c>
      <c r="G88" s="58" t="e">
        <f>'branches '!#REF!</f>
        <v>#REF!</v>
      </c>
      <c r="H88" s="58" t="e">
        <f>'branches '!#REF!</f>
        <v>#REF!</v>
      </c>
      <c r="I88" s="55" t="e">
        <f>'branches '!#REF!</f>
        <v>#REF!</v>
      </c>
      <c r="J88" s="58" t="e">
        <f>'branches '!#REF!</f>
        <v>#REF!</v>
      </c>
      <c r="K88" s="58" t="e">
        <f>'branches '!#REF!</f>
        <v>#REF!</v>
      </c>
      <c r="L88" s="55" t="e">
        <f>'branches '!#REF!</f>
        <v>#REF!</v>
      </c>
    </row>
    <row r="89" spans="1:14" x14ac:dyDescent="0.25">
      <c r="A89" s="54">
        <v>73004</v>
      </c>
      <c r="B89" s="54" t="s">
        <v>221</v>
      </c>
      <c r="C89" s="54" t="s">
        <v>270</v>
      </c>
      <c r="D89" s="58" t="e">
        <f>'branches '!#REF!</f>
        <v>#REF!</v>
      </c>
      <c r="E89" s="58" t="e">
        <f>'branches '!#REF!</f>
        <v>#REF!</v>
      </c>
      <c r="F89" s="55" t="e">
        <f>'branches '!#REF!</f>
        <v>#REF!</v>
      </c>
      <c r="G89" s="58" t="e">
        <f>'branches '!#REF!</f>
        <v>#REF!</v>
      </c>
      <c r="H89" s="58" t="e">
        <f>'branches '!#REF!</f>
        <v>#REF!</v>
      </c>
      <c r="I89" s="55" t="e">
        <f>'branches '!#REF!</f>
        <v>#REF!</v>
      </c>
      <c r="J89" s="58" t="e">
        <f>'branches '!#REF!</f>
        <v>#REF!</v>
      </c>
      <c r="K89" s="58" t="e">
        <f>'branches '!#REF!</f>
        <v>#REF!</v>
      </c>
      <c r="L89" s="55" t="e">
        <f>'branches '!#REF!</f>
        <v>#REF!</v>
      </c>
    </row>
    <row r="90" spans="1:14" x14ac:dyDescent="0.25">
      <c r="A90" s="54">
        <v>73030</v>
      </c>
      <c r="B90" s="54" t="s">
        <v>221</v>
      </c>
      <c r="C90" s="54" t="s">
        <v>278</v>
      </c>
      <c r="D90" s="58" t="e">
        <f>'branches '!#REF!</f>
        <v>#REF!</v>
      </c>
      <c r="E90" s="58" t="e">
        <f>'branches '!#REF!</f>
        <v>#REF!</v>
      </c>
      <c r="F90" s="55" t="e">
        <f>'branches '!#REF!</f>
        <v>#REF!</v>
      </c>
      <c r="G90" s="58" t="e">
        <f>'branches '!#REF!</f>
        <v>#REF!</v>
      </c>
      <c r="H90" s="58" t="e">
        <f>'branches '!#REF!</f>
        <v>#REF!</v>
      </c>
      <c r="I90" s="55" t="e">
        <f>'branches '!#REF!</f>
        <v>#REF!</v>
      </c>
      <c r="J90" s="58" t="e">
        <f>'branches '!#REF!</f>
        <v>#REF!</v>
      </c>
      <c r="K90" s="58" t="e">
        <f>'branches '!#REF!</f>
        <v>#REF!</v>
      </c>
      <c r="L90" s="55" t="e">
        <f>'branches '!#REF!</f>
        <v>#REF!</v>
      </c>
    </row>
    <row r="91" spans="1:14" x14ac:dyDescent="0.25">
      <c r="A91" s="54">
        <v>13014</v>
      </c>
      <c r="B91" s="54" t="s">
        <v>221</v>
      </c>
      <c r="C91" s="54" t="s">
        <v>533</v>
      </c>
      <c r="D91" s="58" t="e">
        <f>'branches '!#REF!</f>
        <v>#REF!</v>
      </c>
      <c r="E91" s="58" t="e">
        <f>'branches '!#REF!</f>
        <v>#REF!</v>
      </c>
      <c r="F91" s="55" t="e">
        <f>'branches '!#REF!</f>
        <v>#REF!</v>
      </c>
      <c r="G91" s="58" t="e">
        <f>'branches '!#REF!</f>
        <v>#REF!</v>
      </c>
      <c r="H91" s="58" t="e">
        <f>'branches '!#REF!</f>
        <v>#REF!</v>
      </c>
      <c r="I91" s="55" t="e">
        <f>'branches '!#REF!</f>
        <v>#REF!</v>
      </c>
      <c r="J91" s="58" t="e">
        <f>'branches '!#REF!</f>
        <v>#REF!</v>
      </c>
      <c r="K91" s="58" t="e">
        <f>'branches '!#REF!</f>
        <v>#REF!</v>
      </c>
      <c r="L91" s="55" t="e">
        <f>'branches '!#REF!</f>
        <v>#REF!</v>
      </c>
    </row>
    <row r="92" spans="1:14" x14ac:dyDescent="0.25">
      <c r="A92" s="54">
        <v>13016</v>
      </c>
      <c r="B92" s="54" t="s">
        <v>221</v>
      </c>
      <c r="C92" s="54" t="s">
        <v>528</v>
      </c>
      <c r="D92" s="58" t="e">
        <f>'branches '!#REF!</f>
        <v>#REF!</v>
      </c>
      <c r="E92" s="58" t="e">
        <f>'branches '!#REF!</f>
        <v>#REF!</v>
      </c>
      <c r="F92" s="55" t="e">
        <f>'branches '!#REF!</f>
        <v>#REF!</v>
      </c>
      <c r="G92" s="58" t="e">
        <f>'branches '!#REF!</f>
        <v>#REF!</v>
      </c>
      <c r="H92" s="58" t="e">
        <f>'branches '!#REF!</f>
        <v>#REF!</v>
      </c>
      <c r="I92" s="55" t="e">
        <f>'branches '!#REF!</f>
        <v>#REF!</v>
      </c>
      <c r="J92" s="58" t="e">
        <f>'branches '!#REF!</f>
        <v>#REF!</v>
      </c>
      <c r="K92" s="58" t="e">
        <f>'branches '!#REF!</f>
        <v>#REF!</v>
      </c>
      <c r="L92" s="55" t="e">
        <f>'branches '!#REF!</f>
        <v>#REF!</v>
      </c>
    </row>
    <row r="93" spans="1:14" x14ac:dyDescent="0.25">
      <c r="A93" s="54">
        <v>13012</v>
      </c>
      <c r="B93" s="54" t="s">
        <v>221</v>
      </c>
      <c r="C93" s="54" t="s">
        <v>307</v>
      </c>
      <c r="D93" s="58" t="e">
        <f>'branches '!#REF!</f>
        <v>#REF!</v>
      </c>
      <c r="E93" s="58" t="e">
        <f>'branches '!#REF!</f>
        <v>#REF!</v>
      </c>
      <c r="F93" s="55" t="e">
        <f>'branches '!#REF!</f>
        <v>#REF!</v>
      </c>
      <c r="G93" s="58" t="e">
        <f>'branches '!#REF!</f>
        <v>#REF!</v>
      </c>
      <c r="H93" s="58" t="e">
        <f>'branches '!#REF!</f>
        <v>#REF!</v>
      </c>
      <c r="I93" s="55" t="e">
        <f>'branches '!#REF!</f>
        <v>#REF!</v>
      </c>
      <c r="J93" s="58" t="e">
        <f>'branches '!#REF!</f>
        <v>#REF!</v>
      </c>
      <c r="K93" s="58" t="e">
        <f>'branches '!#REF!</f>
        <v>#REF!</v>
      </c>
      <c r="L93" s="55" t="e">
        <f>'branches '!#REF!</f>
        <v>#REF!</v>
      </c>
    </row>
    <row r="94" spans="1:14" x14ac:dyDescent="0.25">
      <c r="A94" s="298" t="s">
        <v>27</v>
      </c>
      <c r="B94" s="299"/>
      <c r="C94" s="300"/>
      <c r="D94" s="73" t="e">
        <f>SUM(D85:D93)</f>
        <v>#REF!</v>
      </c>
      <c r="E94" s="73" t="e">
        <f>SUM(E85:E93)</f>
        <v>#REF!</v>
      </c>
      <c r="F94" s="51" t="e">
        <f>E94/D94</f>
        <v>#REF!</v>
      </c>
      <c r="G94" s="52" t="e">
        <f>SUM(G85:G93)</f>
        <v>#REF!</v>
      </c>
      <c r="H94" s="52" t="e">
        <f>SUM(H85:H93)</f>
        <v>#REF!</v>
      </c>
      <c r="I94" s="53" t="e">
        <f>H94/G94</f>
        <v>#REF!</v>
      </c>
      <c r="J94" s="73" t="e">
        <f>SUM(J85:J93)</f>
        <v>#REF!</v>
      </c>
      <c r="K94" s="73" t="e">
        <f>SUM(K85:K93)</f>
        <v>#REF!</v>
      </c>
      <c r="L94" s="51" t="e">
        <f>K94/J94</f>
        <v>#REF!</v>
      </c>
    </row>
    <row r="96" spans="1:14" ht="21.75" x14ac:dyDescent="0.25">
      <c r="A96" s="291" t="s">
        <v>1134</v>
      </c>
      <c r="B96" s="291"/>
      <c r="C96" s="291"/>
      <c r="D96" s="291"/>
      <c r="E96" s="291"/>
      <c r="F96" s="291"/>
      <c r="G96" s="291"/>
      <c r="H96" s="291"/>
      <c r="I96" s="291"/>
      <c r="J96" s="291"/>
      <c r="K96" s="291"/>
      <c r="L96" s="291"/>
      <c r="M96" s="291"/>
      <c r="N96" s="291"/>
    </row>
  </sheetData>
  <mergeCells count="50">
    <mergeCell ref="A1:A3"/>
    <mergeCell ref="A5:A6"/>
    <mergeCell ref="B5:B6"/>
    <mergeCell ref="C5:C6"/>
    <mergeCell ref="A16:C16"/>
    <mergeCell ref="A18:A19"/>
    <mergeCell ref="B18:B19"/>
    <mergeCell ref="C18:C19"/>
    <mergeCell ref="A29:C29"/>
    <mergeCell ref="A31:A32"/>
    <mergeCell ref="B31:B32"/>
    <mergeCell ref="C31:C32"/>
    <mergeCell ref="B83:B84"/>
    <mergeCell ref="C83:C84"/>
    <mergeCell ref="A42:C42"/>
    <mergeCell ref="A44:A45"/>
    <mergeCell ref="B44:B45"/>
    <mergeCell ref="C44:C45"/>
    <mergeCell ref="A55:C55"/>
    <mergeCell ref="A57:A58"/>
    <mergeCell ref="B57:B58"/>
    <mergeCell ref="C57:C58"/>
    <mergeCell ref="A94:C94"/>
    <mergeCell ref="N5:N6"/>
    <mergeCell ref="B1:N3"/>
    <mergeCell ref="A96:N96"/>
    <mergeCell ref="D5:H5"/>
    <mergeCell ref="I5:M5"/>
    <mergeCell ref="D18:F18"/>
    <mergeCell ref="G18:I18"/>
    <mergeCell ref="J18:L18"/>
    <mergeCell ref="D31:F31"/>
    <mergeCell ref="A68:C68"/>
    <mergeCell ref="A70:A71"/>
    <mergeCell ref="B70:B71"/>
    <mergeCell ref="C70:C71"/>
    <mergeCell ref="A81:C81"/>
    <mergeCell ref="A83:A84"/>
    <mergeCell ref="G31:I31"/>
    <mergeCell ref="J31:L31"/>
    <mergeCell ref="D44:H44"/>
    <mergeCell ref="I44:K44"/>
    <mergeCell ref="D57:H57"/>
    <mergeCell ref="I57:M57"/>
    <mergeCell ref="D70:H70"/>
    <mergeCell ref="D83:F83"/>
    <mergeCell ref="G83:I83"/>
    <mergeCell ref="J83:L83"/>
    <mergeCell ref="I70:K70"/>
    <mergeCell ref="L70:N70"/>
  </mergeCells>
  <conditionalFormatting sqref="F20:F24 F26:F28">
    <cfRule type="cellIs" dxfId="218" priority="47" operator="between">
      <formula>0.7</formula>
      <formula>0.89</formula>
    </cfRule>
    <cfRule type="cellIs" dxfId="217" priority="46" operator="lessThan">
      <formula>0.7</formula>
    </cfRule>
    <cfRule type="cellIs" dxfId="216" priority="48" operator="greaterThan">
      <formula>0.89</formula>
    </cfRule>
  </conditionalFormatting>
  <conditionalFormatting sqref="F33:F41">
    <cfRule type="cellIs" dxfId="215" priority="39" operator="greaterThan">
      <formula>0.89</formula>
    </cfRule>
    <cfRule type="cellIs" dxfId="214" priority="38" operator="between">
      <formula>0.7</formula>
      <formula>0.89</formula>
    </cfRule>
    <cfRule type="cellIs" dxfId="213" priority="37" operator="lessThan">
      <formula>0.7</formula>
    </cfRule>
  </conditionalFormatting>
  <conditionalFormatting sqref="F85:F93">
    <cfRule type="cellIs" dxfId="212" priority="7" operator="lessThan">
      <formula>0.7</formula>
    </cfRule>
    <cfRule type="cellIs" dxfId="211" priority="8" operator="between">
      <formula>0.7</formula>
      <formula>0.89</formula>
    </cfRule>
    <cfRule type="cellIs" dxfId="210" priority="9" operator="greaterThan">
      <formula>0.89</formula>
    </cfRule>
  </conditionalFormatting>
  <conditionalFormatting sqref="H7:H15">
    <cfRule type="cellIs" dxfId="209" priority="52" operator="lessThan">
      <formula>0.7</formula>
    </cfRule>
    <cfRule type="cellIs" dxfId="208" priority="54" operator="greaterThan">
      <formula>0.89</formula>
    </cfRule>
    <cfRule type="cellIs" dxfId="207" priority="53" operator="between">
      <formula>0.7</formula>
      <formula>0.89</formula>
    </cfRule>
  </conditionalFormatting>
  <conditionalFormatting sqref="H46:H54">
    <cfRule type="cellIs" dxfId="206" priority="28" operator="lessThan">
      <formula>0.7</formula>
    </cfRule>
    <cfRule type="cellIs" dxfId="205" priority="30" operator="greaterThan">
      <formula>0.89</formula>
    </cfRule>
    <cfRule type="cellIs" dxfId="204" priority="29" operator="between">
      <formula>0.7</formula>
      <formula>0.89</formula>
    </cfRule>
  </conditionalFormatting>
  <conditionalFormatting sqref="H59:H67">
    <cfRule type="cellIs" dxfId="203" priority="22" operator="lessThan">
      <formula>0.7</formula>
    </cfRule>
    <cfRule type="cellIs" dxfId="202" priority="23" operator="between">
      <formula>0.7</formula>
      <formula>0.89</formula>
    </cfRule>
    <cfRule type="cellIs" dxfId="201" priority="24" operator="greaterThan">
      <formula>0.89</formula>
    </cfRule>
  </conditionalFormatting>
  <conditionalFormatting sqref="H72:H80">
    <cfRule type="cellIs" dxfId="200" priority="16" operator="lessThan">
      <formula>0.7</formula>
    </cfRule>
    <cfRule type="cellIs" dxfId="199" priority="17" operator="between">
      <formula>0.7</formula>
      <formula>0.89</formula>
    </cfRule>
    <cfRule type="cellIs" dxfId="198" priority="18" operator="greaterThan">
      <formula>0.89</formula>
    </cfRule>
  </conditionalFormatting>
  <conditionalFormatting sqref="I20:I24 I26:I28">
    <cfRule type="cellIs" dxfId="197" priority="45" operator="greaterThan">
      <formula>0.89</formula>
    </cfRule>
    <cfRule type="cellIs" dxfId="196" priority="44" operator="between">
      <formula>0.7</formula>
      <formula>0.89</formula>
    </cfRule>
    <cfRule type="cellIs" dxfId="195" priority="43" operator="lessThan">
      <formula>0.7</formula>
    </cfRule>
  </conditionalFormatting>
  <conditionalFormatting sqref="I33:I41">
    <cfRule type="cellIs" dxfId="194" priority="34" operator="lessThan">
      <formula>0.7</formula>
    </cfRule>
    <cfRule type="cellIs" dxfId="193" priority="35" operator="between">
      <formula>0.7</formula>
      <formula>0.89</formula>
    </cfRule>
    <cfRule type="cellIs" dxfId="192" priority="36" operator="greaterThan">
      <formula>0.89</formula>
    </cfRule>
  </conditionalFormatting>
  <conditionalFormatting sqref="I85:I93">
    <cfRule type="cellIs" dxfId="191" priority="4" operator="lessThan">
      <formula>0.7</formula>
    </cfRule>
    <cfRule type="cellIs" dxfId="190" priority="5" operator="between">
      <formula>0.7</formula>
      <formula>0.89</formula>
    </cfRule>
    <cfRule type="cellIs" dxfId="189" priority="6" operator="greaterThan">
      <formula>0.89</formula>
    </cfRule>
  </conditionalFormatting>
  <conditionalFormatting sqref="K46:K54">
    <cfRule type="cellIs" dxfId="188" priority="25" operator="lessThan">
      <formula>0.7</formula>
    </cfRule>
    <cfRule type="cellIs" dxfId="187" priority="27" operator="greaterThan">
      <formula>0.89</formula>
    </cfRule>
    <cfRule type="cellIs" dxfId="186" priority="26" operator="between">
      <formula>0.7</formula>
      <formula>0.89</formula>
    </cfRule>
  </conditionalFormatting>
  <conditionalFormatting sqref="K72:K80">
    <cfRule type="cellIs" dxfId="185" priority="10" operator="lessThan">
      <formula>0.7</formula>
    </cfRule>
    <cfRule type="cellIs" dxfId="184" priority="11" operator="between">
      <formula>0.7</formula>
      <formula>0.89</formula>
    </cfRule>
    <cfRule type="cellIs" dxfId="183" priority="12" operator="greaterThan">
      <formula>0.89</formula>
    </cfRule>
  </conditionalFormatting>
  <conditionalFormatting sqref="L20:L28">
    <cfRule type="cellIs" dxfId="182" priority="42" operator="greaterThan">
      <formula>0.89</formula>
    </cfRule>
    <cfRule type="cellIs" dxfId="181" priority="40" operator="lessThan">
      <formula>0.7</formula>
    </cfRule>
    <cfRule type="cellIs" dxfId="180" priority="41" operator="between">
      <formula>0.7</formula>
      <formula>0.89</formula>
    </cfRule>
  </conditionalFormatting>
  <conditionalFormatting sqref="L33:L41">
    <cfRule type="cellIs" dxfId="179" priority="33" operator="greaterThan">
      <formula>0.89</formula>
    </cfRule>
    <cfRule type="cellIs" dxfId="178" priority="32" operator="between">
      <formula>0.7</formula>
      <formula>0.89</formula>
    </cfRule>
    <cfRule type="cellIs" dxfId="177" priority="31" operator="lessThan">
      <formula>0.7</formula>
    </cfRule>
  </conditionalFormatting>
  <conditionalFormatting sqref="L85:L93">
    <cfRule type="cellIs" dxfId="176" priority="1" operator="lessThan">
      <formula>0.7</formula>
    </cfRule>
    <cfRule type="cellIs" dxfId="175" priority="3" operator="greaterThan">
      <formula>0.89</formula>
    </cfRule>
    <cfRule type="cellIs" dxfId="174" priority="2" operator="between">
      <formula>0.7</formula>
      <formula>0.89</formula>
    </cfRule>
  </conditionalFormatting>
  <conditionalFormatting sqref="M7:M15">
    <cfRule type="cellIs" dxfId="173" priority="49" operator="lessThan">
      <formula>0.7</formula>
    </cfRule>
    <cfRule type="cellIs" dxfId="172" priority="50" operator="between">
      <formula>0.7</formula>
      <formula>0.89</formula>
    </cfRule>
    <cfRule type="cellIs" dxfId="171" priority="51" operator="greaterThan">
      <formula>0.89</formula>
    </cfRule>
  </conditionalFormatting>
  <conditionalFormatting sqref="M59:M67">
    <cfRule type="cellIs" dxfId="170" priority="21" operator="greaterThan">
      <formula>0.89</formula>
    </cfRule>
    <cfRule type="cellIs" dxfId="169" priority="20" operator="between">
      <formula>0.7</formula>
      <formula>0.89</formula>
    </cfRule>
    <cfRule type="cellIs" dxfId="168" priority="19" operator="lessThan">
      <formula>0.7</formula>
    </cfRule>
  </conditionalFormatting>
  <conditionalFormatting sqref="N72:N80">
    <cfRule type="cellIs" dxfId="167" priority="14" operator="between">
      <formula>0.7</formula>
      <formula>0.89</formula>
    </cfRule>
    <cfRule type="cellIs" dxfId="166" priority="13" operator="lessThan">
      <formula>0.7</formula>
    </cfRule>
    <cfRule type="cellIs" dxfId="165" priority="15" operator="greaterThan">
      <formula>0.89</formula>
    </cfRule>
  </conditionalFormatting>
  <pageMargins left="0.7" right="0.7" top="0.75" bottom="0.75" header="0.3" footer="0.3"/>
  <ignoredErrors>
    <ignoredError sqref="H16 I29 F29 I42 F42 H55 H68 M16 F94 I94 K81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628E3-FD12-485F-9F7F-4E178C731595}">
  <dimension ref="A1:N89"/>
  <sheetViews>
    <sheetView showGridLines="0" workbookViewId="0">
      <selection activeCell="N21" sqref="N21"/>
    </sheetView>
  </sheetViews>
  <sheetFormatPr defaultColWidth="8.85546875" defaultRowHeight="15" x14ac:dyDescent="0.25"/>
  <cols>
    <col min="1" max="1" width="6" style="40" bestFit="1" customWidth="1"/>
    <col min="2" max="2" width="9.140625" style="40" bestFit="1" customWidth="1"/>
    <col min="3" max="3" width="28.42578125" style="40" bestFit="1" customWidth="1"/>
    <col min="4" max="4" width="10.42578125" style="40" bestFit="1" customWidth="1"/>
    <col min="5" max="5" width="15.42578125" style="40" bestFit="1" customWidth="1"/>
    <col min="6" max="6" width="16.42578125" style="40" bestFit="1" customWidth="1"/>
    <col min="7" max="7" width="10.42578125" style="40" bestFit="1" customWidth="1"/>
    <col min="8" max="8" width="12.42578125" style="40" bestFit="1" customWidth="1"/>
    <col min="9" max="9" width="10.42578125" style="40" bestFit="1" customWidth="1"/>
    <col min="10" max="10" width="16.42578125" style="40" bestFit="1" customWidth="1"/>
    <col min="11" max="11" width="16.140625" style="40" bestFit="1" customWidth="1"/>
    <col min="12" max="12" width="10.42578125" style="40" bestFit="1" customWidth="1"/>
    <col min="13" max="13" width="9.42578125" style="40" customWidth="1"/>
    <col min="14" max="14" width="11.42578125" style="40" bestFit="1" customWidth="1"/>
    <col min="15" max="16384" width="8.85546875" style="40"/>
  </cols>
  <sheetData>
    <row r="1" spans="1:14" x14ac:dyDescent="0.25">
      <c r="A1" s="301"/>
      <c r="B1" s="290" t="s">
        <v>30</v>
      </c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</row>
    <row r="2" spans="1:14" x14ac:dyDescent="0.25">
      <c r="A2" s="301"/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</row>
    <row r="3" spans="1:14" x14ac:dyDescent="0.25">
      <c r="A3" s="301"/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</row>
    <row r="5" spans="1:14" x14ac:dyDescent="0.25">
      <c r="A5" s="302" t="s">
        <v>508</v>
      </c>
      <c r="B5" s="302" t="s">
        <v>18</v>
      </c>
      <c r="C5" s="302" t="s">
        <v>19</v>
      </c>
      <c r="D5" s="296" t="s">
        <v>1156</v>
      </c>
      <c r="E5" s="296"/>
      <c r="F5" s="296"/>
      <c r="G5" s="296"/>
      <c r="H5" s="296"/>
      <c r="I5" s="288" t="s">
        <v>1155</v>
      </c>
      <c r="J5" s="288"/>
      <c r="K5" s="288"/>
      <c r="L5" s="288"/>
      <c r="M5" s="288"/>
      <c r="N5" s="289" t="s">
        <v>1164</v>
      </c>
    </row>
    <row r="6" spans="1:14" x14ac:dyDescent="0.25">
      <c r="A6" s="302"/>
      <c r="B6" s="302"/>
      <c r="C6" s="302"/>
      <c r="D6" s="73" t="s">
        <v>24</v>
      </c>
      <c r="E6" s="50" t="s">
        <v>25</v>
      </c>
      <c r="F6" s="50" t="s">
        <v>26</v>
      </c>
      <c r="G6" s="50" t="s">
        <v>27</v>
      </c>
      <c r="H6" s="51" t="s">
        <v>28</v>
      </c>
      <c r="I6" s="52" t="s">
        <v>24</v>
      </c>
      <c r="J6" s="52" t="s">
        <v>25</v>
      </c>
      <c r="K6" s="52" t="s">
        <v>26</v>
      </c>
      <c r="L6" s="52" t="s">
        <v>27</v>
      </c>
      <c r="M6" s="53" t="s">
        <v>28</v>
      </c>
      <c r="N6" s="289"/>
    </row>
    <row r="7" spans="1:14" x14ac:dyDescent="0.25">
      <c r="A7" s="54">
        <v>73011</v>
      </c>
      <c r="B7" s="54" t="s">
        <v>30</v>
      </c>
      <c r="C7" s="54" t="s">
        <v>516</v>
      </c>
      <c r="D7" s="58">
        <f>'branches '!D28</f>
        <v>693646</v>
      </c>
      <c r="E7" s="58">
        <f>'branches '!E28</f>
        <v>594268.87</v>
      </c>
      <c r="F7" s="58" t="e">
        <f>'branches '!#REF!</f>
        <v>#REF!</v>
      </c>
      <c r="G7" s="58" t="e">
        <f>'branches '!#REF!</f>
        <v>#REF!</v>
      </c>
      <c r="H7" s="55">
        <f>'branches '!F28</f>
        <v>0.85673220922487836</v>
      </c>
      <c r="I7" s="58">
        <f>'branches '!G28</f>
        <v>41135</v>
      </c>
      <c r="J7" s="58">
        <f>'branches '!H28</f>
        <v>52166.289999999994</v>
      </c>
      <c r="K7" s="58" t="e">
        <f>'branches '!#REF!</f>
        <v>#REF!</v>
      </c>
      <c r="L7" s="58" t="e">
        <f>'branches '!#REF!</f>
        <v>#REF!</v>
      </c>
      <c r="M7" s="55">
        <f>'branches '!I28</f>
        <v>1.2681728455086907</v>
      </c>
      <c r="N7" s="58" t="e">
        <f>G7+L7+K31</f>
        <v>#REF!</v>
      </c>
    </row>
    <row r="8" spans="1:14" x14ac:dyDescent="0.25">
      <c r="A8" s="54">
        <v>73013</v>
      </c>
      <c r="B8" s="54" t="s">
        <v>30</v>
      </c>
      <c r="C8" s="54" t="s">
        <v>42</v>
      </c>
      <c r="D8" s="58">
        <f>'branches '!D29</f>
        <v>1117666</v>
      </c>
      <c r="E8" s="58">
        <f>'branches '!E29</f>
        <v>862267.40000000014</v>
      </c>
      <c r="F8" s="58" t="e">
        <f>'branches '!#REF!</f>
        <v>#REF!</v>
      </c>
      <c r="G8" s="58" t="e">
        <f>'branches '!#REF!</f>
        <v>#REF!</v>
      </c>
      <c r="H8" s="55">
        <f>'branches '!F29</f>
        <v>0.77148933581230894</v>
      </c>
      <c r="I8" s="58">
        <f>'branches '!G29</f>
        <v>223225</v>
      </c>
      <c r="J8" s="58">
        <f>'branches '!H29</f>
        <v>77571.010000000009</v>
      </c>
      <c r="K8" s="58" t="e">
        <f>'branches '!#REF!</f>
        <v>#REF!</v>
      </c>
      <c r="L8" s="58" t="e">
        <f>'branches '!#REF!</f>
        <v>#REF!</v>
      </c>
      <c r="M8" s="55">
        <f>'branches '!I29</f>
        <v>0.34750144473065298</v>
      </c>
      <c r="N8" s="58" t="e">
        <f t="shared" ref="N8:N14" si="0">G8+L8+K32</f>
        <v>#REF!</v>
      </c>
    </row>
    <row r="9" spans="1:14" x14ac:dyDescent="0.25">
      <c r="A9" s="54">
        <v>73014</v>
      </c>
      <c r="B9" s="54" t="s">
        <v>30</v>
      </c>
      <c r="C9" s="54" t="s">
        <v>52</v>
      </c>
      <c r="D9" s="58">
        <f>'branches '!D30</f>
        <v>587542</v>
      </c>
      <c r="E9" s="58">
        <f>'branches '!E30</f>
        <v>139913.07999999999</v>
      </c>
      <c r="F9" s="58" t="e">
        <f>'branches '!#REF!</f>
        <v>#REF!</v>
      </c>
      <c r="G9" s="58" t="e">
        <f>'branches '!#REF!</f>
        <v>#REF!</v>
      </c>
      <c r="H9" s="55">
        <f>'branches '!F30</f>
        <v>0.23813289943527438</v>
      </c>
      <c r="I9" s="58">
        <f>'branches '!G30</f>
        <v>80315</v>
      </c>
      <c r="J9" s="58">
        <f>'branches '!H30</f>
        <v>23392.160000000003</v>
      </c>
      <c r="K9" s="58" t="e">
        <f>'branches '!#REF!</f>
        <v>#REF!</v>
      </c>
      <c r="L9" s="58" t="e">
        <f>'branches '!#REF!</f>
        <v>#REF!</v>
      </c>
      <c r="M9" s="55">
        <f>'branches '!I30</f>
        <v>0.29125518271804773</v>
      </c>
      <c r="N9" s="58" t="e">
        <f t="shared" si="0"/>
        <v>#REF!</v>
      </c>
    </row>
    <row r="10" spans="1:14" x14ac:dyDescent="0.25">
      <c r="A10" s="54">
        <v>73016</v>
      </c>
      <c r="B10" s="54" t="s">
        <v>30</v>
      </c>
      <c r="C10" s="54" t="s">
        <v>59</v>
      </c>
      <c r="D10" s="58" t="e">
        <f>'branches '!#REF!</f>
        <v>#REF!</v>
      </c>
      <c r="E10" s="58" t="e">
        <f>'branches '!#REF!</f>
        <v>#REF!</v>
      </c>
      <c r="F10" s="58" t="e">
        <f>'branches '!#REF!</f>
        <v>#REF!</v>
      </c>
      <c r="G10" s="58" t="e">
        <f>'branches '!#REF!</f>
        <v>#REF!</v>
      </c>
      <c r="H10" s="55" t="e">
        <f>'branches '!#REF!</f>
        <v>#REF!</v>
      </c>
      <c r="I10" s="58" t="e">
        <f>'branches '!#REF!</f>
        <v>#REF!</v>
      </c>
      <c r="J10" s="58" t="e">
        <f>'branches '!#REF!</f>
        <v>#REF!</v>
      </c>
      <c r="K10" s="58" t="e">
        <f>'branches '!#REF!</f>
        <v>#REF!</v>
      </c>
      <c r="L10" s="58" t="e">
        <f>'branches '!#REF!</f>
        <v>#REF!</v>
      </c>
      <c r="M10" s="55" t="e">
        <f>'branches '!#REF!</f>
        <v>#REF!</v>
      </c>
      <c r="N10" s="58" t="e">
        <f t="shared" si="0"/>
        <v>#REF!</v>
      </c>
    </row>
    <row r="11" spans="1:14" x14ac:dyDescent="0.25">
      <c r="A11" s="54">
        <v>73024</v>
      </c>
      <c r="B11" s="54" t="s">
        <v>30</v>
      </c>
      <c r="C11" s="54" t="s">
        <v>517</v>
      </c>
      <c r="D11" s="58">
        <f>'branches '!D31</f>
        <v>192009</v>
      </c>
      <c r="E11" s="58">
        <f>'branches '!E31</f>
        <v>119844.37</v>
      </c>
      <c r="F11" s="58" t="e">
        <f>'branches '!#REF!</f>
        <v>#REF!</v>
      </c>
      <c r="G11" s="58" t="e">
        <f>'branches '!#REF!</f>
        <v>#REF!</v>
      </c>
      <c r="H11" s="55">
        <f>'branches '!F31</f>
        <v>0.62416016957538445</v>
      </c>
      <c r="I11" s="58">
        <f>'branches '!G31</f>
        <v>25214</v>
      </c>
      <c r="J11" s="58">
        <f>'branches '!H31</f>
        <v>1724.35</v>
      </c>
      <c r="K11" s="58" t="e">
        <f>'branches '!#REF!</f>
        <v>#REF!</v>
      </c>
      <c r="L11" s="58" t="e">
        <f>'branches '!#REF!</f>
        <v>#REF!</v>
      </c>
      <c r="M11" s="55">
        <f>'branches '!I31</f>
        <v>6.8388593638454828E-2</v>
      </c>
      <c r="N11" s="58" t="e">
        <f t="shared" si="0"/>
        <v>#REF!</v>
      </c>
    </row>
    <row r="12" spans="1:14" x14ac:dyDescent="0.25">
      <c r="A12" s="54">
        <v>73025</v>
      </c>
      <c r="B12" s="54" t="s">
        <v>30</v>
      </c>
      <c r="C12" s="54" t="s">
        <v>518</v>
      </c>
      <c r="D12" s="58">
        <f>'branches '!D32</f>
        <v>1342486</v>
      </c>
      <c r="E12" s="58">
        <f>'branches '!E32</f>
        <v>1052260.19</v>
      </c>
      <c r="F12" s="58" t="e">
        <f>'branches '!#REF!</f>
        <v>#REF!</v>
      </c>
      <c r="G12" s="58" t="e">
        <f>'branches '!#REF!</f>
        <v>#REF!</v>
      </c>
      <c r="H12" s="55">
        <f>'branches '!F32</f>
        <v>0.78381464685665247</v>
      </c>
      <c r="I12" s="58">
        <f>'branches '!G32</f>
        <v>129806</v>
      </c>
      <c r="J12" s="58">
        <f>'branches '!H32</f>
        <v>46359.199999999997</v>
      </c>
      <c r="K12" s="58" t="e">
        <f>'branches '!#REF!</f>
        <v>#REF!</v>
      </c>
      <c r="L12" s="58" t="e">
        <f>'branches '!#REF!</f>
        <v>#REF!</v>
      </c>
      <c r="M12" s="55">
        <f>'branches '!I32</f>
        <v>0.3571421968167881</v>
      </c>
      <c r="N12" s="58" t="e">
        <f t="shared" si="0"/>
        <v>#REF!</v>
      </c>
    </row>
    <row r="13" spans="1:14" x14ac:dyDescent="0.25">
      <c r="A13" s="54">
        <v>73029</v>
      </c>
      <c r="B13" s="54" t="s">
        <v>30</v>
      </c>
      <c r="C13" s="54" t="s">
        <v>519</v>
      </c>
      <c r="D13" s="58">
        <f>'branches '!D33</f>
        <v>700427</v>
      </c>
      <c r="E13" s="58">
        <f>'branches '!E33</f>
        <v>460532.27</v>
      </c>
      <c r="F13" s="58" t="e">
        <f>'branches '!#REF!</f>
        <v>#REF!</v>
      </c>
      <c r="G13" s="58" t="e">
        <f>'branches '!#REF!</f>
        <v>#REF!</v>
      </c>
      <c r="H13" s="55">
        <f>'branches '!F33</f>
        <v>0.65750216653555615</v>
      </c>
      <c r="I13" s="58">
        <f>'branches '!G33</f>
        <v>53103</v>
      </c>
      <c r="J13" s="58">
        <f>'branches '!H33</f>
        <v>10467.82</v>
      </c>
      <c r="K13" s="58" t="e">
        <f>'branches '!#REF!</f>
        <v>#REF!</v>
      </c>
      <c r="L13" s="58" t="e">
        <f>'branches '!#REF!</f>
        <v>#REF!</v>
      </c>
      <c r="M13" s="55">
        <f>'branches '!I33</f>
        <v>0.19712294973918609</v>
      </c>
      <c r="N13" s="58" t="e">
        <f t="shared" si="0"/>
        <v>#REF!</v>
      </c>
    </row>
    <row r="14" spans="1:14" x14ac:dyDescent="0.25">
      <c r="A14" s="54">
        <v>73036</v>
      </c>
      <c r="B14" s="54" t="s">
        <v>30</v>
      </c>
      <c r="C14" s="54" t="s">
        <v>520</v>
      </c>
      <c r="D14" s="58">
        <f>'branches '!D34</f>
        <v>291845</v>
      </c>
      <c r="E14" s="58">
        <f>'branches '!E34</f>
        <v>282540.18</v>
      </c>
      <c r="F14" s="58" t="e">
        <f>'branches '!#REF!</f>
        <v>#REF!</v>
      </c>
      <c r="G14" s="58" t="e">
        <f>'branches '!#REF!</f>
        <v>#REF!</v>
      </c>
      <c r="H14" s="55">
        <f>'branches '!F34</f>
        <v>0.96811725402182658</v>
      </c>
      <c r="I14" s="58">
        <f>'branches '!G34</f>
        <v>29502</v>
      </c>
      <c r="J14" s="58">
        <f>'branches '!H34</f>
        <v>15536.53</v>
      </c>
      <c r="K14" s="58" t="e">
        <f>'branches '!#REF!</f>
        <v>#REF!</v>
      </c>
      <c r="L14" s="58" t="e">
        <f>'branches '!#REF!</f>
        <v>#REF!</v>
      </c>
      <c r="M14" s="55">
        <f>'branches '!I34</f>
        <v>0.52662633041827678</v>
      </c>
      <c r="N14" s="58" t="e">
        <f t="shared" si="0"/>
        <v>#REF!</v>
      </c>
    </row>
    <row r="15" spans="1:14" x14ac:dyDescent="0.25">
      <c r="A15" s="298" t="s">
        <v>27</v>
      </c>
      <c r="B15" s="299"/>
      <c r="C15" s="300"/>
      <c r="D15" s="73" t="e">
        <f>SUM(D7:D14)</f>
        <v>#REF!</v>
      </c>
      <c r="E15" s="73" t="e">
        <f>SUM(E7:E14)</f>
        <v>#REF!</v>
      </c>
      <c r="F15" s="73" t="e">
        <f>SUM(F7:F14)</f>
        <v>#REF!</v>
      </c>
      <c r="G15" s="73" t="e">
        <f>SUM(G7:G14)</f>
        <v>#REF!</v>
      </c>
      <c r="H15" s="74" t="e">
        <f>G15/D15</f>
        <v>#REF!</v>
      </c>
      <c r="I15" s="52" t="e">
        <f>SUM(I7:I14)</f>
        <v>#REF!</v>
      </c>
      <c r="J15" s="52" t="e">
        <f>SUM(J7:J14)</f>
        <v>#REF!</v>
      </c>
      <c r="K15" s="52" t="e">
        <f>SUM(K7:K14)</f>
        <v>#REF!</v>
      </c>
      <c r="L15" s="52" t="e">
        <f>SUM(L7:L14)</f>
        <v>#REF!</v>
      </c>
      <c r="M15" s="53" t="e">
        <f>L15/I15</f>
        <v>#REF!</v>
      </c>
      <c r="N15" s="73" t="e">
        <f>SUM(N7:N14)</f>
        <v>#REF!</v>
      </c>
    </row>
    <row r="17" spans="1:12" x14ac:dyDescent="0.25">
      <c r="A17" s="302" t="s">
        <v>508</v>
      </c>
      <c r="B17" s="302" t="s">
        <v>18</v>
      </c>
      <c r="C17" s="302" t="s">
        <v>19</v>
      </c>
      <c r="D17" s="296" t="s">
        <v>496</v>
      </c>
      <c r="E17" s="296"/>
      <c r="F17" s="296"/>
      <c r="G17" s="288" t="s">
        <v>522</v>
      </c>
      <c r="H17" s="288"/>
      <c r="I17" s="288"/>
      <c r="J17" s="296" t="s">
        <v>507</v>
      </c>
      <c r="K17" s="296"/>
      <c r="L17" s="296"/>
    </row>
    <row r="18" spans="1:12" x14ac:dyDescent="0.25">
      <c r="A18" s="302"/>
      <c r="B18" s="302"/>
      <c r="C18" s="302"/>
      <c r="D18" s="73" t="s">
        <v>24</v>
      </c>
      <c r="E18" s="73" t="s">
        <v>29</v>
      </c>
      <c r="F18" s="73" t="s">
        <v>28</v>
      </c>
      <c r="G18" s="52" t="s">
        <v>24</v>
      </c>
      <c r="H18" s="52" t="s">
        <v>29</v>
      </c>
      <c r="I18" s="53" t="s">
        <v>28</v>
      </c>
      <c r="J18" s="73" t="s">
        <v>24</v>
      </c>
      <c r="K18" s="73" t="s">
        <v>29</v>
      </c>
      <c r="L18" s="73" t="s">
        <v>28</v>
      </c>
    </row>
    <row r="19" spans="1:12" x14ac:dyDescent="0.25">
      <c r="A19" s="54">
        <v>73011</v>
      </c>
      <c r="B19" s="54" t="s">
        <v>30</v>
      </c>
      <c r="C19" s="54" t="s">
        <v>516</v>
      </c>
      <c r="D19" s="58">
        <f>'branches '!M28</f>
        <v>8457</v>
      </c>
      <c r="E19" s="58">
        <f>'branches '!N28</f>
        <v>290</v>
      </c>
      <c r="F19" s="55">
        <f>'branches '!O28</f>
        <v>3.4291119782428756E-2</v>
      </c>
      <c r="G19" s="58" t="e">
        <f>'branches '!#REF!</f>
        <v>#REF!</v>
      </c>
      <c r="H19" s="58" t="e">
        <f>'branches '!#REF!</f>
        <v>#REF!</v>
      </c>
      <c r="I19" s="55" t="e">
        <f>'branches '!#REF!</f>
        <v>#REF!</v>
      </c>
      <c r="J19" s="58">
        <f>'branches '!AK28</f>
        <v>20.300767301254705</v>
      </c>
      <c r="K19" s="58">
        <f>'branches '!AL28</f>
        <v>0</v>
      </c>
      <c r="L19" s="55">
        <f>'branches '!AM28</f>
        <v>0</v>
      </c>
    </row>
    <row r="20" spans="1:12" x14ac:dyDescent="0.25">
      <c r="A20" s="54">
        <v>73013</v>
      </c>
      <c r="B20" s="54" t="s">
        <v>30</v>
      </c>
      <c r="C20" s="54" t="s">
        <v>42</v>
      </c>
      <c r="D20" s="58">
        <f>'branches '!M29</f>
        <v>13714</v>
      </c>
      <c r="E20" s="58">
        <f>'branches '!N29</f>
        <v>2818</v>
      </c>
      <c r="F20" s="55">
        <f>'branches '!O29</f>
        <v>0.20548344757182441</v>
      </c>
      <c r="G20" s="58" t="e">
        <f>'branches '!#REF!</f>
        <v>#REF!</v>
      </c>
      <c r="H20" s="58" t="e">
        <f>'branches '!#REF!</f>
        <v>#REF!</v>
      </c>
      <c r="I20" s="55" t="e">
        <f>'branches '!#REF!</f>
        <v>#REF!</v>
      </c>
      <c r="J20" s="58">
        <f>'branches '!AK29</f>
        <v>32.710456611188043</v>
      </c>
      <c r="K20" s="58">
        <f>'branches '!AL29</f>
        <v>1</v>
      </c>
      <c r="L20" s="55">
        <f>'branches '!AM29</f>
        <v>3.0571263858724839E-2</v>
      </c>
    </row>
    <row r="21" spans="1:12" x14ac:dyDescent="0.25">
      <c r="A21" s="54">
        <v>73014</v>
      </c>
      <c r="B21" s="54" t="s">
        <v>30</v>
      </c>
      <c r="C21" s="54" t="s">
        <v>52</v>
      </c>
      <c r="D21" s="58">
        <f>'branches '!M30</f>
        <v>6954</v>
      </c>
      <c r="E21" s="58">
        <f>'branches '!N30</f>
        <v>2529</v>
      </c>
      <c r="F21" s="55">
        <f>'branches '!O30</f>
        <v>0.36367558239861952</v>
      </c>
      <c r="G21" s="58" t="e">
        <f>'branches '!#REF!</f>
        <v>#REF!</v>
      </c>
      <c r="H21" s="58" t="e">
        <f>'branches '!#REF!</f>
        <v>#REF!</v>
      </c>
      <c r="I21" s="55" t="e">
        <f>'branches '!#REF!</f>
        <v>#REF!</v>
      </c>
      <c r="J21" s="58">
        <f>'branches '!AK30</f>
        <v>17.195447565060263</v>
      </c>
      <c r="K21" s="58">
        <f>'branches '!AL30</f>
        <v>0</v>
      </c>
      <c r="L21" s="55">
        <f>'branches '!AM30</f>
        <v>0</v>
      </c>
    </row>
    <row r="22" spans="1:12" x14ac:dyDescent="0.25">
      <c r="A22" s="54">
        <v>73016</v>
      </c>
      <c r="B22" s="54" t="s">
        <v>30</v>
      </c>
      <c r="C22" s="54" t="s">
        <v>59</v>
      </c>
      <c r="D22" s="58" t="e">
        <f>'branches '!#REF!</f>
        <v>#REF!</v>
      </c>
      <c r="E22" s="58" t="e">
        <f>'branches '!#REF!</f>
        <v>#REF!</v>
      </c>
      <c r="F22" s="55" t="e">
        <f>'branches '!#REF!</f>
        <v>#REF!</v>
      </c>
      <c r="G22" s="58" t="e">
        <f>'branches '!#REF!</f>
        <v>#REF!</v>
      </c>
      <c r="H22" s="58" t="e">
        <f>'branches '!#REF!</f>
        <v>#REF!</v>
      </c>
      <c r="I22" s="55" t="e">
        <f>'branches '!#REF!</f>
        <v>#REF!</v>
      </c>
      <c r="J22" s="58" t="e">
        <f>'branches '!#REF!</f>
        <v>#REF!</v>
      </c>
      <c r="K22" s="58" t="e">
        <f>'branches '!#REF!</f>
        <v>#REF!</v>
      </c>
      <c r="L22" s="55" t="e">
        <f>'branches '!#REF!</f>
        <v>#REF!</v>
      </c>
    </row>
    <row r="23" spans="1:12" x14ac:dyDescent="0.25">
      <c r="A23" s="54">
        <v>73024</v>
      </c>
      <c r="B23" s="54" t="s">
        <v>30</v>
      </c>
      <c r="C23" s="54" t="s">
        <v>517</v>
      </c>
      <c r="D23" s="58">
        <f>'branches '!M31</f>
        <v>0</v>
      </c>
      <c r="E23" s="58">
        <f>'branches '!N31</f>
        <v>0</v>
      </c>
      <c r="F23" s="55" t="e">
        <f>'branches '!O31</f>
        <v>#DIV/0!</v>
      </c>
      <c r="G23" s="58" t="e">
        <f>'branches '!#REF!</f>
        <v>#REF!</v>
      </c>
      <c r="H23" s="58" t="e">
        <f>'branches '!#REF!</f>
        <v>#REF!</v>
      </c>
      <c r="I23" s="55" t="e">
        <f>'branches '!#REF!</f>
        <v>#REF!</v>
      </c>
      <c r="J23" s="58">
        <f>'branches '!AK31</f>
        <v>5.6194802950591729</v>
      </c>
      <c r="K23" s="58">
        <f>'branches '!AL31</f>
        <v>0</v>
      </c>
      <c r="L23" s="55">
        <f>'branches '!AM31</f>
        <v>0</v>
      </c>
    </row>
    <row r="24" spans="1:12" x14ac:dyDescent="0.25">
      <c r="A24" s="54">
        <v>73025</v>
      </c>
      <c r="B24" s="54" t="s">
        <v>30</v>
      </c>
      <c r="C24" s="54" t="s">
        <v>518</v>
      </c>
      <c r="D24" s="58">
        <f>'branches '!M32</f>
        <v>23081</v>
      </c>
      <c r="E24" s="58">
        <f>'branches '!N32</f>
        <v>2470</v>
      </c>
      <c r="F24" s="55">
        <f>'branches '!O32</f>
        <v>0.10701442745115029</v>
      </c>
      <c r="G24" s="58" t="e">
        <f>'branches '!#REF!</f>
        <v>#REF!</v>
      </c>
      <c r="H24" s="58" t="e">
        <f>'branches '!#REF!</f>
        <v>#REF!</v>
      </c>
      <c r="I24" s="55" t="e">
        <f>'branches '!#REF!</f>
        <v>#REF!</v>
      </c>
      <c r="J24" s="58">
        <f>'branches '!AK32</f>
        <v>39.290208393319105</v>
      </c>
      <c r="K24" s="58">
        <f>'branches '!AL32</f>
        <v>0</v>
      </c>
      <c r="L24" s="55">
        <f>'branches '!AM32</f>
        <v>0</v>
      </c>
    </row>
    <row r="25" spans="1:12" x14ac:dyDescent="0.25">
      <c r="A25" s="54">
        <v>73029</v>
      </c>
      <c r="B25" s="54" t="s">
        <v>30</v>
      </c>
      <c r="C25" s="54" t="s">
        <v>519</v>
      </c>
      <c r="D25" s="58">
        <f>'branches '!M33</f>
        <v>6935</v>
      </c>
      <c r="E25" s="58">
        <f>'branches '!N33</f>
        <v>0</v>
      </c>
      <c r="F25" s="55">
        <f>'branches '!O33</f>
        <v>0</v>
      </c>
      <c r="G25" s="58" t="e">
        <f>'branches '!#REF!</f>
        <v>#REF!</v>
      </c>
      <c r="H25" s="58" t="e">
        <f>'branches '!#REF!</f>
        <v>#REF!</v>
      </c>
      <c r="I25" s="55" t="e">
        <f>'branches '!#REF!</f>
        <v>#REF!</v>
      </c>
      <c r="J25" s="58">
        <f>'branches '!AK33</f>
        <v>20.499225164588175</v>
      </c>
      <c r="K25" s="58">
        <f>'branches '!AL33</f>
        <v>0</v>
      </c>
      <c r="L25" s="55">
        <f>'branches '!AM33</f>
        <v>0</v>
      </c>
    </row>
    <row r="26" spans="1:12" x14ac:dyDescent="0.25">
      <c r="A26" s="54">
        <v>73036</v>
      </c>
      <c r="B26" s="54" t="s">
        <v>30</v>
      </c>
      <c r="C26" s="54" t="s">
        <v>520</v>
      </c>
      <c r="D26" s="58">
        <f>'branches '!M34</f>
        <v>4957</v>
      </c>
      <c r="E26" s="58">
        <f>'branches '!N34</f>
        <v>0</v>
      </c>
      <c r="F26" s="55">
        <f>'branches '!O34</f>
        <v>0</v>
      </c>
      <c r="G26" s="58" t="e">
        <f>'branches '!#REF!</f>
        <v>#REF!</v>
      </c>
      <c r="H26" s="58" t="e">
        <f>'branches '!#REF!</f>
        <v>#REF!</v>
      </c>
      <c r="I26" s="55" t="e">
        <f>'branches '!#REF!</f>
        <v>#REF!</v>
      </c>
      <c r="J26" s="58">
        <f>'branches '!AK34</f>
        <v>8.5413560130595148</v>
      </c>
      <c r="K26" s="58">
        <f>'branches '!AL34</f>
        <v>0</v>
      </c>
      <c r="L26" s="55">
        <f>'branches '!AM34</f>
        <v>0</v>
      </c>
    </row>
    <row r="27" spans="1:12" x14ac:dyDescent="0.25">
      <c r="A27" s="298" t="s">
        <v>27</v>
      </c>
      <c r="B27" s="299"/>
      <c r="C27" s="300"/>
      <c r="D27" s="73" t="e">
        <f>SUM(D19:D26)</f>
        <v>#REF!</v>
      </c>
      <c r="E27" s="73" t="e">
        <f>SUM(E19:E26)</f>
        <v>#REF!</v>
      </c>
      <c r="F27" s="74" t="e">
        <f>E27/D27</f>
        <v>#REF!</v>
      </c>
      <c r="G27" s="52" t="e">
        <f>SUM(G19:G26)</f>
        <v>#REF!</v>
      </c>
      <c r="H27" s="52" t="e">
        <f>SUM(H19:H26)</f>
        <v>#REF!</v>
      </c>
      <c r="I27" s="53" t="e">
        <f>H27/G27</f>
        <v>#REF!</v>
      </c>
      <c r="J27" s="73" t="e">
        <f>SUM(J19:J26)</f>
        <v>#REF!</v>
      </c>
      <c r="K27" s="73" t="e">
        <f>SUM(K19:K26)</f>
        <v>#REF!</v>
      </c>
      <c r="L27" s="74" t="e">
        <f>K27/J27</f>
        <v>#REF!</v>
      </c>
    </row>
    <row r="29" spans="1:12" x14ac:dyDescent="0.25">
      <c r="A29" s="302" t="s">
        <v>508</v>
      </c>
      <c r="B29" s="302" t="s">
        <v>18</v>
      </c>
      <c r="C29" s="302" t="s">
        <v>19</v>
      </c>
      <c r="D29" s="287" t="s">
        <v>1154</v>
      </c>
      <c r="E29" s="287"/>
      <c r="F29" s="287"/>
      <c r="G29" s="297" t="s">
        <v>466</v>
      </c>
      <c r="H29" s="297"/>
      <c r="I29" s="297"/>
      <c r="J29" s="287" t="s">
        <v>523</v>
      </c>
      <c r="K29" s="287"/>
      <c r="L29" s="287"/>
    </row>
    <row r="30" spans="1:12" x14ac:dyDescent="0.25">
      <c r="A30" s="302"/>
      <c r="B30" s="302"/>
      <c r="C30" s="302"/>
      <c r="D30" s="73" t="s">
        <v>24</v>
      </c>
      <c r="E30" s="50" t="s">
        <v>29</v>
      </c>
      <c r="F30" s="51" t="s">
        <v>28</v>
      </c>
      <c r="G30" s="52" t="s">
        <v>24</v>
      </c>
      <c r="H30" s="52" t="s">
        <v>29</v>
      </c>
      <c r="I30" s="53" t="s">
        <v>28</v>
      </c>
      <c r="J30" s="50" t="s">
        <v>24</v>
      </c>
      <c r="K30" s="50" t="s">
        <v>29</v>
      </c>
      <c r="L30" s="51" t="s">
        <v>28</v>
      </c>
    </row>
    <row r="31" spans="1:12" x14ac:dyDescent="0.25">
      <c r="A31" s="54">
        <v>73011</v>
      </c>
      <c r="B31" s="54" t="s">
        <v>30</v>
      </c>
      <c r="C31" s="54" t="s">
        <v>516</v>
      </c>
      <c r="D31" s="58">
        <f>'branches '!P28</f>
        <v>207</v>
      </c>
      <c r="E31" s="58">
        <f>'branches '!Q28</f>
        <v>110</v>
      </c>
      <c r="F31" s="55">
        <f>'branches '!R28</f>
        <v>0.53140096618357491</v>
      </c>
      <c r="G31" s="58">
        <f>'branches '!S28</f>
        <v>24</v>
      </c>
      <c r="H31" s="58">
        <f>'branches '!T28</f>
        <v>11</v>
      </c>
      <c r="I31" s="55">
        <f>'branches '!U28</f>
        <v>0.45833333333333331</v>
      </c>
      <c r="J31" s="58" t="e">
        <f>'branches '!#REF!</f>
        <v>#REF!</v>
      </c>
      <c r="K31" s="58" t="e">
        <f>'branches '!#REF!</f>
        <v>#REF!</v>
      </c>
      <c r="L31" s="55" t="e">
        <f>'branches '!#REF!</f>
        <v>#REF!</v>
      </c>
    </row>
    <row r="32" spans="1:12" x14ac:dyDescent="0.25">
      <c r="A32" s="54">
        <v>73013</v>
      </c>
      <c r="B32" s="54" t="s">
        <v>30</v>
      </c>
      <c r="C32" s="54" t="s">
        <v>42</v>
      </c>
      <c r="D32" s="58">
        <f>'branches '!P29</f>
        <v>240</v>
      </c>
      <c r="E32" s="58">
        <f>'branches '!Q29</f>
        <v>91</v>
      </c>
      <c r="F32" s="55">
        <f>'branches '!R29</f>
        <v>0.37916666666666665</v>
      </c>
      <c r="G32" s="58">
        <f>'branches '!S29</f>
        <v>37</v>
      </c>
      <c r="H32" s="58">
        <f>'branches '!T29</f>
        <v>11</v>
      </c>
      <c r="I32" s="55">
        <f>'branches '!U29</f>
        <v>0.29729729729729731</v>
      </c>
      <c r="J32" s="58" t="e">
        <f>'branches '!#REF!</f>
        <v>#REF!</v>
      </c>
      <c r="K32" s="58" t="e">
        <f>'branches '!#REF!</f>
        <v>#REF!</v>
      </c>
      <c r="L32" s="55" t="e">
        <f>'branches '!#REF!</f>
        <v>#REF!</v>
      </c>
    </row>
    <row r="33" spans="1:12" x14ac:dyDescent="0.25">
      <c r="A33" s="54">
        <v>73014</v>
      </c>
      <c r="B33" s="54" t="s">
        <v>30</v>
      </c>
      <c r="C33" s="54" t="s">
        <v>52</v>
      </c>
      <c r="D33" s="58">
        <f>'branches '!P30</f>
        <v>73</v>
      </c>
      <c r="E33" s="58">
        <f>'branches '!Q30</f>
        <v>35</v>
      </c>
      <c r="F33" s="55">
        <f>'branches '!R30</f>
        <v>0.47945205479452052</v>
      </c>
      <c r="G33" s="58">
        <f>'branches '!S30</f>
        <v>7</v>
      </c>
      <c r="H33" s="58">
        <f>'branches '!T30</f>
        <v>4</v>
      </c>
      <c r="I33" s="55">
        <f>'branches '!U30</f>
        <v>0.5714285714285714</v>
      </c>
      <c r="J33" s="58" t="e">
        <f>'branches '!#REF!</f>
        <v>#REF!</v>
      </c>
      <c r="K33" s="58" t="e">
        <f>'branches '!#REF!</f>
        <v>#REF!</v>
      </c>
      <c r="L33" s="55" t="e">
        <f>'branches '!#REF!</f>
        <v>#REF!</v>
      </c>
    </row>
    <row r="34" spans="1:12" x14ac:dyDescent="0.25">
      <c r="A34" s="54">
        <v>73016</v>
      </c>
      <c r="B34" s="54" t="s">
        <v>30</v>
      </c>
      <c r="C34" s="54" t="s">
        <v>59</v>
      </c>
      <c r="D34" s="58" t="e">
        <f>'branches '!#REF!</f>
        <v>#REF!</v>
      </c>
      <c r="E34" s="58" t="e">
        <f>'branches '!#REF!</f>
        <v>#REF!</v>
      </c>
      <c r="F34" s="55" t="e">
        <f>'branches '!#REF!</f>
        <v>#REF!</v>
      </c>
      <c r="G34" s="58" t="e">
        <f>'branches '!#REF!</f>
        <v>#REF!</v>
      </c>
      <c r="H34" s="58" t="e">
        <f>'branches '!#REF!</f>
        <v>#REF!</v>
      </c>
      <c r="I34" s="55" t="e">
        <f>'branches '!#REF!</f>
        <v>#REF!</v>
      </c>
      <c r="J34" s="58" t="e">
        <f>'branches '!#REF!</f>
        <v>#REF!</v>
      </c>
      <c r="K34" s="58" t="e">
        <f>'branches '!#REF!</f>
        <v>#REF!</v>
      </c>
      <c r="L34" s="55" t="e">
        <f>'branches '!#REF!</f>
        <v>#REF!</v>
      </c>
    </row>
    <row r="35" spans="1:12" x14ac:dyDescent="0.25">
      <c r="A35" s="54">
        <v>73024</v>
      </c>
      <c r="B35" s="54" t="s">
        <v>30</v>
      </c>
      <c r="C35" s="54" t="s">
        <v>517</v>
      </c>
      <c r="D35" s="58">
        <f>'branches '!P31</f>
        <v>70</v>
      </c>
      <c r="E35" s="58">
        <f>'branches '!Q31</f>
        <v>24</v>
      </c>
      <c r="F35" s="55">
        <f>'branches '!R31</f>
        <v>0.34285714285714286</v>
      </c>
      <c r="G35" s="58">
        <f>'branches '!S31</f>
        <v>15</v>
      </c>
      <c r="H35" s="58">
        <f>'branches '!T31</f>
        <v>2</v>
      </c>
      <c r="I35" s="55">
        <f>'branches '!U31</f>
        <v>0.13333333333333333</v>
      </c>
      <c r="J35" s="58" t="e">
        <f>'branches '!#REF!</f>
        <v>#REF!</v>
      </c>
      <c r="K35" s="58" t="e">
        <f>'branches '!#REF!</f>
        <v>#REF!</v>
      </c>
      <c r="L35" s="55" t="e">
        <f>'branches '!#REF!</f>
        <v>#REF!</v>
      </c>
    </row>
    <row r="36" spans="1:12" x14ac:dyDescent="0.25">
      <c r="A36" s="54">
        <v>73025</v>
      </c>
      <c r="B36" s="54" t="s">
        <v>30</v>
      </c>
      <c r="C36" s="54" t="s">
        <v>518</v>
      </c>
      <c r="D36" s="58">
        <f>'branches '!P32</f>
        <v>200</v>
      </c>
      <c r="E36" s="58">
        <f>'branches '!Q32</f>
        <v>77</v>
      </c>
      <c r="F36" s="55">
        <f>'branches '!R32</f>
        <v>0.38500000000000001</v>
      </c>
      <c r="G36" s="58">
        <f>'branches '!S32</f>
        <v>29</v>
      </c>
      <c r="H36" s="58">
        <f>'branches '!T32</f>
        <v>6</v>
      </c>
      <c r="I36" s="55">
        <f>'branches '!U32</f>
        <v>0.20689655172413793</v>
      </c>
      <c r="J36" s="58" t="e">
        <f>'branches '!#REF!</f>
        <v>#REF!</v>
      </c>
      <c r="K36" s="58" t="e">
        <f>'branches '!#REF!</f>
        <v>#REF!</v>
      </c>
      <c r="L36" s="55" t="e">
        <f>'branches '!#REF!</f>
        <v>#REF!</v>
      </c>
    </row>
    <row r="37" spans="1:12" x14ac:dyDescent="0.25">
      <c r="A37" s="54">
        <v>73029</v>
      </c>
      <c r="B37" s="54" t="s">
        <v>30</v>
      </c>
      <c r="C37" s="54" t="s">
        <v>519</v>
      </c>
      <c r="D37" s="58">
        <f>'branches '!P33</f>
        <v>90</v>
      </c>
      <c r="E37" s="58">
        <f>'branches '!Q33</f>
        <v>36</v>
      </c>
      <c r="F37" s="55">
        <f>'branches '!R33</f>
        <v>0.4</v>
      </c>
      <c r="G37" s="58">
        <f>'branches '!S33</f>
        <v>16</v>
      </c>
      <c r="H37" s="58">
        <f>'branches '!T33</f>
        <v>2</v>
      </c>
      <c r="I37" s="55">
        <f>'branches '!U33</f>
        <v>0.125</v>
      </c>
      <c r="J37" s="58" t="e">
        <f>'branches '!#REF!</f>
        <v>#REF!</v>
      </c>
      <c r="K37" s="58" t="e">
        <f>'branches '!#REF!</f>
        <v>#REF!</v>
      </c>
      <c r="L37" s="55" t="e">
        <f>'branches '!#REF!</f>
        <v>#REF!</v>
      </c>
    </row>
    <row r="38" spans="1:12" x14ac:dyDescent="0.25">
      <c r="A38" s="54">
        <v>73036</v>
      </c>
      <c r="B38" s="54" t="s">
        <v>30</v>
      </c>
      <c r="C38" s="54" t="s">
        <v>520</v>
      </c>
      <c r="D38" s="58">
        <f>'branches '!P34</f>
        <v>45</v>
      </c>
      <c r="E38" s="58">
        <f>'branches '!Q34</f>
        <v>8</v>
      </c>
      <c r="F38" s="55">
        <f>'branches '!R34</f>
        <v>0.17777777777777778</v>
      </c>
      <c r="G38" s="58">
        <f>'branches '!S34</f>
        <v>7</v>
      </c>
      <c r="H38" s="58">
        <f>'branches '!T34</f>
        <v>2</v>
      </c>
      <c r="I38" s="55">
        <f>'branches '!U34</f>
        <v>0.2857142857142857</v>
      </c>
      <c r="J38" s="58" t="e">
        <f>'branches '!#REF!</f>
        <v>#REF!</v>
      </c>
      <c r="K38" s="58" t="e">
        <f>'branches '!#REF!</f>
        <v>#REF!</v>
      </c>
      <c r="L38" s="55" t="e">
        <f>'branches '!#REF!</f>
        <v>#REF!</v>
      </c>
    </row>
    <row r="39" spans="1:12" x14ac:dyDescent="0.25">
      <c r="A39" s="298" t="s">
        <v>27</v>
      </c>
      <c r="B39" s="299"/>
      <c r="C39" s="300"/>
      <c r="D39" s="73" t="e">
        <f>SUM(D31:D38)</f>
        <v>#REF!</v>
      </c>
      <c r="E39" s="73" t="e">
        <f>SUM(E31:E38)</f>
        <v>#REF!</v>
      </c>
      <c r="F39" s="74" t="e">
        <f>E39/D39</f>
        <v>#REF!</v>
      </c>
      <c r="G39" s="52" t="e">
        <f>SUM(G31:G38)</f>
        <v>#REF!</v>
      </c>
      <c r="H39" s="52" t="e">
        <f>SUM(H31:H38)</f>
        <v>#REF!</v>
      </c>
      <c r="I39" s="53" t="e">
        <f>H39/G39</f>
        <v>#REF!</v>
      </c>
      <c r="J39" s="73" t="e">
        <f>SUM(J31:J38)</f>
        <v>#REF!</v>
      </c>
      <c r="K39" s="73" t="e">
        <f>SUM(K31:K38)</f>
        <v>#REF!</v>
      </c>
      <c r="L39" s="74" t="e">
        <f>K39/J39</f>
        <v>#REF!</v>
      </c>
    </row>
    <row r="41" spans="1:12" x14ac:dyDescent="0.25">
      <c r="A41" s="302" t="s">
        <v>508</v>
      </c>
      <c r="B41" s="302" t="s">
        <v>18</v>
      </c>
      <c r="C41" s="302" t="s">
        <v>19</v>
      </c>
      <c r="D41" s="287" t="s">
        <v>1151</v>
      </c>
      <c r="E41" s="287"/>
      <c r="F41" s="287"/>
      <c r="G41" s="287"/>
      <c r="H41" s="287"/>
      <c r="I41" s="297" t="s">
        <v>1150</v>
      </c>
      <c r="J41" s="297"/>
      <c r="K41" s="297"/>
    </row>
    <row r="42" spans="1:12" x14ac:dyDescent="0.25">
      <c r="A42" s="302"/>
      <c r="B42" s="302"/>
      <c r="C42" s="302"/>
      <c r="D42" s="50" t="s">
        <v>24</v>
      </c>
      <c r="E42" s="50" t="s">
        <v>25</v>
      </c>
      <c r="F42" s="50" t="s">
        <v>26</v>
      </c>
      <c r="G42" s="50" t="s">
        <v>27</v>
      </c>
      <c r="H42" s="51" t="s">
        <v>28</v>
      </c>
      <c r="I42" s="52" t="s">
        <v>24</v>
      </c>
      <c r="J42" s="52" t="s">
        <v>29</v>
      </c>
      <c r="K42" s="53" t="s">
        <v>28</v>
      </c>
    </row>
    <row r="43" spans="1:12" x14ac:dyDescent="0.25">
      <c r="A43" s="54">
        <v>73011</v>
      </c>
      <c r="B43" s="54" t="s">
        <v>30</v>
      </c>
      <c r="C43" s="54" t="s">
        <v>516</v>
      </c>
      <c r="D43" s="58">
        <f>'branches '!AE28</f>
        <v>96.779433989371142</v>
      </c>
      <c r="E43" s="58">
        <f>'branches '!AF28</f>
        <v>33</v>
      </c>
      <c r="F43" s="58" t="e">
        <f>'branches '!#REF!</f>
        <v>#REF!</v>
      </c>
      <c r="G43" s="58" t="e">
        <f>'branches '!#REF!</f>
        <v>#REF!</v>
      </c>
      <c r="H43" s="55">
        <f>'branches '!AG28</f>
        <v>0.3409815354326648</v>
      </c>
      <c r="I43" s="58">
        <f>'branches '!AH28</f>
        <v>48</v>
      </c>
      <c r="J43" s="58">
        <f>'branches '!AI28</f>
        <v>53</v>
      </c>
      <c r="K43" s="55">
        <f>'branches '!AJ28</f>
        <v>1.1041666666666667</v>
      </c>
    </row>
    <row r="44" spans="1:12" x14ac:dyDescent="0.25">
      <c r="A44" s="54">
        <v>73013</v>
      </c>
      <c r="B44" s="54" t="s">
        <v>30</v>
      </c>
      <c r="C44" s="54" t="s">
        <v>42</v>
      </c>
      <c r="D44" s="58">
        <f>'branches '!AE29</f>
        <v>71.688469621756397</v>
      </c>
      <c r="E44" s="58">
        <f>'branches '!AF29</f>
        <v>36</v>
      </c>
      <c r="F44" s="58" t="e">
        <f>'branches '!#REF!</f>
        <v>#REF!</v>
      </c>
      <c r="G44" s="58" t="e">
        <f>'branches '!#REF!</f>
        <v>#REF!</v>
      </c>
      <c r="H44" s="55">
        <f>'branches '!AG29</f>
        <v>0.50217280672810638</v>
      </c>
      <c r="I44" s="58">
        <f>'branches '!AH29</f>
        <v>63</v>
      </c>
      <c r="J44" s="58">
        <f>'branches '!AI29</f>
        <v>55</v>
      </c>
      <c r="K44" s="55" t="s">
        <v>1165</v>
      </c>
    </row>
    <row r="45" spans="1:12" x14ac:dyDescent="0.25">
      <c r="A45" s="54">
        <v>73014</v>
      </c>
      <c r="B45" s="54" t="s">
        <v>30</v>
      </c>
      <c r="C45" s="54" t="s">
        <v>52</v>
      </c>
      <c r="D45" s="58">
        <f>'branches '!AE30</f>
        <v>66.311834400124667</v>
      </c>
      <c r="E45" s="58">
        <f>'branches '!AF30</f>
        <v>18</v>
      </c>
      <c r="F45" s="58" t="e">
        <f>'branches '!#REF!</f>
        <v>#REF!</v>
      </c>
      <c r="G45" s="58" t="e">
        <f>'branches '!#REF!</f>
        <v>#REF!</v>
      </c>
      <c r="H45" s="55">
        <f>'branches '!AG30</f>
        <v>0.27144476039357102</v>
      </c>
      <c r="I45" s="58">
        <f>'branches '!AH30</f>
        <v>26</v>
      </c>
      <c r="J45" s="58">
        <f>'branches '!AI30</f>
        <v>7</v>
      </c>
      <c r="K45" s="55" t="s">
        <v>1165</v>
      </c>
    </row>
    <row r="46" spans="1:12" x14ac:dyDescent="0.25">
      <c r="A46" s="54">
        <v>73016</v>
      </c>
      <c r="B46" s="54" t="s">
        <v>30</v>
      </c>
      <c r="C46" s="54" t="s">
        <v>59</v>
      </c>
      <c r="D46" s="58" t="e">
        <f>'branches '!#REF!</f>
        <v>#REF!</v>
      </c>
      <c r="E46" s="58" t="e">
        <f>'branches '!#REF!</f>
        <v>#REF!</v>
      </c>
      <c r="F46" s="58" t="e">
        <f>'branches '!#REF!</f>
        <v>#REF!</v>
      </c>
      <c r="G46" s="58" t="e">
        <f>'branches '!#REF!</f>
        <v>#REF!</v>
      </c>
      <c r="H46" s="55" t="e">
        <f>'branches '!#REF!</f>
        <v>#REF!</v>
      </c>
      <c r="I46" s="58" t="e">
        <f>'branches '!#REF!</f>
        <v>#REF!</v>
      </c>
      <c r="J46" s="58" t="e">
        <f>'branches '!#REF!</f>
        <v>#REF!</v>
      </c>
      <c r="K46" s="55" t="s">
        <v>1165</v>
      </c>
    </row>
    <row r="47" spans="1:12" x14ac:dyDescent="0.25">
      <c r="A47" s="54">
        <v>73024</v>
      </c>
      <c r="B47" s="54" t="s">
        <v>30</v>
      </c>
      <c r="C47" s="54" t="s">
        <v>517</v>
      </c>
      <c r="D47" s="58">
        <f>'branches '!AE31</f>
        <v>37.636446551422111</v>
      </c>
      <c r="E47" s="58">
        <f>'branches '!AF31</f>
        <v>2</v>
      </c>
      <c r="F47" s="58" t="e">
        <f>'branches '!#REF!</f>
        <v>#REF!</v>
      </c>
      <c r="G47" s="58" t="e">
        <f>'branches '!#REF!</f>
        <v>#REF!</v>
      </c>
      <c r="H47" s="55">
        <f>'branches '!AG31</f>
        <v>5.313997954794776E-2</v>
      </c>
      <c r="I47" s="58">
        <f>'branches '!AH31</f>
        <v>133</v>
      </c>
      <c r="J47" s="58">
        <f>'branches '!AI31</f>
        <v>73</v>
      </c>
      <c r="K47" s="55">
        <f>'branches '!AJ31</f>
        <v>0.54887218045112784</v>
      </c>
    </row>
    <row r="48" spans="1:12" x14ac:dyDescent="0.25">
      <c r="A48" s="54">
        <v>73025</v>
      </c>
      <c r="B48" s="54" t="s">
        <v>30</v>
      </c>
      <c r="C48" s="54" t="s">
        <v>518</v>
      </c>
      <c r="D48" s="58">
        <f>'branches '!AE32</f>
        <v>66.311834400124667</v>
      </c>
      <c r="E48" s="58">
        <f>'branches '!AF32</f>
        <v>17</v>
      </c>
      <c r="F48" s="58" t="e">
        <f>'branches '!#REF!</f>
        <v>#REF!</v>
      </c>
      <c r="G48" s="58" t="e">
        <f>'branches '!#REF!</f>
        <v>#REF!</v>
      </c>
      <c r="H48" s="55">
        <f>'branches '!AG32</f>
        <v>0.25636449592726152</v>
      </c>
      <c r="I48" s="58">
        <f>'branches '!AH32</f>
        <v>106</v>
      </c>
      <c r="J48" s="58">
        <f>'branches '!AI32</f>
        <v>17</v>
      </c>
      <c r="K48" s="55">
        <f>'branches '!AJ32</f>
        <v>0.16037735849056603</v>
      </c>
    </row>
    <row r="49" spans="1:13" x14ac:dyDescent="0.25">
      <c r="A49" s="54">
        <v>73029</v>
      </c>
      <c r="B49" s="54" t="s">
        <v>30</v>
      </c>
      <c r="C49" s="54" t="s">
        <v>519</v>
      </c>
      <c r="D49" s="58">
        <f>'branches '!AE33</f>
        <v>49.285822864957524</v>
      </c>
      <c r="E49" s="58">
        <f>'branches '!AF33</f>
        <v>27</v>
      </c>
      <c r="F49" s="58" t="e">
        <f>'branches '!#REF!</f>
        <v>#REF!</v>
      </c>
      <c r="G49" s="58" t="e">
        <f>'branches '!#REF!</f>
        <v>#REF!</v>
      </c>
      <c r="H49" s="55">
        <f>'branches '!AG33</f>
        <v>0.54782488006702512</v>
      </c>
      <c r="I49" s="58">
        <f>'branches '!AH33</f>
        <v>0</v>
      </c>
      <c r="J49" s="58">
        <f>'branches '!AI33</f>
        <v>0</v>
      </c>
      <c r="K49" s="55" t="e">
        <f>'branches '!AJ33</f>
        <v>#DIV/0!</v>
      </c>
    </row>
    <row r="50" spans="1:13" x14ac:dyDescent="0.25">
      <c r="A50" s="54">
        <v>73036</v>
      </c>
      <c r="B50" s="54" t="s">
        <v>30</v>
      </c>
      <c r="C50" s="54" t="s">
        <v>520</v>
      </c>
      <c r="D50" s="58">
        <f>'branches '!AE34</f>
        <v>28.67538784870256</v>
      </c>
      <c r="E50" s="58">
        <f>'branches '!AF34</f>
        <v>9</v>
      </c>
      <c r="F50" s="58" t="e">
        <f>'branches '!#REF!</f>
        <v>#REF!</v>
      </c>
      <c r="G50" s="58" t="e">
        <f>'branches '!#REF!</f>
        <v>#REF!</v>
      </c>
      <c r="H50" s="55">
        <f>'branches '!AG34</f>
        <v>0.31385800420506649</v>
      </c>
      <c r="I50" s="58">
        <f>'branches '!AH34</f>
        <v>0</v>
      </c>
      <c r="J50" s="58">
        <f>'branches '!AI34</f>
        <v>1</v>
      </c>
      <c r="K50" s="55" t="e">
        <f>'branches '!AJ34</f>
        <v>#DIV/0!</v>
      </c>
    </row>
    <row r="51" spans="1:13" x14ac:dyDescent="0.25">
      <c r="A51" s="298" t="s">
        <v>27</v>
      </c>
      <c r="B51" s="299"/>
      <c r="C51" s="300"/>
      <c r="D51" s="73" t="e">
        <f>SUM(D43:D50)</f>
        <v>#REF!</v>
      </c>
      <c r="E51" s="73" t="e">
        <f>SUM(E43:E50)</f>
        <v>#REF!</v>
      </c>
      <c r="F51" s="73" t="e">
        <f>SUM(F43:F50)</f>
        <v>#REF!</v>
      </c>
      <c r="G51" s="73" t="e">
        <f>SUM(G43:G50)</f>
        <v>#REF!</v>
      </c>
      <c r="H51" s="74" t="e">
        <f>G51/D51</f>
        <v>#REF!</v>
      </c>
      <c r="I51" s="52" t="e">
        <f>SUM(I43:I50)</f>
        <v>#REF!</v>
      </c>
      <c r="J51" s="52" t="e">
        <f>SUM(J43:J50)</f>
        <v>#REF!</v>
      </c>
      <c r="K51" s="53" t="e">
        <f>J51/I51</f>
        <v>#REF!</v>
      </c>
    </row>
    <row r="53" spans="1:13" x14ac:dyDescent="0.25">
      <c r="A53" s="302" t="s">
        <v>508</v>
      </c>
      <c r="B53" s="302" t="s">
        <v>18</v>
      </c>
      <c r="C53" s="302" t="s">
        <v>19</v>
      </c>
      <c r="D53" s="285" t="s">
        <v>1153</v>
      </c>
      <c r="E53" s="286"/>
      <c r="F53" s="286"/>
      <c r="G53" s="286"/>
      <c r="H53" s="286"/>
      <c r="I53" s="307" t="s">
        <v>501</v>
      </c>
      <c r="J53" s="307"/>
      <c r="K53" s="307"/>
      <c r="L53" s="307"/>
      <c r="M53" s="307"/>
    </row>
    <row r="54" spans="1:13" x14ac:dyDescent="0.25">
      <c r="A54" s="302"/>
      <c r="B54" s="302"/>
      <c r="C54" s="302"/>
      <c r="D54" s="50" t="s">
        <v>24</v>
      </c>
      <c r="E54" s="50" t="s">
        <v>25</v>
      </c>
      <c r="F54" s="50" t="s">
        <v>26</v>
      </c>
      <c r="G54" s="50" t="s">
        <v>27</v>
      </c>
      <c r="H54" s="51" t="s">
        <v>28</v>
      </c>
      <c r="I54" s="52" t="s">
        <v>24</v>
      </c>
      <c r="J54" s="52" t="s">
        <v>25</v>
      </c>
      <c r="K54" s="52" t="s">
        <v>26</v>
      </c>
      <c r="L54" s="52" t="s">
        <v>27</v>
      </c>
      <c r="M54" s="53" t="s">
        <v>28</v>
      </c>
    </row>
    <row r="55" spans="1:13" x14ac:dyDescent="0.25">
      <c r="A55" s="54">
        <v>73011</v>
      </c>
      <c r="B55" s="54" t="s">
        <v>30</v>
      </c>
      <c r="C55" s="54" t="s">
        <v>516</v>
      </c>
      <c r="D55" s="58">
        <f>'branches '!V28</f>
        <v>669.58143409731144</v>
      </c>
      <c r="E55" s="58">
        <f>'branches '!W28</f>
        <v>303</v>
      </c>
      <c r="F55" s="58" t="e">
        <f>'branches '!#REF!</f>
        <v>#REF!</v>
      </c>
      <c r="G55" s="58" t="e">
        <f>'branches '!#REF!</f>
        <v>#REF!</v>
      </c>
      <c r="H55" s="55">
        <f>'branches '!X28</f>
        <v>0.45252150757209386</v>
      </c>
      <c r="I55" s="58">
        <f>'branches '!Y28</f>
        <v>35.81959082645843</v>
      </c>
      <c r="J55" s="58">
        <f>'branches '!Z28</f>
        <v>11</v>
      </c>
      <c r="K55" s="58" t="e">
        <f>'branches '!#REF!</f>
        <v>#REF!</v>
      </c>
      <c r="L55" s="58" t="e">
        <f>'branches '!#REF!</f>
        <v>#REF!</v>
      </c>
      <c r="M55" s="55">
        <f>'branches '!AA28</f>
        <v>0.30709451856370062</v>
      </c>
    </row>
    <row r="56" spans="1:13" x14ac:dyDescent="0.25">
      <c r="A56" s="54">
        <v>73013</v>
      </c>
      <c r="B56" s="54" t="s">
        <v>30</v>
      </c>
      <c r="C56" s="54" t="s">
        <v>42</v>
      </c>
      <c r="D56" s="58">
        <f>'branches '!V29</f>
        <v>996.87004138429802</v>
      </c>
      <c r="E56" s="58">
        <f>'branches '!W29</f>
        <v>587</v>
      </c>
      <c r="F56" s="58" t="e">
        <f>'branches '!#REF!</f>
        <v>#REF!</v>
      </c>
      <c r="G56" s="58" t="e">
        <f>'branches '!#REF!</f>
        <v>#REF!</v>
      </c>
      <c r="H56" s="55">
        <f>'branches '!X29</f>
        <v>0.58884305439138862</v>
      </c>
      <c r="I56" s="58">
        <f>'branches '!Y29</f>
        <v>42.983508991750114</v>
      </c>
      <c r="J56" s="58">
        <f>'branches '!Z29</f>
        <v>12</v>
      </c>
      <c r="K56" s="58" t="e">
        <f>'branches '!#REF!</f>
        <v>#REF!</v>
      </c>
      <c r="L56" s="58" t="e">
        <f>'branches '!#REF!</f>
        <v>#REF!</v>
      </c>
      <c r="M56" s="55">
        <f>'branches '!AA29</f>
        <v>0.27917683505790969</v>
      </c>
    </row>
    <row r="57" spans="1:13" x14ac:dyDescent="0.25">
      <c r="A57" s="54">
        <v>73014</v>
      </c>
      <c r="B57" s="54" t="s">
        <v>30</v>
      </c>
      <c r="C57" s="54" t="s">
        <v>52</v>
      </c>
      <c r="D57" s="58">
        <f>'branches '!V30</f>
        <v>343.92461298510085</v>
      </c>
      <c r="E57" s="58">
        <f>'branches '!W30</f>
        <v>24</v>
      </c>
      <c r="F57" s="58" t="e">
        <f>'branches '!#REF!</f>
        <v>#REF!</v>
      </c>
      <c r="G57" s="58" t="e">
        <f>'branches '!#REF!</f>
        <v>#REF!</v>
      </c>
      <c r="H57" s="55">
        <f>'branches '!X30</f>
        <v>6.9782734628067181E-2</v>
      </c>
      <c r="I57" s="58">
        <f>'branches '!Y30</f>
        <v>14.327836330583372</v>
      </c>
      <c r="J57" s="58">
        <f>'branches '!Z30</f>
        <v>0</v>
      </c>
      <c r="K57" s="58" t="e">
        <f>'branches '!#REF!</f>
        <v>#REF!</v>
      </c>
      <c r="L57" s="58" t="e">
        <f>'branches '!#REF!</f>
        <v>#REF!</v>
      </c>
      <c r="M57" s="55">
        <f>'branches '!AA30</f>
        <v>0</v>
      </c>
    </row>
    <row r="58" spans="1:13" x14ac:dyDescent="0.25">
      <c r="A58" s="54">
        <v>73016</v>
      </c>
      <c r="B58" s="54" t="s">
        <v>30</v>
      </c>
      <c r="C58" s="54" t="s">
        <v>59</v>
      </c>
      <c r="D58" s="58" t="e">
        <f>'branches '!#REF!</f>
        <v>#REF!</v>
      </c>
      <c r="E58" s="58" t="e">
        <f>'branches '!#REF!</f>
        <v>#REF!</v>
      </c>
      <c r="F58" s="58" t="e">
        <f>'branches '!#REF!</f>
        <v>#REF!</v>
      </c>
      <c r="G58" s="58" t="e">
        <f>'branches '!#REF!</f>
        <v>#REF!</v>
      </c>
      <c r="H58" s="55" t="e">
        <f>'branches '!#REF!</f>
        <v>#REF!</v>
      </c>
      <c r="I58" s="58" t="e">
        <f>'branches '!#REF!</f>
        <v>#REF!</v>
      </c>
      <c r="J58" s="58" t="e">
        <f>'branches '!#REF!</f>
        <v>#REF!</v>
      </c>
      <c r="K58" s="58" t="e">
        <f>'branches '!#REF!</f>
        <v>#REF!</v>
      </c>
      <c r="L58" s="58" t="e">
        <f>'branches '!#REF!</f>
        <v>#REF!</v>
      </c>
      <c r="M58" s="55" t="e">
        <f>'branches '!#REF!</f>
        <v>#REF!</v>
      </c>
    </row>
    <row r="59" spans="1:13" x14ac:dyDescent="0.25">
      <c r="A59" s="54">
        <v>73024</v>
      </c>
      <c r="B59" s="54" t="s">
        <v>30</v>
      </c>
      <c r="C59" s="54" t="s">
        <v>517</v>
      </c>
      <c r="D59" s="58">
        <f>'branches '!V31</f>
        <v>636.97046333663184</v>
      </c>
      <c r="E59" s="58">
        <f>'branches '!W31</f>
        <v>528</v>
      </c>
      <c r="F59" s="58" t="e">
        <f>'branches '!#REF!</f>
        <v>#REF!</v>
      </c>
      <c r="G59" s="58" t="e">
        <f>'branches '!#REF!</f>
        <v>#REF!</v>
      </c>
      <c r="H59" s="55">
        <f>'branches '!X31</f>
        <v>0.82892383617630605</v>
      </c>
      <c r="I59" s="58">
        <f>'branches '!Y31</f>
        <v>11.939863608819476</v>
      </c>
      <c r="J59" s="58">
        <f>'branches '!Z31</f>
        <v>16</v>
      </c>
      <c r="K59" s="58" t="e">
        <f>'branches '!#REF!</f>
        <v>#REF!</v>
      </c>
      <c r="L59" s="58" t="e">
        <f>'branches '!#REF!</f>
        <v>#REF!</v>
      </c>
      <c r="M59" s="55">
        <f>'branches '!AA31</f>
        <v>1.3400488082779667</v>
      </c>
    </row>
    <row r="60" spans="1:13" x14ac:dyDescent="0.25">
      <c r="A60" s="54">
        <v>73025</v>
      </c>
      <c r="B60" s="54" t="s">
        <v>30</v>
      </c>
      <c r="C60" s="54" t="s">
        <v>518</v>
      </c>
      <c r="D60" s="58">
        <f>'branches '!V32</f>
        <v>1082.9746828599702</v>
      </c>
      <c r="E60" s="58">
        <f>'branches '!W32</f>
        <v>651</v>
      </c>
      <c r="F60" s="58" t="e">
        <f>'branches '!#REF!</f>
        <v>#REF!</v>
      </c>
      <c r="G60" s="58" t="e">
        <f>'branches '!#REF!</f>
        <v>#REF!</v>
      </c>
      <c r="H60" s="55">
        <f>'branches '!X32</f>
        <v>0.60112208558819558</v>
      </c>
      <c r="I60" s="58">
        <f>'branches '!Y32</f>
        <v>38.207563548222325</v>
      </c>
      <c r="J60" s="58">
        <f>'branches '!Z32</f>
        <v>19</v>
      </c>
      <c r="K60" s="58" t="e">
        <f>'branches '!#REF!</f>
        <v>#REF!</v>
      </c>
      <c r="L60" s="58" t="e">
        <f>'branches '!#REF!</f>
        <v>#REF!</v>
      </c>
      <c r="M60" s="55">
        <f>'branches '!AA32</f>
        <v>0.49728373744690163</v>
      </c>
    </row>
    <row r="61" spans="1:13" x14ac:dyDescent="0.25">
      <c r="A61" s="54">
        <v>73029</v>
      </c>
      <c r="B61" s="54" t="s">
        <v>30</v>
      </c>
      <c r="C61" s="54" t="s">
        <v>519</v>
      </c>
      <c r="D61" s="58">
        <f>'branches '!V33</f>
        <v>443.52292517576552</v>
      </c>
      <c r="E61" s="58">
        <f>'branches '!W33</f>
        <v>291</v>
      </c>
      <c r="F61" s="58" t="e">
        <f>'branches '!#REF!</f>
        <v>#REF!</v>
      </c>
      <c r="G61" s="58" t="e">
        <f>'branches '!#REF!</f>
        <v>#REF!</v>
      </c>
      <c r="H61" s="55">
        <f>'branches '!X33</f>
        <v>0.65611039132797566</v>
      </c>
      <c r="I61" s="58">
        <f>'branches '!Y33</f>
        <v>15.919818145092634</v>
      </c>
      <c r="J61" s="58">
        <f>'branches '!Z33</f>
        <v>15</v>
      </c>
      <c r="K61" s="58" t="e">
        <f>'branches '!#REF!</f>
        <v>#REF!</v>
      </c>
      <c r="L61" s="58" t="e">
        <f>'branches '!#REF!</f>
        <v>#REF!</v>
      </c>
      <c r="M61" s="55">
        <f>'branches '!AA33</f>
        <v>0.94222181832044527</v>
      </c>
    </row>
    <row r="62" spans="1:13" x14ac:dyDescent="0.25">
      <c r="A62" s="54">
        <v>73036</v>
      </c>
      <c r="B62" s="54" t="s">
        <v>30</v>
      </c>
      <c r="C62" s="54" t="s">
        <v>520</v>
      </c>
      <c r="D62" s="58">
        <f>'branches '!V34</f>
        <v>245.66104063554894</v>
      </c>
      <c r="E62" s="58">
        <f>'branches '!W34</f>
        <v>171</v>
      </c>
      <c r="F62" s="58" t="e">
        <f>'branches '!#REF!</f>
        <v>#REF!</v>
      </c>
      <c r="G62" s="58" t="e">
        <f>'branches '!#REF!</f>
        <v>#REF!</v>
      </c>
      <c r="H62" s="55">
        <f>'branches '!X34</f>
        <v>0.69608106990675611</v>
      </c>
      <c r="I62" s="58">
        <f>'branches '!Y34</f>
        <v>8.7558999798009491</v>
      </c>
      <c r="J62" s="58">
        <f>'branches '!Z34</f>
        <v>15</v>
      </c>
      <c r="K62" s="58" t="e">
        <f>'branches '!#REF!</f>
        <v>#REF!</v>
      </c>
      <c r="L62" s="58" t="e">
        <f>'branches '!#REF!</f>
        <v>#REF!</v>
      </c>
      <c r="M62" s="55">
        <f>'branches '!AA34</f>
        <v>1.713130578764446</v>
      </c>
    </row>
    <row r="63" spans="1:13" x14ac:dyDescent="0.25">
      <c r="A63" s="298" t="s">
        <v>27</v>
      </c>
      <c r="B63" s="299"/>
      <c r="C63" s="300"/>
      <c r="D63" s="73" t="e">
        <f>SUM(D55:D62)</f>
        <v>#REF!</v>
      </c>
      <c r="E63" s="73" t="e">
        <f>SUM(E55:E62)</f>
        <v>#REF!</v>
      </c>
      <c r="F63" s="73" t="e">
        <f>SUM(F55:F62)</f>
        <v>#REF!</v>
      </c>
      <c r="G63" s="73" t="e">
        <f>SUM(G55:G62)</f>
        <v>#REF!</v>
      </c>
      <c r="H63" s="74" t="e">
        <f>G63/D63</f>
        <v>#REF!</v>
      </c>
      <c r="I63" s="52" t="e">
        <f>SUM(I55:I62)</f>
        <v>#REF!</v>
      </c>
      <c r="J63" s="52" t="e">
        <f>SUM(J55:J62)</f>
        <v>#REF!</v>
      </c>
      <c r="K63" s="52" t="e">
        <f>SUM(K55:K62)</f>
        <v>#REF!</v>
      </c>
      <c r="L63" s="52" t="e">
        <f>SUM(L55:L62)</f>
        <v>#REF!</v>
      </c>
      <c r="M63" s="53" t="e">
        <f>L63/I63</f>
        <v>#REF!</v>
      </c>
    </row>
    <row r="65" spans="1:14" x14ac:dyDescent="0.25">
      <c r="A65" s="302" t="s">
        <v>508</v>
      </c>
      <c r="B65" s="302" t="s">
        <v>18</v>
      </c>
      <c r="C65" s="302" t="s">
        <v>19</v>
      </c>
      <c r="D65" s="285" t="s">
        <v>1152</v>
      </c>
      <c r="E65" s="286"/>
      <c r="F65" s="286"/>
      <c r="G65" s="286"/>
      <c r="H65" s="286"/>
      <c r="I65" s="288" t="s">
        <v>1160</v>
      </c>
      <c r="J65" s="288"/>
      <c r="K65" s="288"/>
      <c r="L65" s="287" t="s">
        <v>1157</v>
      </c>
      <c r="M65" s="287"/>
      <c r="N65" s="287"/>
    </row>
    <row r="66" spans="1:14" x14ac:dyDescent="0.25">
      <c r="A66" s="302"/>
      <c r="B66" s="302"/>
      <c r="C66" s="302"/>
      <c r="D66" s="50" t="s">
        <v>24</v>
      </c>
      <c r="E66" s="50" t="s">
        <v>25</v>
      </c>
      <c r="F66" s="50" t="s">
        <v>26</v>
      </c>
      <c r="G66" s="50" t="s">
        <v>27</v>
      </c>
      <c r="H66" s="51" t="s">
        <v>28</v>
      </c>
      <c r="I66" s="77" t="s">
        <v>24</v>
      </c>
      <c r="J66" s="77" t="s">
        <v>29</v>
      </c>
      <c r="K66" s="78" t="s">
        <v>28</v>
      </c>
      <c r="L66" s="73" t="s">
        <v>24</v>
      </c>
      <c r="M66" s="50" t="s">
        <v>29</v>
      </c>
      <c r="N66" s="51" t="s">
        <v>28</v>
      </c>
    </row>
    <row r="67" spans="1:14" x14ac:dyDescent="0.25">
      <c r="A67" s="54">
        <v>73011</v>
      </c>
      <c r="B67" s="54" t="s">
        <v>30</v>
      </c>
      <c r="C67" s="54" t="s">
        <v>516</v>
      </c>
      <c r="D67" s="58">
        <f>'branches '!AB28</f>
        <v>25.24390776927504</v>
      </c>
      <c r="E67" s="58">
        <f>'branches '!AC28</f>
        <v>21</v>
      </c>
      <c r="F67" s="58" t="e">
        <f>'branches '!#REF!</f>
        <v>#REF!</v>
      </c>
      <c r="G67" s="58" t="e">
        <f>'branches '!#REF!</f>
        <v>#REF!</v>
      </c>
      <c r="H67" s="55">
        <f>'branches '!AD28</f>
        <v>0.83188388231871135</v>
      </c>
      <c r="I67" s="58" t="e">
        <f>'branches '!#REF!</f>
        <v>#REF!</v>
      </c>
      <c r="J67" s="58" t="e">
        <f>'branches '!#REF!</f>
        <v>#REF!</v>
      </c>
      <c r="K67" s="55" t="e">
        <f>'branches '!#REF!</f>
        <v>#REF!</v>
      </c>
      <c r="L67" s="58" t="e">
        <f>'branches '!#REF!</f>
        <v>#REF!</v>
      </c>
      <c r="M67" s="58" t="e">
        <f>'branches '!#REF!</f>
        <v>#REF!</v>
      </c>
      <c r="N67" s="55" t="e">
        <f>'branches '!#REF!</f>
        <v>#REF!</v>
      </c>
    </row>
    <row r="68" spans="1:14" x14ac:dyDescent="0.25">
      <c r="A68" s="54">
        <v>73013</v>
      </c>
      <c r="B68" s="54" t="s">
        <v>30</v>
      </c>
      <c r="C68" s="54" t="s">
        <v>42</v>
      </c>
      <c r="D68" s="58">
        <f>'branches '!AB29</f>
        <v>19.47387170772646</v>
      </c>
      <c r="E68" s="58">
        <f>'branches '!AC29</f>
        <v>13</v>
      </c>
      <c r="F68" s="58" t="e">
        <f>'branches '!#REF!</f>
        <v>#REF!</v>
      </c>
      <c r="G68" s="58" t="e">
        <f>'branches '!#REF!</f>
        <v>#REF!</v>
      </c>
      <c r="H68" s="55">
        <f>'branches '!AD29</f>
        <v>0.66756114013229917</v>
      </c>
      <c r="I68" s="58" t="e">
        <f>'branches '!#REF!</f>
        <v>#REF!</v>
      </c>
      <c r="J68" s="58" t="e">
        <f>'branches '!#REF!</f>
        <v>#REF!</v>
      </c>
      <c r="K68" s="55" t="e">
        <f>'branches '!#REF!</f>
        <v>#REF!</v>
      </c>
      <c r="L68" s="58" t="e">
        <f>'branches '!#REF!</f>
        <v>#REF!</v>
      </c>
      <c r="M68" s="58" t="e">
        <f>'branches '!#REF!</f>
        <v>#REF!</v>
      </c>
      <c r="N68" s="55" t="e">
        <f>'branches '!#REF!</f>
        <v>#REF!</v>
      </c>
    </row>
    <row r="69" spans="1:14" x14ac:dyDescent="0.25">
      <c r="A69" s="54">
        <v>73014</v>
      </c>
      <c r="B69" s="54" t="s">
        <v>30</v>
      </c>
      <c r="C69" s="54" t="s">
        <v>52</v>
      </c>
      <c r="D69" s="58">
        <f>'branches '!AB30</f>
        <v>10.818817615403589</v>
      </c>
      <c r="E69" s="58">
        <f>'branches '!AC30</f>
        <v>0</v>
      </c>
      <c r="F69" s="58" t="e">
        <f>'branches '!#REF!</f>
        <v>#REF!</v>
      </c>
      <c r="G69" s="58" t="e">
        <f>'branches '!#REF!</f>
        <v>#REF!</v>
      </c>
      <c r="H69" s="55">
        <f>'branches '!AD30</f>
        <v>0</v>
      </c>
      <c r="I69" s="58" t="e">
        <f>'branches '!#REF!</f>
        <v>#REF!</v>
      </c>
      <c r="J69" s="58" t="e">
        <f>'branches '!#REF!</f>
        <v>#REF!</v>
      </c>
      <c r="K69" s="55" t="e">
        <f>'branches '!#REF!</f>
        <v>#REF!</v>
      </c>
      <c r="L69" s="58" t="e">
        <f>'branches '!#REF!</f>
        <v>#REF!</v>
      </c>
      <c r="M69" s="58" t="e">
        <f>'branches '!#REF!</f>
        <v>#REF!</v>
      </c>
      <c r="N69" s="55" t="e">
        <f>'branches '!#REF!</f>
        <v>#REF!</v>
      </c>
    </row>
    <row r="70" spans="1:14" x14ac:dyDescent="0.25">
      <c r="A70" s="54">
        <v>73016</v>
      </c>
      <c r="B70" s="54" t="s">
        <v>30</v>
      </c>
      <c r="C70" s="54" t="s">
        <v>59</v>
      </c>
      <c r="D70" s="58" t="e">
        <f>'branches '!#REF!</f>
        <v>#REF!</v>
      </c>
      <c r="E70" s="58" t="e">
        <f>'branches '!#REF!</f>
        <v>#REF!</v>
      </c>
      <c r="F70" s="58" t="e">
        <f>'branches '!#REF!</f>
        <v>#REF!</v>
      </c>
      <c r="G70" s="58" t="e">
        <f>'branches '!#REF!</f>
        <v>#REF!</v>
      </c>
      <c r="H70" s="55" t="e">
        <f>'branches '!#REF!</f>
        <v>#REF!</v>
      </c>
      <c r="I70" s="58" t="e">
        <f>'branches '!#REF!</f>
        <v>#REF!</v>
      </c>
      <c r="J70" s="58" t="e">
        <f>'branches '!#REF!</f>
        <v>#REF!</v>
      </c>
      <c r="K70" s="55" t="e">
        <f>'branches '!#REF!</f>
        <v>#REF!</v>
      </c>
      <c r="L70" s="58" t="e">
        <f>'branches '!#REF!</f>
        <v>#REF!</v>
      </c>
      <c r="M70" s="58" t="e">
        <f>'branches '!#REF!</f>
        <v>#REF!</v>
      </c>
      <c r="N70" s="55" t="e">
        <f>'branches '!#REF!</f>
        <v>#REF!</v>
      </c>
    </row>
    <row r="71" spans="1:14" x14ac:dyDescent="0.25">
      <c r="A71" s="54">
        <v>73024</v>
      </c>
      <c r="B71" s="54" t="s">
        <v>30</v>
      </c>
      <c r="C71" s="54" t="s">
        <v>517</v>
      </c>
      <c r="D71" s="58">
        <f>'branches '!AB31</f>
        <v>343.31714566214055</v>
      </c>
      <c r="E71" s="58">
        <f>'branches '!AC31</f>
        <v>165</v>
      </c>
      <c r="F71" s="58" t="e">
        <f>'branches '!#REF!</f>
        <v>#REF!</v>
      </c>
      <c r="G71" s="58" t="e">
        <f>'branches '!#REF!</f>
        <v>#REF!</v>
      </c>
      <c r="H71" s="55">
        <f>'branches '!AD31</f>
        <v>0.48060518411270087</v>
      </c>
      <c r="I71" s="58" t="e">
        <f>'branches '!#REF!</f>
        <v>#REF!</v>
      </c>
      <c r="J71" s="58" t="e">
        <f>'branches '!#REF!</f>
        <v>#REF!</v>
      </c>
      <c r="K71" s="55" t="e">
        <f>'branches '!#REF!</f>
        <v>#REF!</v>
      </c>
      <c r="L71" s="58" t="e">
        <f>'branches '!#REF!</f>
        <v>#REF!</v>
      </c>
      <c r="M71" s="58" t="e">
        <f>'branches '!#REF!</f>
        <v>#REF!</v>
      </c>
      <c r="N71" s="55" t="e">
        <f>'branches '!#REF!</f>
        <v>#REF!</v>
      </c>
    </row>
    <row r="72" spans="1:14" x14ac:dyDescent="0.25">
      <c r="A72" s="54">
        <v>73025</v>
      </c>
      <c r="B72" s="54" t="s">
        <v>30</v>
      </c>
      <c r="C72" s="54" t="s">
        <v>518</v>
      </c>
      <c r="D72" s="58">
        <f>'branches '!AB32</f>
        <v>28.128925800049331</v>
      </c>
      <c r="E72" s="58">
        <f>'branches '!AC32</f>
        <v>23</v>
      </c>
      <c r="F72" s="58" t="e">
        <f>'branches '!#REF!</f>
        <v>#REF!</v>
      </c>
      <c r="G72" s="58" t="e">
        <f>'branches '!#REF!</f>
        <v>#REF!</v>
      </c>
      <c r="H72" s="55">
        <f>'branches '!AD32</f>
        <v>0.81766364501411792</v>
      </c>
      <c r="I72" s="58" t="e">
        <f>'branches '!#REF!</f>
        <v>#REF!</v>
      </c>
      <c r="J72" s="58" t="e">
        <f>'branches '!#REF!</f>
        <v>#REF!</v>
      </c>
      <c r="K72" s="55" t="e">
        <f>'branches '!#REF!</f>
        <v>#REF!</v>
      </c>
      <c r="L72" s="58" t="e">
        <f>'branches '!#REF!</f>
        <v>#REF!</v>
      </c>
      <c r="M72" s="58" t="e">
        <f>'branches '!#REF!</f>
        <v>#REF!</v>
      </c>
      <c r="N72" s="55" t="e">
        <f>'branches '!#REF!</f>
        <v>#REF!</v>
      </c>
    </row>
    <row r="73" spans="1:14" x14ac:dyDescent="0.25">
      <c r="A73" s="54">
        <v>73029</v>
      </c>
      <c r="B73" s="54" t="s">
        <v>30</v>
      </c>
      <c r="C73" s="54" t="s">
        <v>519</v>
      </c>
      <c r="D73" s="58">
        <f>'branches '!AB33</f>
        <v>20.195126215420032</v>
      </c>
      <c r="E73" s="58">
        <f>'branches '!AC33</f>
        <v>5</v>
      </c>
      <c r="F73" s="58" t="e">
        <f>'branches '!#REF!</f>
        <v>#REF!</v>
      </c>
      <c r="G73" s="58" t="e">
        <f>'branches '!#REF!</f>
        <v>#REF!</v>
      </c>
      <c r="H73" s="55">
        <f>'branches '!AD33</f>
        <v>0.24758448878533076</v>
      </c>
      <c r="I73" s="58" t="e">
        <f>'branches '!#REF!</f>
        <v>#REF!</v>
      </c>
      <c r="J73" s="58" t="e">
        <f>'branches '!#REF!</f>
        <v>#REF!</v>
      </c>
      <c r="K73" s="55" t="e">
        <f>'branches '!#REF!</f>
        <v>#REF!</v>
      </c>
      <c r="L73" s="58" t="e">
        <f>'branches '!#REF!</f>
        <v>#REF!</v>
      </c>
      <c r="M73" s="58" t="e">
        <f>'branches '!#REF!</f>
        <v>#REF!</v>
      </c>
      <c r="N73" s="55" t="e">
        <f>'branches '!#REF!</f>
        <v>#REF!</v>
      </c>
    </row>
    <row r="74" spans="1:14" x14ac:dyDescent="0.25">
      <c r="A74" s="54">
        <v>73036</v>
      </c>
      <c r="B74" s="54" t="s">
        <v>30</v>
      </c>
      <c r="C74" s="54" t="s">
        <v>520</v>
      </c>
      <c r="D74" s="58">
        <f>'branches '!AB34</f>
        <v>11.540072123097161</v>
      </c>
      <c r="E74" s="58">
        <f>'branches '!AC34</f>
        <v>2</v>
      </c>
      <c r="F74" s="58" t="e">
        <f>'branches '!#REF!</f>
        <v>#REF!</v>
      </c>
      <c r="G74" s="58" t="e">
        <f>'branches '!#REF!</f>
        <v>#REF!</v>
      </c>
      <c r="H74" s="55">
        <f>'branches '!AD34</f>
        <v>0.17330914214973153</v>
      </c>
      <c r="I74" s="58" t="e">
        <f>'branches '!#REF!</f>
        <v>#REF!</v>
      </c>
      <c r="J74" s="58" t="e">
        <f>'branches '!#REF!</f>
        <v>#REF!</v>
      </c>
      <c r="K74" s="55" t="e">
        <f>'branches '!#REF!</f>
        <v>#REF!</v>
      </c>
      <c r="L74" s="58" t="e">
        <f>'branches '!#REF!</f>
        <v>#REF!</v>
      </c>
      <c r="M74" s="58" t="e">
        <f>'branches '!#REF!</f>
        <v>#REF!</v>
      </c>
      <c r="N74" s="55" t="e">
        <f>'branches '!#REF!</f>
        <v>#REF!</v>
      </c>
    </row>
    <row r="75" spans="1:14" x14ac:dyDescent="0.25">
      <c r="A75" s="298" t="s">
        <v>27</v>
      </c>
      <c r="B75" s="299"/>
      <c r="C75" s="300"/>
      <c r="D75" s="73" t="e">
        <f>SUM(D67:D74)</f>
        <v>#REF!</v>
      </c>
      <c r="E75" s="73" t="e">
        <f>SUM(E67:E74)</f>
        <v>#REF!</v>
      </c>
      <c r="F75" s="73" t="e">
        <f>SUM(F67:F74)</f>
        <v>#REF!</v>
      </c>
      <c r="G75" s="73" t="e">
        <f>SUM(G67:G74)</f>
        <v>#REF!</v>
      </c>
      <c r="H75" s="51" t="e">
        <f>G75/D75</f>
        <v>#REF!</v>
      </c>
      <c r="I75" s="52" t="e">
        <f>SUM(I67:I74)</f>
        <v>#REF!</v>
      </c>
      <c r="J75" s="52" t="e">
        <f>SUM(J67:J74)</f>
        <v>#REF!</v>
      </c>
      <c r="K75" s="53" t="e">
        <f>J75/I75</f>
        <v>#REF!</v>
      </c>
      <c r="L75" s="73" t="e">
        <f>SUM(L67:L74)</f>
        <v>#REF!</v>
      </c>
      <c r="M75" s="73" t="e">
        <f>SUM(M67:M74)</f>
        <v>#REF!</v>
      </c>
      <c r="N75" s="51" t="e">
        <f>M75/L75</f>
        <v>#REF!</v>
      </c>
    </row>
    <row r="77" spans="1:14" x14ac:dyDescent="0.25">
      <c r="A77" s="302" t="s">
        <v>508</v>
      </c>
      <c r="B77" s="302" t="s">
        <v>18</v>
      </c>
      <c r="C77" s="302" t="s">
        <v>19</v>
      </c>
      <c r="D77" s="287" t="s">
        <v>1142</v>
      </c>
      <c r="E77" s="287"/>
      <c r="F77" s="287"/>
      <c r="G77" s="288" t="s">
        <v>1158</v>
      </c>
      <c r="H77" s="288"/>
      <c r="I77" s="288"/>
      <c r="J77" s="287" t="s">
        <v>1159</v>
      </c>
      <c r="K77" s="287"/>
      <c r="L77" s="287"/>
    </row>
    <row r="78" spans="1:14" x14ac:dyDescent="0.25">
      <c r="A78" s="302"/>
      <c r="B78" s="302"/>
      <c r="C78" s="302"/>
      <c r="D78" s="50" t="s">
        <v>24</v>
      </c>
      <c r="E78" s="50" t="s">
        <v>29</v>
      </c>
      <c r="F78" s="76" t="s">
        <v>28</v>
      </c>
      <c r="G78" s="77" t="s">
        <v>24</v>
      </c>
      <c r="H78" s="77" t="s">
        <v>29</v>
      </c>
      <c r="I78" s="78" t="s">
        <v>28</v>
      </c>
      <c r="J78" s="73" t="s">
        <v>24</v>
      </c>
      <c r="K78" s="50" t="s">
        <v>29</v>
      </c>
      <c r="L78" s="51" t="s">
        <v>28</v>
      </c>
    </row>
    <row r="79" spans="1:14" x14ac:dyDescent="0.25">
      <c r="A79" s="54">
        <v>73011</v>
      </c>
      <c r="B79" s="54" t="s">
        <v>30</v>
      </c>
      <c r="C79" s="54" t="s">
        <v>516</v>
      </c>
      <c r="D79" s="58" t="e">
        <f>'branches '!#REF!</f>
        <v>#REF!</v>
      </c>
      <c r="E79" s="58" t="e">
        <f>'branches '!#REF!</f>
        <v>#REF!</v>
      </c>
      <c r="F79" s="55" t="e">
        <f>'branches '!#REF!</f>
        <v>#REF!</v>
      </c>
      <c r="G79" s="58" t="e">
        <f>'branches '!#REF!</f>
        <v>#REF!</v>
      </c>
      <c r="H79" s="58" t="e">
        <f>'branches '!#REF!</f>
        <v>#REF!</v>
      </c>
      <c r="I79" s="55" t="e">
        <f>'branches '!#REF!</f>
        <v>#REF!</v>
      </c>
      <c r="J79" s="58" t="e">
        <f>'branches '!#REF!</f>
        <v>#REF!</v>
      </c>
      <c r="K79" s="58" t="e">
        <f>'branches '!#REF!</f>
        <v>#REF!</v>
      </c>
      <c r="L79" s="55" t="e">
        <f>'branches '!#REF!</f>
        <v>#REF!</v>
      </c>
    </row>
    <row r="80" spans="1:14" x14ac:dyDescent="0.25">
      <c r="A80" s="54">
        <v>73013</v>
      </c>
      <c r="B80" s="54" t="s">
        <v>30</v>
      </c>
      <c r="C80" s="54" t="s">
        <v>42</v>
      </c>
      <c r="D80" s="58" t="e">
        <f>'branches '!#REF!</f>
        <v>#REF!</v>
      </c>
      <c r="E80" s="58" t="e">
        <f>'branches '!#REF!</f>
        <v>#REF!</v>
      </c>
      <c r="F80" s="55" t="e">
        <f>'branches '!#REF!</f>
        <v>#REF!</v>
      </c>
      <c r="G80" s="58" t="e">
        <f>'branches '!#REF!</f>
        <v>#REF!</v>
      </c>
      <c r="H80" s="58" t="e">
        <f>'branches '!#REF!</f>
        <v>#REF!</v>
      </c>
      <c r="I80" s="55" t="e">
        <f>'branches '!#REF!</f>
        <v>#REF!</v>
      </c>
      <c r="J80" s="58" t="e">
        <f>'branches '!#REF!</f>
        <v>#REF!</v>
      </c>
      <c r="K80" s="58" t="e">
        <f>'branches '!#REF!</f>
        <v>#REF!</v>
      </c>
      <c r="L80" s="55" t="e">
        <f>'branches '!#REF!</f>
        <v>#REF!</v>
      </c>
    </row>
    <row r="81" spans="1:14" x14ac:dyDescent="0.25">
      <c r="A81" s="54">
        <v>73014</v>
      </c>
      <c r="B81" s="54" t="s">
        <v>30</v>
      </c>
      <c r="C81" s="54" t="s">
        <v>52</v>
      </c>
      <c r="D81" s="58" t="e">
        <f>'branches '!#REF!</f>
        <v>#REF!</v>
      </c>
      <c r="E81" s="58" t="e">
        <f>'branches '!#REF!</f>
        <v>#REF!</v>
      </c>
      <c r="F81" s="55" t="e">
        <f>'branches '!#REF!</f>
        <v>#REF!</v>
      </c>
      <c r="G81" s="58" t="e">
        <f>'branches '!#REF!</f>
        <v>#REF!</v>
      </c>
      <c r="H81" s="58" t="e">
        <f>'branches '!#REF!</f>
        <v>#REF!</v>
      </c>
      <c r="I81" s="55" t="e">
        <f>'branches '!#REF!</f>
        <v>#REF!</v>
      </c>
      <c r="J81" s="58" t="e">
        <f>'branches '!#REF!</f>
        <v>#REF!</v>
      </c>
      <c r="K81" s="58" t="e">
        <f>'branches '!#REF!</f>
        <v>#REF!</v>
      </c>
      <c r="L81" s="55" t="e">
        <f>'branches '!#REF!</f>
        <v>#REF!</v>
      </c>
    </row>
    <row r="82" spans="1:14" x14ac:dyDescent="0.25">
      <c r="A82" s="54">
        <v>73016</v>
      </c>
      <c r="B82" s="54" t="s">
        <v>30</v>
      </c>
      <c r="C82" s="54" t="s">
        <v>59</v>
      </c>
      <c r="D82" s="58" t="e">
        <f>'branches '!#REF!</f>
        <v>#REF!</v>
      </c>
      <c r="E82" s="58" t="e">
        <f>'branches '!#REF!</f>
        <v>#REF!</v>
      </c>
      <c r="F82" s="55" t="e">
        <f>'branches '!#REF!</f>
        <v>#REF!</v>
      </c>
      <c r="G82" s="58" t="e">
        <f>'branches '!#REF!</f>
        <v>#REF!</v>
      </c>
      <c r="H82" s="58" t="e">
        <f>'branches '!#REF!</f>
        <v>#REF!</v>
      </c>
      <c r="I82" s="55" t="e">
        <f>'branches '!#REF!</f>
        <v>#REF!</v>
      </c>
      <c r="J82" s="58" t="e">
        <f>'branches '!#REF!</f>
        <v>#REF!</v>
      </c>
      <c r="K82" s="58" t="e">
        <f>'branches '!#REF!</f>
        <v>#REF!</v>
      </c>
      <c r="L82" s="55" t="e">
        <f>'branches '!#REF!</f>
        <v>#REF!</v>
      </c>
    </row>
    <row r="83" spans="1:14" x14ac:dyDescent="0.25">
      <c r="A83" s="54">
        <v>73024</v>
      </c>
      <c r="B83" s="54" t="s">
        <v>30</v>
      </c>
      <c r="C83" s="54" t="s">
        <v>517</v>
      </c>
      <c r="D83" s="58" t="e">
        <f>'branches '!#REF!</f>
        <v>#REF!</v>
      </c>
      <c r="E83" s="58" t="e">
        <f>'branches '!#REF!</f>
        <v>#REF!</v>
      </c>
      <c r="F83" s="55" t="e">
        <f>'branches '!#REF!</f>
        <v>#REF!</v>
      </c>
      <c r="G83" s="58" t="e">
        <f>'branches '!#REF!</f>
        <v>#REF!</v>
      </c>
      <c r="H83" s="58" t="e">
        <f>'branches '!#REF!</f>
        <v>#REF!</v>
      </c>
      <c r="I83" s="55" t="e">
        <f>'branches '!#REF!</f>
        <v>#REF!</v>
      </c>
      <c r="J83" s="58" t="e">
        <f>'branches '!#REF!</f>
        <v>#REF!</v>
      </c>
      <c r="K83" s="58" t="e">
        <f>'branches '!#REF!</f>
        <v>#REF!</v>
      </c>
      <c r="L83" s="55" t="e">
        <f>'branches '!#REF!</f>
        <v>#REF!</v>
      </c>
    </row>
    <row r="84" spans="1:14" x14ac:dyDescent="0.25">
      <c r="A84" s="54">
        <v>73025</v>
      </c>
      <c r="B84" s="54" t="s">
        <v>30</v>
      </c>
      <c r="C84" s="54" t="s">
        <v>518</v>
      </c>
      <c r="D84" s="58" t="e">
        <f>'branches '!#REF!</f>
        <v>#REF!</v>
      </c>
      <c r="E84" s="58" t="e">
        <f>'branches '!#REF!</f>
        <v>#REF!</v>
      </c>
      <c r="F84" s="55" t="e">
        <f>'branches '!#REF!</f>
        <v>#REF!</v>
      </c>
      <c r="G84" s="58" t="e">
        <f>'branches '!#REF!</f>
        <v>#REF!</v>
      </c>
      <c r="H84" s="58" t="e">
        <f>'branches '!#REF!</f>
        <v>#REF!</v>
      </c>
      <c r="I84" s="55" t="e">
        <f>'branches '!#REF!</f>
        <v>#REF!</v>
      </c>
      <c r="J84" s="58" t="e">
        <f>'branches '!#REF!</f>
        <v>#REF!</v>
      </c>
      <c r="K84" s="58" t="e">
        <f>'branches '!#REF!</f>
        <v>#REF!</v>
      </c>
      <c r="L84" s="55" t="e">
        <f>'branches '!#REF!</f>
        <v>#REF!</v>
      </c>
    </row>
    <row r="85" spans="1:14" x14ac:dyDescent="0.25">
      <c r="A85" s="54">
        <v>73029</v>
      </c>
      <c r="B85" s="54" t="s">
        <v>30</v>
      </c>
      <c r="C85" s="54" t="s">
        <v>519</v>
      </c>
      <c r="D85" s="58" t="e">
        <f>'branches '!#REF!</f>
        <v>#REF!</v>
      </c>
      <c r="E85" s="58" t="e">
        <f>'branches '!#REF!</f>
        <v>#REF!</v>
      </c>
      <c r="F85" s="55" t="e">
        <f>'branches '!#REF!</f>
        <v>#REF!</v>
      </c>
      <c r="G85" s="58" t="e">
        <f>'branches '!#REF!</f>
        <v>#REF!</v>
      </c>
      <c r="H85" s="58" t="e">
        <f>'branches '!#REF!</f>
        <v>#REF!</v>
      </c>
      <c r="I85" s="55" t="e">
        <f>'branches '!#REF!</f>
        <v>#REF!</v>
      </c>
      <c r="J85" s="58" t="e">
        <f>'branches '!#REF!</f>
        <v>#REF!</v>
      </c>
      <c r="K85" s="58" t="e">
        <f>'branches '!#REF!</f>
        <v>#REF!</v>
      </c>
      <c r="L85" s="55" t="e">
        <f>'branches '!#REF!</f>
        <v>#REF!</v>
      </c>
    </row>
    <row r="86" spans="1:14" x14ac:dyDescent="0.25">
      <c r="A86" s="54">
        <v>73036</v>
      </c>
      <c r="B86" s="54" t="s">
        <v>30</v>
      </c>
      <c r="C86" s="54" t="s">
        <v>520</v>
      </c>
      <c r="D86" s="58" t="e">
        <f>'branches '!#REF!</f>
        <v>#REF!</v>
      </c>
      <c r="E86" s="58" t="e">
        <f>'branches '!#REF!</f>
        <v>#REF!</v>
      </c>
      <c r="F86" s="55" t="e">
        <f>'branches '!#REF!</f>
        <v>#REF!</v>
      </c>
      <c r="G86" s="58" t="e">
        <f>'branches '!#REF!</f>
        <v>#REF!</v>
      </c>
      <c r="H86" s="58" t="e">
        <f>'branches '!#REF!</f>
        <v>#REF!</v>
      </c>
      <c r="I86" s="55" t="e">
        <f>'branches '!#REF!</f>
        <v>#REF!</v>
      </c>
      <c r="J86" s="58" t="e">
        <f>'branches '!#REF!</f>
        <v>#REF!</v>
      </c>
      <c r="K86" s="58" t="e">
        <f>'branches '!#REF!</f>
        <v>#REF!</v>
      </c>
      <c r="L86" s="55" t="e">
        <f>'branches '!#REF!</f>
        <v>#REF!</v>
      </c>
    </row>
    <row r="87" spans="1:14" x14ac:dyDescent="0.25">
      <c r="A87" s="298" t="s">
        <v>27</v>
      </c>
      <c r="B87" s="299"/>
      <c r="C87" s="300"/>
      <c r="D87" s="73" t="e">
        <f>SUM(D79:D86)</f>
        <v>#REF!</v>
      </c>
      <c r="E87" s="73" t="e">
        <f>SUM(E79:E86)</f>
        <v>#REF!</v>
      </c>
      <c r="F87" s="51" t="e">
        <f>E87/D87</f>
        <v>#REF!</v>
      </c>
      <c r="G87" s="52" t="e">
        <f>SUM(G79:G86)</f>
        <v>#REF!</v>
      </c>
      <c r="H87" s="52" t="e">
        <f>SUM(H79:H86)</f>
        <v>#REF!</v>
      </c>
      <c r="I87" s="53" t="e">
        <f>H87/G87</f>
        <v>#REF!</v>
      </c>
      <c r="J87" s="73" t="e">
        <f>SUM(J79:J86)</f>
        <v>#REF!</v>
      </c>
      <c r="K87" s="73" t="e">
        <f>SUM(K79:K86)</f>
        <v>#REF!</v>
      </c>
      <c r="L87" s="51" t="e">
        <f>K87/J87</f>
        <v>#REF!</v>
      </c>
    </row>
    <row r="89" spans="1:14" ht="21.75" x14ac:dyDescent="0.25">
      <c r="A89" s="291" t="s">
        <v>1134</v>
      </c>
      <c r="B89" s="291"/>
      <c r="C89" s="291"/>
      <c r="D89" s="291"/>
      <c r="E89" s="291"/>
      <c r="F89" s="291"/>
      <c r="G89" s="291"/>
      <c r="H89" s="291"/>
      <c r="I89" s="291"/>
      <c r="J89" s="291"/>
      <c r="K89" s="291"/>
      <c r="L89" s="291"/>
      <c r="M89" s="291"/>
      <c r="N89" s="291"/>
    </row>
  </sheetData>
  <mergeCells count="50">
    <mergeCell ref="A29:A30"/>
    <mergeCell ref="B29:B30"/>
    <mergeCell ref="C29:C30"/>
    <mergeCell ref="A1:A3"/>
    <mergeCell ref="B1:N3"/>
    <mergeCell ref="A5:A6"/>
    <mergeCell ref="B5:B6"/>
    <mergeCell ref="C5:C6"/>
    <mergeCell ref="N5:N6"/>
    <mergeCell ref="A15:C15"/>
    <mergeCell ref="A17:A18"/>
    <mergeCell ref="B17:B18"/>
    <mergeCell ref="C17:C18"/>
    <mergeCell ref="A27:C27"/>
    <mergeCell ref="B77:B78"/>
    <mergeCell ref="C77:C78"/>
    <mergeCell ref="A39:C39"/>
    <mergeCell ref="A41:A42"/>
    <mergeCell ref="B41:B42"/>
    <mergeCell ref="C41:C42"/>
    <mergeCell ref="A51:C51"/>
    <mergeCell ref="A53:A54"/>
    <mergeCell ref="B53:B54"/>
    <mergeCell ref="C53:C54"/>
    <mergeCell ref="A87:C87"/>
    <mergeCell ref="A89:N89"/>
    <mergeCell ref="D5:H5"/>
    <mergeCell ref="I5:M5"/>
    <mergeCell ref="D17:F17"/>
    <mergeCell ref="G17:I17"/>
    <mergeCell ref="J17:L17"/>
    <mergeCell ref="D29:F29"/>
    <mergeCell ref="G29:I29"/>
    <mergeCell ref="J29:L29"/>
    <mergeCell ref="A63:C63"/>
    <mergeCell ref="A65:A66"/>
    <mergeCell ref="B65:B66"/>
    <mergeCell ref="C65:C66"/>
    <mergeCell ref="A75:C75"/>
    <mergeCell ref="A77:A78"/>
    <mergeCell ref="D77:F77"/>
    <mergeCell ref="G77:I77"/>
    <mergeCell ref="J77:L77"/>
    <mergeCell ref="I65:K65"/>
    <mergeCell ref="L65:N65"/>
    <mergeCell ref="D41:H41"/>
    <mergeCell ref="I41:K41"/>
    <mergeCell ref="D53:H53"/>
    <mergeCell ref="I53:M53"/>
    <mergeCell ref="D65:H65"/>
  </mergeCells>
  <conditionalFormatting sqref="F19:F26">
    <cfRule type="cellIs" dxfId="164" priority="46" operator="lessThan">
      <formula>0.7</formula>
    </cfRule>
    <cfRule type="cellIs" dxfId="163" priority="48" operator="greaterThan">
      <formula>0.89</formula>
    </cfRule>
    <cfRule type="cellIs" dxfId="162" priority="47" operator="between">
      <formula>0.7</formula>
      <formula>0.89</formula>
    </cfRule>
  </conditionalFormatting>
  <conditionalFormatting sqref="F31:F38">
    <cfRule type="cellIs" dxfId="161" priority="39" operator="greaterThan">
      <formula>0.89</formula>
    </cfRule>
    <cfRule type="cellIs" dxfId="160" priority="38" operator="between">
      <formula>0.7</formula>
      <formula>0.89</formula>
    </cfRule>
    <cfRule type="cellIs" dxfId="159" priority="37" operator="lessThan">
      <formula>0.7</formula>
    </cfRule>
  </conditionalFormatting>
  <conditionalFormatting sqref="F79:F86">
    <cfRule type="cellIs" dxfId="158" priority="7" operator="lessThan">
      <formula>0.7</formula>
    </cfRule>
    <cfRule type="cellIs" dxfId="157" priority="8" operator="between">
      <formula>0.7</formula>
      <formula>0.89</formula>
    </cfRule>
    <cfRule type="cellIs" dxfId="156" priority="9" operator="greaterThan">
      <formula>0.89</formula>
    </cfRule>
  </conditionalFormatting>
  <conditionalFormatting sqref="H7:H14">
    <cfRule type="cellIs" dxfId="155" priority="54" operator="greaterThan">
      <formula>0.89</formula>
    </cfRule>
    <cfRule type="cellIs" dxfId="154" priority="52" operator="lessThan">
      <formula>0.7</formula>
    </cfRule>
    <cfRule type="cellIs" dxfId="153" priority="53" operator="between">
      <formula>0.7</formula>
      <formula>0.89</formula>
    </cfRule>
  </conditionalFormatting>
  <conditionalFormatting sqref="H43:H50">
    <cfRule type="cellIs" dxfId="152" priority="25" operator="lessThan">
      <formula>0.7</formula>
    </cfRule>
    <cfRule type="cellIs" dxfId="151" priority="26" operator="between">
      <formula>0.7</formula>
      <formula>0.89</formula>
    </cfRule>
    <cfRule type="cellIs" dxfId="150" priority="27" operator="greaterThan">
      <formula>0.89</formula>
    </cfRule>
  </conditionalFormatting>
  <conditionalFormatting sqref="H55:H62">
    <cfRule type="cellIs" dxfId="149" priority="19" operator="lessThan">
      <formula>0.7</formula>
    </cfRule>
    <cfRule type="cellIs" dxfId="148" priority="20" operator="between">
      <formula>0.7</formula>
      <formula>0.89</formula>
    </cfRule>
    <cfRule type="cellIs" dxfId="147" priority="21" operator="greaterThan">
      <formula>0.89</formula>
    </cfRule>
  </conditionalFormatting>
  <conditionalFormatting sqref="H67:H74">
    <cfRule type="cellIs" dxfId="146" priority="16" operator="lessThan">
      <formula>0.7</formula>
    </cfRule>
    <cfRule type="cellIs" dxfId="145" priority="17" operator="between">
      <formula>0.7</formula>
      <formula>0.89</formula>
    </cfRule>
    <cfRule type="cellIs" dxfId="144" priority="18" operator="greaterThan">
      <formula>0.89</formula>
    </cfRule>
  </conditionalFormatting>
  <conditionalFormatting sqref="I19:I26">
    <cfRule type="cellIs" dxfId="143" priority="45" operator="greaterThan">
      <formula>0.89</formula>
    </cfRule>
    <cfRule type="cellIs" dxfId="142" priority="44" operator="between">
      <formula>0.7</formula>
      <formula>0.89</formula>
    </cfRule>
    <cfRule type="cellIs" dxfId="141" priority="43" operator="lessThan">
      <formula>0.7</formula>
    </cfRule>
  </conditionalFormatting>
  <conditionalFormatting sqref="I31:I38">
    <cfRule type="cellIs" dxfId="140" priority="34" operator="lessThan">
      <formula>0.7</formula>
    </cfRule>
    <cfRule type="cellIs" dxfId="139" priority="36" operator="greaterThan">
      <formula>0.89</formula>
    </cfRule>
    <cfRule type="cellIs" dxfId="138" priority="35" operator="between">
      <formula>0.7</formula>
      <formula>0.89</formula>
    </cfRule>
  </conditionalFormatting>
  <conditionalFormatting sqref="I79:I86">
    <cfRule type="cellIs" dxfId="137" priority="4" operator="lessThan">
      <formula>0.7</formula>
    </cfRule>
    <cfRule type="cellIs" dxfId="136" priority="5" operator="between">
      <formula>0.7</formula>
      <formula>0.89</formula>
    </cfRule>
    <cfRule type="cellIs" dxfId="135" priority="6" operator="greaterThan">
      <formula>0.89</formula>
    </cfRule>
  </conditionalFormatting>
  <conditionalFormatting sqref="K43 K47:K50">
    <cfRule type="cellIs" dxfId="134" priority="28" operator="lessThan">
      <formula>0.7</formula>
    </cfRule>
    <cfRule type="cellIs" dxfId="133" priority="29" operator="between">
      <formula>0.7</formula>
      <formula>0.89</formula>
    </cfRule>
    <cfRule type="cellIs" dxfId="132" priority="30" operator="greaterThan">
      <formula>0.89</formula>
    </cfRule>
  </conditionalFormatting>
  <conditionalFormatting sqref="K67:K74">
    <cfRule type="cellIs" dxfId="131" priority="12" operator="greaterThan">
      <formula>0.89</formula>
    </cfRule>
    <cfRule type="cellIs" dxfId="130" priority="11" operator="between">
      <formula>0.7</formula>
      <formula>0.89</formula>
    </cfRule>
    <cfRule type="cellIs" dxfId="129" priority="10" operator="lessThan">
      <formula>0.7</formula>
    </cfRule>
  </conditionalFormatting>
  <conditionalFormatting sqref="L19:L26">
    <cfRule type="cellIs" dxfId="128" priority="40" operator="lessThan">
      <formula>0.7</formula>
    </cfRule>
    <cfRule type="cellIs" dxfId="127" priority="41" operator="between">
      <formula>0.7</formula>
      <formula>0.89</formula>
    </cfRule>
    <cfRule type="cellIs" dxfId="126" priority="42" operator="greaterThan">
      <formula>0.89</formula>
    </cfRule>
  </conditionalFormatting>
  <conditionalFormatting sqref="L31:L38">
    <cfRule type="cellIs" dxfId="125" priority="31" operator="lessThan">
      <formula>0.7</formula>
    </cfRule>
    <cfRule type="cellIs" dxfId="124" priority="32" operator="between">
      <formula>0.7</formula>
      <formula>0.89</formula>
    </cfRule>
    <cfRule type="cellIs" dxfId="123" priority="33" operator="greaterThan">
      <formula>0.89</formula>
    </cfRule>
  </conditionalFormatting>
  <conditionalFormatting sqref="L79:L86">
    <cfRule type="cellIs" dxfId="122" priority="3" operator="greaterThan">
      <formula>0.89</formula>
    </cfRule>
    <cfRule type="cellIs" dxfId="121" priority="2" operator="between">
      <formula>0.7</formula>
      <formula>0.89</formula>
    </cfRule>
    <cfRule type="cellIs" dxfId="120" priority="1" operator="lessThan">
      <formula>0.7</formula>
    </cfRule>
  </conditionalFormatting>
  <conditionalFormatting sqref="M7:M14">
    <cfRule type="cellIs" dxfId="119" priority="49" operator="lessThan">
      <formula>0.7</formula>
    </cfRule>
    <cfRule type="cellIs" dxfId="118" priority="50" operator="between">
      <formula>0.7</formula>
      <formula>0.89</formula>
    </cfRule>
    <cfRule type="cellIs" dxfId="117" priority="51" operator="greaterThan">
      <formula>0.89</formula>
    </cfRule>
  </conditionalFormatting>
  <conditionalFormatting sqref="M55:M62">
    <cfRule type="cellIs" dxfId="116" priority="22" operator="lessThan">
      <formula>0.7</formula>
    </cfRule>
    <cfRule type="cellIs" dxfId="115" priority="24" operator="greaterThan">
      <formula>0.89</formula>
    </cfRule>
    <cfRule type="cellIs" dxfId="114" priority="23" operator="between">
      <formula>0.7</formula>
      <formula>0.89</formula>
    </cfRule>
  </conditionalFormatting>
  <conditionalFormatting sqref="N67:N74">
    <cfRule type="cellIs" dxfId="113" priority="15" operator="greaterThan">
      <formula>0.89</formula>
    </cfRule>
    <cfRule type="cellIs" dxfId="112" priority="14" operator="between">
      <formula>0.7</formula>
      <formula>0.89</formula>
    </cfRule>
    <cfRule type="cellIs" dxfId="111" priority="13" operator="lessThan">
      <formula>0.7</formula>
    </cfRule>
  </conditionalFormatting>
  <pageMargins left="0.7" right="0.7" top="0.75" bottom="0.75" header="0.3" footer="0.3"/>
  <ignoredErrors>
    <ignoredError sqref="H15 M15 F27 I27 F39:I39 H51 H63 F87 I87:L87 K75 H75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8818D-8818-431B-8192-B94B141A6476}">
  <dimension ref="A1:N61"/>
  <sheetViews>
    <sheetView showGridLines="0" topLeftCell="B37" workbookViewId="0">
      <selection activeCell="A61" sqref="A1:N61"/>
    </sheetView>
  </sheetViews>
  <sheetFormatPr defaultRowHeight="15" x14ac:dyDescent="0.25"/>
  <cols>
    <col min="1" max="1" width="6" bestFit="1" customWidth="1"/>
    <col min="2" max="2" width="7.85546875" customWidth="1"/>
    <col min="3" max="3" width="28.42578125" bestFit="1" customWidth="1"/>
    <col min="4" max="4" width="10.42578125" bestFit="1" customWidth="1"/>
    <col min="5" max="5" width="12.5703125" bestFit="1" customWidth="1"/>
    <col min="6" max="6" width="12.140625" bestFit="1" customWidth="1"/>
    <col min="7" max="7" width="10.42578125" bestFit="1" customWidth="1"/>
    <col min="8" max="8" width="7.42578125" bestFit="1" customWidth="1"/>
    <col min="9" max="9" width="10.42578125" bestFit="1" customWidth="1"/>
    <col min="10" max="10" width="12.5703125" bestFit="1" customWidth="1"/>
    <col min="11" max="11" width="12.140625" bestFit="1" customWidth="1"/>
    <col min="12" max="12" width="10.42578125" bestFit="1" customWidth="1"/>
    <col min="13" max="13" width="7.42578125" bestFit="1" customWidth="1"/>
    <col min="14" max="14" width="10.42578125" bestFit="1" customWidth="1"/>
  </cols>
  <sheetData>
    <row r="1" spans="1:14" x14ac:dyDescent="0.25">
      <c r="A1" s="301"/>
      <c r="B1" s="290" t="s">
        <v>1141</v>
      </c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</row>
    <row r="2" spans="1:14" x14ac:dyDescent="0.25">
      <c r="A2" s="301"/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</row>
    <row r="3" spans="1:14" x14ac:dyDescent="0.25">
      <c r="A3" s="301"/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</row>
    <row r="4" spans="1:14" x14ac:dyDescent="0.25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</row>
    <row r="5" spans="1:14" x14ac:dyDescent="0.25">
      <c r="A5" s="302" t="s">
        <v>508</v>
      </c>
      <c r="B5" s="302" t="s">
        <v>18</v>
      </c>
      <c r="C5" s="302" t="s">
        <v>19</v>
      </c>
      <c r="D5" s="296" t="s">
        <v>1156</v>
      </c>
      <c r="E5" s="296"/>
      <c r="F5" s="296"/>
      <c r="G5" s="296"/>
      <c r="H5" s="296"/>
      <c r="I5" s="288" t="s">
        <v>1155</v>
      </c>
      <c r="J5" s="288"/>
      <c r="K5" s="288"/>
      <c r="L5" s="288"/>
      <c r="M5" s="288"/>
      <c r="N5" s="289" t="s">
        <v>1164</v>
      </c>
    </row>
    <row r="6" spans="1:14" x14ac:dyDescent="0.25">
      <c r="A6" s="302"/>
      <c r="B6" s="302"/>
      <c r="C6" s="302"/>
      <c r="D6" s="73" t="s">
        <v>24</v>
      </c>
      <c r="E6" s="50" t="s">
        <v>25</v>
      </c>
      <c r="F6" s="50" t="s">
        <v>26</v>
      </c>
      <c r="G6" s="50" t="s">
        <v>27</v>
      </c>
      <c r="H6" s="51" t="s">
        <v>28</v>
      </c>
      <c r="I6" s="52" t="s">
        <v>24</v>
      </c>
      <c r="J6" s="52" t="s">
        <v>25</v>
      </c>
      <c r="K6" s="52" t="s">
        <v>26</v>
      </c>
      <c r="L6" s="52" t="s">
        <v>27</v>
      </c>
      <c r="M6" s="53" t="s">
        <v>28</v>
      </c>
      <c r="N6" s="289"/>
    </row>
    <row r="7" spans="1:14" x14ac:dyDescent="0.25">
      <c r="A7" s="54">
        <v>75001</v>
      </c>
      <c r="B7" s="54" t="s">
        <v>887</v>
      </c>
      <c r="C7" s="54" t="s">
        <v>890</v>
      </c>
      <c r="D7" s="58">
        <f>'branches '!D35</f>
        <v>817165</v>
      </c>
      <c r="E7" s="58">
        <f>'branches '!E35</f>
        <v>660541.8600000001</v>
      </c>
      <c r="F7" s="58" t="e">
        <f>'branches '!#REF!</f>
        <v>#REF!</v>
      </c>
      <c r="G7" s="58" t="e">
        <f>'branches '!#REF!</f>
        <v>#REF!</v>
      </c>
      <c r="H7" s="55">
        <f>'branches '!F35</f>
        <v>0.80833351893436467</v>
      </c>
      <c r="I7" s="58">
        <f>'branches '!G35</f>
        <v>82604</v>
      </c>
      <c r="J7" s="58">
        <f>'branches '!H35</f>
        <v>10779.14</v>
      </c>
      <c r="K7" s="58" t="e">
        <f>'branches '!#REF!</f>
        <v>#REF!</v>
      </c>
      <c r="L7" s="58" t="e">
        <f>'branches '!#REF!</f>
        <v>#REF!</v>
      </c>
      <c r="M7" s="55">
        <f>'branches '!I35</f>
        <v>0.13049174374122319</v>
      </c>
      <c r="N7" s="58" t="e">
        <f>L7+G7+K23</f>
        <v>#REF!</v>
      </c>
    </row>
    <row r="8" spans="1:14" x14ac:dyDescent="0.25">
      <c r="A8" s="54">
        <v>75002</v>
      </c>
      <c r="B8" s="54" t="s">
        <v>887</v>
      </c>
      <c r="C8" s="54" t="s">
        <v>1135</v>
      </c>
      <c r="D8" s="58">
        <f>'branches '!D36</f>
        <v>642058</v>
      </c>
      <c r="E8" s="58">
        <f>'branches '!E36</f>
        <v>531794.27</v>
      </c>
      <c r="F8" s="58" t="e">
        <f>'branches '!#REF!</f>
        <v>#REF!</v>
      </c>
      <c r="G8" s="58" t="e">
        <f>'branches '!#REF!</f>
        <v>#REF!</v>
      </c>
      <c r="H8" s="55">
        <f>'branches '!F36</f>
        <v>0.82826515673038892</v>
      </c>
      <c r="I8" s="58">
        <f>'branches '!G36</f>
        <v>82604</v>
      </c>
      <c r="J8" s="58">
        <f>'branches '!H36</f>
        <v>10175.369999999999</v>
      </c>
      <c r="K8" s="58" t="e">
        <f>'branches '!#REF!</f>
        <v>#REF!</v>
      </c>
      <c r="L8" s="58" t="e">
        <f>'branches '!#REF!</f>
        <v>#REF!</v>
      </c>
      <c r="M8" s="55">
        <f>'branches '!I36</f>
        <v>0.12318253353348504</v>
      </c>
      <c r="N8" s="58" t="e">
        <f>L8+G8+K24</f>
        <v>#REF!</v>
      </c>
    </row>
    <row r="9" spans="1:14" x14ac:dyDescent="0.25">
      <c r="A9" s="54">
        <v>75013</v>
      </c>
      <c r="B9" s="54" t="s">
        <v>887</v>
      </c>
      <c r="C9" s="54" t="s">
        <v>942</v>
      </c>
      <c r="D9" s="58">
        <f>'branches '!D37</f>
        <v>525320</v>
      </c>
      <c r="E9" s="58">
        <f>'branches '!E37</f>
        <v>404536.61</v>
      </c>
      <c r="F9" s="58" t="e">
        <f>'branches '!#REF!</f>
        <v>#REF!</v>
      </c>
      <c r="G9" s="58" t="e">
        <f>'branches '!#REF!</f>
        <v>#REF!</v>
      </c>
      <c r="H9" s="55">
        <f>'branches '!F37</f>
        <v>0.77007654382090918</v>
      </c>
      <c r="I9" s="58">
        <f>'branches '!G37</f>
        <v>70804</v>
      </c>
      <c r="J9" s="58">
        <f>'branches '!H37</f>
        <v>20126.080000000002</v>
      </c>
      <c r="K9" s="58" t="e">
        <f>'branches '!#REF!</f>
        <v>#REF!</v>
      </c>
      <c r="L9" s="58" t="e">
        <f>'branches '!#REF!</f>
        <v>#REF!</v>
      </c>
      <c r="M9" s="55">
        <f>'branches '!I37</f>
        <v>0.28425060731032148</v>
      </c>
      <c r="N9" s="58" t="e">
        <f>L9+G9+K25</f>
        <v>#REF!</v>
      </c>
    </row>
    <row r="10" spans="1:14" x14ac:dyDescent="0.25">
      <c r="A10" s="54">
        <v>75014</v>
      </c>
      <c r="B10" s="54" t="s">
        <v>887</v>
      </c>
      <c r="C10" s="54" t="s">
        <v>956</v>
      </c>
      <c r="D10" s="58">
        <f>'branches '!D38</f>
        <v>1517592</v>
      </c>
      <c r="E10" s="58">
        <f>'branches '!E38</f>
        <v>1513655.46</v>
      </c>
      <c r="F10" s="58" t="e">
        <f>'branches '!#REF!</f>
        <v>#REF!</v>
      </c>
      <c r="G10" s="58" t="e">
        <f>'branches '!#REF!</f>
        <v>#REF!</v>
      </c>
      <c r="H10" s="55">
        <f>'branches '!F38</f>
        <v>0.99740606170828516</v>
      </c>
      <c r="I10" s="58">
        <f>'branches '!G38</f>
        <v>141608</v>
      </c>
      <c r="J10" s="58">
        <f>'branches '!H38</f>
        <v>62648.22</v>
      </c>
      <c r="K10" s="58" t="e">
        <f>'branches '!#REF!</f>
        <v>#REF!</v>
      </c>
      <c r="L10" s="58" t="e">
        <f>'branches '!#REF!</f>
        <v>#REF!</v>
      </c>
      <c r="M10" s="55">
        <f>'branches '!I38</f>
        <v>0.44240593751765439</v>
      </c>
      <c r="N10" s="58" t="e">
        <f>L10+G10+K26</f>
        <v>#REF!</v>
      </c>
    </row>
    <row r="11" spans="1:14" x14ac:dyDescent="0.25">
      <c r="A11" s="298" t="s">
        <v>27</v>
      </c>
      <c r="B11" s="299"/>
      <c r="C11" s="300"/>
      <c r="D11" s="73">
        <f>SUM(D7:D10)</f>
        <v>3502135</v>
      </c>
      <c r="E11" s="73">
        <f>SUM(E7:E10)</f>
        <v>3110528.2</v>
      </c>
      <c r="F11" s="73" t="e">
        <f>SUM(F7:F10)</f>
        <v>#REF!</v>
      </c>
      <c r="G11" s="73" t="e">
        <f>SUM(G7:G10)</f>
        <v>#REF!</v>
      </c>
      <c r="H11" s="74" t="e">
        <f>G11/D11</f>
        <v>#REF!</v>
      </c>
      <c r="I11" s="52">
        <f>SUM(I7:I10)</f>
        <v>377620</v>
      </c>
      <c r="J11" s="52">
        <f>SUM(J7:J10)</f>
        <v>103728.81</v>
      </c>
      <c r="K11" s="52" t="e">
        <f>SUM(K7:K10)</f>
        <v>#REF!</v>
      </c>
      <c r="L11" s="52" t="e">
        <f>SUM(L7:L10)</f>
        <v>#REF!</v>
      </c>
      <c r="M11" s="53" t="e">
        <f>L11/I11</f>
        <v>#REF!</v>
      </c>
      <c r="N11" s="73" t="e">
        <f>SUM(N7:N10)</f>
        <v>#REF!</v>
      </c>
    </row>
    <row r="12" spans="1:14" x14ac:dyDescent="0.25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</row>
    <row r="13" spans="1:14" x14ac:dyDescent="0.25">
      <c r="A13" s="302" t="s">
        <v>508</v>
      </c>
      <c r="B13" s="302" t="s">
        <v>18</v>
      </c>
      <c r="C13" s="302" t="s">
        <v>19</v>
      </c>
      <c r="D13" s="296" t="s">
        <v>496</v>
      </c>
      <c r="E13" s="296"/>
      <c r="F13" s="296"/>
      <c r="G13" s="288" t="s">
        <v>522</v>
      </c>
      <c r="H13" s="288"/>
      <c r="I13" s="288"/>
      <c r="J13" s="296" t="s">
        <v>507</v>
      </c>
      <c r="K13" s="296"/>
      <c r="L13" s="296"/>
      <c r="M13" s="40"/>
      <c r="N13" s="40"/>
    </row>
    <row r="14" spans="1:14" x14ac:dyDescent="0.25">
      <c r="A14" s="302"/>
      <c r="B14" s="302"/>
      <c r="C14" s="302"/>
      <c r="D14" s="73" t="s">
        <v>24</v>
      </c>
      <c r="E14" s="73" t="s">
        <v>29</v>
      </c>
      <c r="F14" s="73" t="s">
        <v>28</v>
      </c>
      <c r="G14" s="52" t="s">
        <v>24</v>
      </c>
      <c r="H14" s="52" t="s">
        <v>29</v>
      </c>
      <c r="I14" s="53" t="s">
        <v>28</v>
      </c>
      <c r="J14" s="73" t="s">
        <v>24</v>
      </c>
      <c r="K14" s="73" t="s">
        <v>29</v>
      </c>
      <c r="L14" s="73" t="s">
        <v>28</v>
      </c>
      <c r="M14" s="40"/>
      <c r="N14" s="40"/>
    </row>
    <row r="15" spans="1:14" x14ac:dyDescent="0.25">
      <c r="A15" s="54">
        <v>75001</v>
      </c>
      <c r="B15" s="54" t="s">
        <v>887</v>
      </c>
      <c r="C15" s="54" t="s">
        <v>890</v>
      </c>
      <c r="D15" s="58">
        <f>'branches '!M35</f>
        <v>9233</v>
      </c>
      <c r="E15" s="58">
        <f>'branches '!N35</f>
        <v>2846</v>
      </c>
      <c r="F15" s="55">
        <f>'branches '!O35</f>
        <v>0.30824217480775479</v>
      </c>
      <c r="G15" s="58" t="e">
        <f>'branches '!#REF!</f>
        <v>#REF!</v>
      </c>
      <c r="H15" s="58" t="e">
        <f>'branches '!#REF!</f>
        <v>#REF!</v>
      </c>
      <c r="I15" s="55" t="e">
        <f>'branches '!#REF!</f>
        <v>#REF!</v>
      </c>
      <c r="J15" s="58">
        <f>'branches '!AK35</f>
        <v>23.915767569811983</v>
      </c>
      <c r="K15" s="58">
        <f>'branches '!AL35</f>
        <v>0</v>
      </c>
      <c r="L15" s="55">
        <f>'branches '!AM35</f>
        <v>0</v>
      </c>
      <c r="M15" s="40"/>
      <c r="N15" s="40"/>
    </row>
    <row r="16" spans="1:14" x14ac:dyDescent="0.25">
      <c r="A16" s="54">
        <v>75002</v>
      </c>
      <c r="B16" s="54" t="s">
        <v>887</v>
      </c>
      <c r="C16" s="54" t="s">
        <v>1135</v>
      </c>
      <c r="D16" s="58">
        <f>'branches '!M36</f>
        <v>7254</v>
      </c>
      <c r="E16" s="58">
        <f>'branches '!N36</f>
        <v>4063</v>
      </c>
      <c r="F16" s="55">
        <f>'branches '!O36</f>
        <v>0.56010476978218915</v>
      </c>
      <c r="G16" s="58" t="e">
        <f>'branches '!#REF!</f>
        <v>#REF!</v>
      </c>
      <c r="H16" s="58" t="e">
        <f>'branches '!#REF!</f>
        <v>#REF!</v>
      </c>
      <c r="I16" s="55" t="e">
        <f>'branches '!#REF!</f>
        <v>#REF!</v>
      </c>
      <c r="J16" s="58">
        <f>'branches '!AK36</f>
        <v>18.790953961976275</v>
      </c>
      <c r="K16" s="58">
        <f>'branches '!AL36</f>
        <v>0</v>
      </c>
      <c r="L16" s="55">
        <f>'branches '!AM36</f>
        <v>0</v>
      </c>
      <c r="M16" s="40"/>
      <c r="N16" s="40"/>
    </row>
    <row r="17" spans="1:14" x14ac:dyDescent="0.25">
      <c r="A17" s="54">
        <v>75013</v>
      </c>
      <c r="B17" s="54" t="s">
        <v>887</v>
      </c>
      <c r="C17" s="54" t="s">
        <v>942</v>
      </c>
      <c r="D17" s="58">
        <f>'branches '!M37</f>
        <v>4000</v>
      </c>
      <c r="E17" s="58">
        <f>'branches '!N37</f>
        <v>379</v>
      </c>
      <c r="F17" s="55">
        <f>'branches '!O37</f>
        <v>9.4750000000000001E-2</v>
      </c>
      <c r="G17" s="58" t="e">
        <f>'branches '!#REF!</f>
        <v>#REF!</v>
      </c>
      <c r="H17" s="58" t="e">
        <f>'branches '!#REF!</f>
        <v>#REF!</v>
      </c>
      <c r="I17" s="55" t="e">
        <f>'branches '!#REF!</f>
        <v>#REF!</v>
      </c>
      <c r="J17" s="58">
        <f>'branches '!AK37</f>
        <v>15.374411556752467</v>
      </c>
      <c r="K17" s="58">
        <f>'branches '!AL37</f>
        <v>0</v>
      </c>
      <c r="L17" s="55">
        <f>'branches '!AM37</f>
        <v>0</v>
      </c>
      <c r="M17" s="40"/>
      <c r="N17" s="40"/>
    </row>
    <row r="18" spans="1:14" x14ac:dyDescent="0.25">
      <c r="A18" s="54">
        <v>75014</v>
      </c>
      <c r="B18" s="54" t="s">
        <v>887</v>
      </c>
      <c r="C18" s="54" t="s">
        <v>956</v>
      </c>
      <c r="D18" s="58">
        <f>'branches '!M38</f>
        <v>10487</v>
      </c>
      <c r="E18" s="58">
        <f>'branches '!N38</f>
        <v>120</v>
      </c>
      <c r="F18" s="55">
        <f>'branches '!O38</f>
        <v>1.1442738628778489E-2</v>
      </c>
      <c r="G18" s="58" t="e">
        <f>'branches '!#REF!</f>
        <v>#REF!</v>
      </c>
      <c r="H18" s="58" t="e">
        <f>'branches '!#REF!</f>
        <v>#REF!</v>
      </c>
      <c r="I18" s="55" t="e">
        <f>'branches '!#REF!</f>
        <v>#REF!</v>
      </c>
      <c r="J18" s="58">
        <f>'branches '!AK38</f>
        <v>44.414992734400158</v>
      </c>
      <c r="K18" s="58">
        <f>'branches '!AL38</f>
        <v>0</v>
      </c>
      <c r="L18" s="55">
        <f>'branches '!AM38</f>
        <v>0</v>
      </c>
      <c r="M18" s="40"/>
      <c r="N18" s="40"/>
    </row>
    <row r="19" spans="1:14" x14ac:dyDescent="0.25">
      <c r="A19" s="298" t="s">
        <v>27</v>
      </c>
      <c r="B19" s="299"/>
      <c r="C19" s="300"/>
      <c r="D19" s="73">
        <f>SUM(D15:D18)</f>
        <v>30974</v>
      </c>
      <c r="E19" s="73">
        <f>SUM(E15:E18)</f>
        <v>7408</v>
      </c>
      <c r="F19" s="74">
        <f>E19/D19</f>
        <v>0.23916833473235616</v>
      </c>
      <c r="G19" s="52" t="e">
        <f>SUM(G15:G18)</f>
        <v>#REF!</v>
      </c>
      <c r="H19" s="52" t="e">
        <f>SUM(H15:H18)</f>
        <v>#REF!</v>
      </c>
      <c r="I19" s="53" t="e">
        <f>H19/G19</f>
        <v>#REF!</v>
      </c>
      <c r="J19" s="73">
        <f>SUM(J15:J18)</f>
        <v>102.49612582294088</v>
      </c>
      <c r="K19" s="73">
        <f>SUM(K15:K18)</f>
        <v>0</v>
      </c>
      <c r="L19" s="74">
        <f>K19/J19</f>
        <v>0</v>
      </c>
      <c r="M19" s="40"/>
      <c r="N19" s="40"/>
    </row>
    <row r="20" spans="1:14" x14ac:dyDescent="0.25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</row>
    <row r="21" spans="1:14" x14ac:dyDescent="0.25">
      <c r="A21" s="302" t="s">
        <v>508</v>
      </c>
      <c r="B21" s="302" t="s">
        <v>18</v>
      </c>
      <c r="C21" s="302" t="s">
        <v>19</v>
      </c>
      <c r="D21" s="287" t="s">
        <v>1154</v>
      </c>
      <c r="E21" s="287"/>
      <c r="F21" s="287"/>
      <c r="G21" s="297" t="s">
        <v>466</v>
      </c>
      <c r="H21" s="297"/>
      <c r="I21" s="297"/>
      <c r="J21" s="287" t="s">
        <v>523</v>
      </c>
      <c r="K21" s="287"/>
      <c r="L21" s="287"/>
      <c r="M21" s="40"/>
      <c r="N21" s="40"/>
    </row>
    <row r="22" spans="1:14" x14ac:dyDescent="0.25">
      <c r="A22" s="302"/>
      <c r="B22" s="302"/>
      <c r="C22" s="302"/>
      <c r="D22" s="73" t="s">
        <v>24</v>
      </c>
      <c r="E22" s="50" t="s">
        <v>29</v>
      </c>
      <c r="F22" s="51" t="s">
        <v>28</v>
      </c>
      <c r="G22" s="52" t="s">
        <v>24</v>
      </c>
      <c r="H22" s="52" t="s">
        <v>29</v>
      </c>
      <c r="I22" s="53" t="s">
        <v>28</v>
      </c>
      <c r="J22" s="50" t="s">
        <v>24</v>
      </c>
      <c r="K22" s="50" t="s">
        <v>29</v>
      </c>
      <c r="L22" s="51" t="s">
        <v>28</v>
      </c>
      <c r="M22" s="40"/>
      <c r="N22" s="40"/>
    </row>
    <row r="23" spans="1:14" x14ac:dyDescent="0.25">
      <c r="A23" s="54">
        <v>75001</v>
      </c>
      <c r="B23" s="54" t="s">
        <v>887</v>
      </c>
      <c r="C23" s="54" t="s">
        <v>890</v>
      </c>
      <c r="D23" s="58">
        <f>'branches '!P35</f>
        <v>126</v>
      </c>
      <c r="E23" s="58">
        <f>'branches '!Q35</f>
        <v>72</v>
      </c>
      <c r="F23" s="55">
        <f>'branches '!R35</f>
        <v>0.5714285714285714</v>
      </c>
      <c r="G23" s="58">
        <f>'branches '!S35</f>
        <v>18</v>
      </c>
      <c r="H23" s="58">
        <f>'branches '!T35</f>
        <v>14</v>
      </c>
      <c r="I23" s="55">
        <f>'branches '!U35</f>
        <v>0.77777777777777779</v>
      </c>
      <c r="J23" s="58" t="e">
        <f>'branches '!#REF!</f>
        <v>#REF!</v>
      </c>
      <c r="K23" s="58" t="e">
        <f>'branches '!#REF!</f>
        <v>#REF!</v>
      </c>
      <c r="L23" s="55" t="e">
        <f>'branches '!#REF!</f>
        <v>#REF!</v>
      </c>
      <c r="M23" s="40"/>
      <c r="N23" s="40"/>
    </row>
    <row r="24" spans="1:14" x14ac:dyDescent="0.25">
      <c r="A24" s="54">
        <v>75002</v>
      </c>
      <c r="B24" s="54" t="s">
        <v>887</v>
      </c>
      <c r="C24" s="54" t="s">
        <v>1135</v>
      </c>
      <c r="D24" s="58">
        <f>'branches '!P36</f>
        <v>100</v>
      </c>
      <c r="E24" s="58">
        <f>'branches '!Q36</f>
        <v>40</v>
      </c>
      <c r="F24" s="55">
        <f>'branches '!R36</f>
        <v>0.4</v>
      </c>
      <c r="G24" s="58">
        <f>'branches '!S36</f>
        <v>18</v>
      </c>
      <c r="H24" s="58">
        <f>'branches '!T36</f>
        <v>3</v>
      </c>
      <c r="I24" s="55">
        <f>'branches '!U36</f>
        <v>0.16666666666666666</v>
      </c>
      <c r="J24" s="58" t="e">
        <f>'branches '!#REF!</f>
        <v>#REF!</v>
      </c>
      <c r="K24" s="58" t="e">
        <f>'branches '!#REF!</f>
        <v>#REF!</v>
      </c>
      <c r="L24" s="55" t="e">
        <f>'branches '!#REF!</f>
        <v>#REF!</v>
      </c>
      <c r="M24" s="40"/>
      <c r="N24" s="40"/>
    </row>
    <row r="25" spans="1:14" x14ac:dyDescent="0.25">
      <c r="A25" s="54">
        <v>75013</v>
      </c>
      <c r="B25" s="54" t="s">
        <v>887</v>
      </c>
      <c r="C25" s="54" t="s">
        <v>942</v>
      </c>
      <c r="D25" s="58">
        <f>'branches '!P37</f>
        <v>99</v>
      </c>
      <c r="E25" s="58">
        <f>'branches '!Q37</f>
        <v>32</v>
      </c>
      <c r="F25" s="55">
        <f>'branches '!R37</f>
        <v>0.32323232323232326</v>
      </c>
      <c r="G25" s="58">
        <f>'branches '!S37</f>
        <v>12</v>
      </c>
      <c r="H25" s="58">
        <f>'branches '!T37</f>
        <v>5</v>
      </c>
      <c r="I25" s="55">
        <f>'branches '!U37</f>
        <v>0.41666666666666669</v>
      </c>
      <c r="J25" s="58" t="e">
        <f>'branches '!#REF!</f>
        <v>#REF!</v>
      </c>
      <c r="K25" s="58" t="e">
        <f>'branches '!#REF!</f>
        <v>#REF!</v>
      </c>
      <c r="L25" s="55" t="e">
        <f>'branches '!#REF!</f>
        <v>#REF!</v>
      </c>
      <c r="M25" s="40"/>
      <c r="N25" s="40"/>
    </row>
    <row r="26" spans="1:14" x14ac:dyDescent="0.25">
      <c r="A26" s="54">
        <v>75014</v>
      </c>
      <c r="B26" s="54" t="s">
        <v>887</v>
      </c>
      <c r="C26" s="54" t="s">
        <v>956</v>
      </c>
      <c r="D26" s="58">
        <f>'branches '!P38</f>
        <v>242</v>
      </c>
      <c r="E26" s="58">
        <f>'branches '!Q38</f>
        <v>90</v>
      </c>
      <c r="F26" s="55">
        <f>'branches '!R38</f>
        <v>0.37190082644628097</v>
      </c>
      <c r="G26" s="58">
        <f>'branches '!S38</f>
        <v>31</v>
      </c>
      <c r="H26" s="58">
        <f>'branches '!T38</f>
        <v>15</v>
      </c>
      <c r="I26" s="55">
        <f>'branches '!U38</f>
        <v>0.4838709677419355</v>
      </c>
      <c r="J26" s="58" t="e">
        <f>'branches '!#REF!</f>
        <v>#REF!</v>
      </c>
      <c r="K26" s="58" t="e">
        <f>'branches '!#REF!</f>
        <v>#REF!</v>
      </c>
      <c r="L26" s="55" t="e">
        <f>'branches '!#REF!</f>
        <v>#REF!</v>
      </c>
      <c r="M26" s="40"/>
      <c r="N26" s="40"/>
    </row>
    <row r="27" spans="1:14" x14ac:dyDescent="0.25">
      <c r="A27" s="298" t="s">
        <v>27</v>
      </c>
      <c r="B27" s="299"/>
      <c r="C27" s="300"/>
      <c r="D27" s="73">
        <f>SUM(D23:D26)</f>
        <v>567</v>
      </c>
      <c r="E27" s="73">
        <f>SUM(E23:E26)</f>
        <v>234</v>
      </c>
      <c r="F27" s="74">
        <f>E27/D27</f>
        <v>0.41269841269841268</v>
      </c>
      <c r="G27" s="52">
        <f>SUM(G23:G26)</f>
        <v>79</v>
      </c>
      <c r="H27" s="52">
        <f>SUM(H23:H26)</f>
        <v>37</v>
      </c>
      <c r="I27" s="53">
        <f>H27/G27</f>
        <v>0.46835443037974683</v>
      </c>
      <c r="J27" s="73" t="e">
        <f>SUM(J23:J26)</f>
        <v>#REF!</v>
      </c>
      <c r="K27" s="73" t="e">
        <f>SUM(K23:K26)</f>
        <v>#REF!</v>
      </c>
      <c r="L27" s="74" t="e">
        <f>K27/J27</f>
        <v>#REF!</v>
      </c>
      <c r="M27" s="40"/>
      <c r="N27" s="40"/>
    </row>
    <row r="28" spans="1:14" x14ac:dyDescent="0.25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</row>
    <row r="29" spans="1:14" x14ac:dyDescent="0.25">
      <c r="A29" s="302" t="s">
        <v>508</v>
      </c>
      <c r="B29" s="302" t="s">
        <v>18</v>
      </c>
      <c r="C29" s="302" t="s">
        <v>19</v>
      </c>
      <c r="D29" s="287" t="s">
        <v>1151</v>
      </c>
      <c r="E29" s="287"/>
      <c r="F29" s="287"/>
      <c r="G29" s="287"/>
      <c r="H29" s="287"/>
      <c r="I29" s="297" t="s">
        <v>1150</v>
      </c>
      <c r="J29" s="297"/>
      <c r="K29" s="297"/>
      <c r="L29" s="40"/>
      <c r="M29" s="40"/>
      <c r="N29" s="40"/>
    </row>
    <row r="30" spans="1:14" x14ac:dyDescent="0.25">
      <c r="A30" s="302"/>
      <c r="B30" s="302"/>
      <c r="C30" s="302"/>
      <c r="D30" s="50" t="s">
        <v>24</v>
      </c>
      <c r="E30" s="50" t="s">
        <v>25</v>
      </c>
      <c r="F30" s="50" t="s">
        <v>26</v>
      </c>
      <c r="G30" s="50" t="s">
        <v>27</v>
      </c>
      <c r="H30" s="51" t="s">
        <v>28</v>
      </c>
      <c r="I30" s="52" t="s">
        <v>24</v>
      </c>
      <c r="J30" s="52" t="s">
        <v>29</v>
      </c>
      <c r="K30" s="53" t="s">
        <v>28</v>
      </c>
      <c r="L30" s="40"/>
      <c r="M30" s="40"/>
      <c r="N30" s="40"/>
    </row>
    <row r="31" spans="1:14" x14ac:dyDescent="0.25">
      <c r="A31" s="54">
        <v>75001</v>
      </c>
      <c r="B31" s="54" t="s">
        <v>887</v>
      </c>
      <c r="C31" s="54" t="s">
        <v>890</v>
      </c>
      <c r="D31" s="58">
        <f>'branches '!AE35</f>
        <v>58.246881567677072</v>
      </c>
      <c r="E31" s="58">
        <f>'branches '!AF35</f>
        <v>30</v>
      </c>
      <c r="F31" s="58" t="e">
        <f>'branches '!#REF!</f>
        <v>#REF!</v>
      </c>
      <c r="G31" s="58" t="e">
        <f>'branches '!#REF!</f>
        <v>#REF!</v>
      </c>
      <c r="H31" s="55">
        <f>'branches '!AG35</f>
        <v>0.51504903254164758</v>
      </c>
      <c r="I31" s="58">
        <f>'branches '!AH35</f>
        <v>71</v>
      </c>
      <c r="J31" s="58">
        <f>'branches '!AI35</f>
        <v>50</v>
      </c>
      <c r="K31" s="55">
        <f>'branches '!AJ35</f>
        <v>0.70422535211267601</v>
      </c>
      <c r="L31" s="40"/>
      <c r="M31" s="40"/>
      <c r="N31" s="40"/>
    </row>
    <row r="32" spans="1:14" x14ac:dyDescent="0.25">
      <c r="A32" s="54">
        <v>75002</v>
      </c>
      <c r="B32" s="54" t="s">
        <v>887</v>
      </c>
      <c r="C32" s="54" t="s">
        <v>1135</v>
      </c>
      <c r="D32" s="58">
        <f>'branches '!AE36</f>
        <v>49.285822864957524</v>
      </c>
      <c r="E32" s="58">
        <f>'branches '!AF36</f>
        <v>11</v>
      </c>
      <c r="F32" s="58" t="e">
        <f>'branches '!#REF!</f>
        <v>#REF!</v>
      </c>
      <c r="G32" s="58" t="e">
        <f>'branches '!#REF!</f>
        <v>#REF!</v>
      </c>
      <c r="H32" s="55">
        <f>'branches '!AG36</f>
        <v>0.22318791410138061</v>
      </c>
      <c r="I32" s="58">
        <f>'branches '!AH36</f>
        <v>66</v>
      </c>
      <c r="J32" s="58">
        <f>'branches '!AI36</f>
        <v>4</v>
      </c>
      <c r="K32" s="55">
        <f>'branches '!AJ36</f>
        <v>6.0606060606060608E-2</v>
      </c>
      <c r="L32" s="40"/>
      <c r="M32" s="40"/>
      <c r="N32" s="40"/>
    </row>
    <row r="33" spans="1:14" x14ac:dyDescent="0.25">
      <c r="A33" s="54">
        <v>75013</v>
      </c>
      <c r="B33" s="54" t="s">
        <v>887</v>
      </c>
      <c r="C33" s="54" t="s">
        <v>942</v>
      </c>
      <c r="D33" s="58">
        <f>'branches '!AE37</f>
        <v>53.766352216317301</v>
      </c>
      <c r="E33" s="58">
        <f>'branches '!AF37</f>
        <v>20</v>
      </c>
      <c r="F33" s="58" t="e">
        <f>'branches '!#REF!</f>
        <v>#REF!</v>
      </c>
      <c r="G33" s="58" t="e">
        <f>'branches '!#REF!</f>
        <v>#REF!</v>
      </c>
      <c r="H33" s="55">
        <f>'branches '!AG37</f>
        <v>0.37197985683563434</v>
      </c>
      <c r="I33" s="58">
        <f>'branches '!AH37</f>
        <v>27</v>
      </c>
      <c r="J33" s="58">
        <f>'branches '!AI37</f>
        <v>2</v>
      </c>
      <c r="K33" s="55">
        <f>'branches '!AJ37</f>
        <v>7.407407407407407E-2</v>
      </c>
      <c r="L33" s="40"/>
      <c r="M33" s="40"/>
      <c r="N33" s="40"/>
    </row>
    <row r="34" spans="1:14" x14ac:dyDescent="0.25">
      <c r="A34" s="54">
        <v>75014</v>
      </c>
      <c r="B34" s="54" t="s">
        <v>887</v>
      </c>
      <c r="C34" s="54" t="s">
        <v>956</v>
      </c>
      <c r="D34" s="58">
        <f>'branches '!AE38</f>
        <v>108.42881030290656</v>
      </c>
      <c r="E34" s="58">
        <f>'branches '!AF38</f>
        <v>58</v>
      </c>
      <c r="F34" s="58" t="e">
        <f>'branches '!#REF!</f>
        <v>#REF!</v>
      </c>
      <c r="G34" s="58" t="e">
        <f>'branches '!#REF!</f>
        <v>#REF!</v>
      </c>
      <c r="H34" s="55">
        <f>'branches '!AG38</f>
        <v>0.53491318255702791</v>
      </c>
      <c r="I34" s="58">
        <f>'branches '!AH38</f>
        <v>85</v>
      </c>
      <c r="J34" s="58">
        <f>'branches '!AI38</f>
        <v>41</v>
      </c>
      <c r="K34" s="55">
        <f>'branches '!AJ38</f>
        <v>0.4823529411764706</v>
      </c>
      <c r="L34" s="40"/>
      <c r="M34" s="40"/>
      <c r="N34" s="40"/>
    </row>
    <row r="35" spans="1:14" x14ac:dyDescent="0.25">
      <c r="A35" s="298" t="s">
        <v>27</v>
      </c>
      <c r="B35" s="299"/>
      <c r="C35" s="300"/>
      <c r="D35" s="73">
        <f>SUM(D31:D34)</f>
        <v>269.72786695185846</v>
      </c>
      <c r="E35" s="73">
        <f>SUM(E31:E34)</f>
        <v>119</v>
      </c>
      <c r="F35" s="73" t="e">
        <f>SUM(F31:F34)</f>
        <v>#REF!</v>
      </c>
      <c r="G35" s="73" t="e">
        <f>SUM(G31:G34)</f>
        <v>#REF!</v>
      </c>
      <c r="H35" s="74" t="e">
        <f>G35/D35</f>
        <v>#REF!</v>
      </c>
      <c r="I35" s="52">
        <f>SUM(I31:I34)</f>
        <v>249</v>
      </c>
      <c r="J35" s="52">
        <f>SUM(J31:J34)</f>
        <v>97</v>
      </c>
      <c r="K35" s="53">
        <f>J35/I35</f>
        <v>0.38955823293172692</v>
      </c>
      <c r="L35" s="40"/>
      <c r="M35" s="40"/>
      <c r="N35" s="40"/>
    </row>
    <row r="36" spans="1:14" x14ac:dyDescent="0.25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</row>
    <row r="37" spans="1:14" x14ac:dyDescent="0.25">
      <c r="A37" s="302" t="s">
        <v>508</v>
      </c>
      <c r="B37" s="302" t="s">
        <v>18</v>
      </c>
      <c r="C37" s="302" t="s">
        <v>19</v>
      </c>
      <c r="D37" s="285" t="s">
        <v>1153</v>
      </c>
      <c r="E37" s="286"/>
      <c r="F37" s="286"/>
      <c r="G37" s="286"/>
      <c r="H37" s="286"/>
      <c r="I37" s="307" t="s">
        <v>501</v>
      </c>
      <c r="J37" s="307"/>
      <c r="K37" s="307"/>
      <c r="L37" s="307"/>
      <c r="M37" s="307"/>
      <c r="N37" s="40"/>
    </row>
    <row r="38" spans="1:14" x14ac:dyDescent="0.25">
      <c r="A38" s="302"/>
      <c r="B38" s="302"/>
      <c r="C38" s="302"/>
      <c r="D38" s="50" t="s">
        <v>24</v>
      </c>
      <c r="E38" s="50" t="s">
        <v>25</v>
      </c>
      <c r="F38" s="50" t="s">
        <v>26</v>
      </c>
      <c r="G38" s="50" t="s">
        <v>27</v>
      </c>
      <c r="H38" s="51" t="s">
        <v>28</v>
      </c>
      <c r="I38" s="52" t="s">
        <v>24</v>
      </c>
      <c r="J38" s="52" t="s">
        <v>25</v>
      </c>
      <c r="K38" s="52" t="s">
        <v>26</v>
      </c>
      <c r="L38" s="52" t="s">
        <v>27</v>
      </c>
      <c r="M38" s="53" t="s">
        <v>28</v>
      </c>
      <c r="N38" s="40"/>
    </row>
    <row r="39" spans="1:14" x14ac:dyDescent="0.25">
      <c r="A39" s="54">
        <v>75001</v>
      </c>
      <c r="B39" s="54" t="s">
        <v>887</v>
      </c>
      <c r="C39" s="54" t="s">
        <v>890</v>
      </c>
      <c r="D39" s="58">
        <f>'branches '!V35</f>
        <v>690.15049182720315</v>
      </c>
      <c r="E39" s="58">
        <f>'branches '!W35</f>
        <v>321</v>
      </c>
      <c r="F39" s="58" t="e">
        <f>'branches '!#REF!</f>
        <v>#REF!</v>
      </c>
      <c r="G39" s="58" t="e">
        <f>'branches '!#REF!</f>
        <v>#REF!</v>
      </c>
      <c r="H39" s="55">
        <f>'branches '!X35</f>
        <v>0.46511594761040981</v>
      </c>
      <c r="I39" s="58">
        <f>'branches '!Y35</f>
        <v>24.675718124893585</v>
      </c>
      <c r="J39" s="58">
        <f>'branches '!Z35</f>
        <v>3</v>
      </c>
      <c r="K39" s="58" t="e">
        <f>'branches '!#REF!</f>
        <v>#REF!</v>
      </c>
      <c r="L39" s="58" t="e">
        <f>'branches '!#REF!</f>
        <v>#REF!</v>
      </c>
      <c r="M39" s="55">
        <f>'branches '!AA35</f>
        <v>0.12157700881554132</v>
      </c>
      <c r="N39" s="40"/>
    </row>
    <row r="40" spans="1:14" x14ac:dyDescent="0.25">
      <c r="A40" s="54">
        <v>75002</v>
      </c>
      <c r="B40" s="54" t="s">
        <v>887</v>
      </c>
      <c r="C40" s="54" t="s">
        <v>1135</v>
      </c>
      <c r="D40" s="58">
        <f>'branches '!V36</f>
        <v>690.15049182720315</v>
      </c>
      <c r="E40" s="58">
        <f>'branches '!W36</f>
        <v>183</v>
      </c>
      <c r="F40" s="58" t="e">
        <f>'branches '!#REF!</f>
        <v>#REF!</v>
      </c>
      <c r="G40" s="58" t="e">
        <f>'branches '!#REF!</f>
        <v>#REF!</v>
      </c>
      <c r="H40" s="55">
        <f>'branches '!X36</f>
        <v>0.26515955891808413</v>
      </c>
      <c r="I40" s="58">
        <f>'branches '!Y36</f>
        <v>24.675718124893585</v>
      </c>
      <c r="J40" s="58">
        <f>'branches '!Z36</f>
        <v>3</v>
      </c>
      <c r="K40" s="58" t="e">
        <f>'branches '!#REF!</f>
        <v>#REF!</v>
      </c>
      <c r="L40" s="58" t="e">
        <f>'branches '!#REF!</f>
        <v>#REF!</v>
      </c>
      <c r="M40" s="55">
        <f>'branches '!AA36</f>
        <v>0.12157700881554132</v>
      </c>
      <c r="N40" s="40"/>
    </row>
    <row r="41" spans="1:14" x14ac:dyDescent="0.25">
      <c r="A41" s="54">
        <v>75013</v>
      </c>
      <c r="B41" s="54" t="s">
        <v>887</v>
      </c>
      <c r="C41" s="54" t="s">
        <v>942</v>
      </c>
      <c r="D41" s="58">
        <f>'branches '!V37</f>
        <v>590.71954955709487</v>
      </c>
      <c r="E41" s="58">
        <f>'branches '!W37</f>
        <v>386</v>
      </c>
      <c r="F41" s="58" t="e">
        <f>'branches '!#REF!</f>
        <v>#REF!</v>
      </c>
      <c r="G41" s="58" t="e">
        <f>'branches '!#REF!</f>
        <v>#REF!</v>
      </c>
      <c r="H41" s="55">
        <f>'branches '!X37</f>
        <v>0.65344036825835894</v>
      </c>
      <c r="I41" s="58">
        <f>'branches '!Y37</f>
        <v>20.695763588620427</v>
      </c>
      <c r="J41" s="58">
        <f>'branches '!Z37</f>
        <v>7</v>
      </c>
      <c r="K41" s="58" t="e">
        <f>'branches '!#REF!</f>
        <v>#REF!</v>
      </c>
      <c r="L41" s="58" t="e">
        <f>'branches '!#REF!</f>
        <v>#REF!</v>
      </c>
      <c r="M41" s="55">
        <f>'branches '!AA37</f>
        <v>0.33823347324323672</v>
      </c>
      <c r="N41" s="40"/>
    </row>
    <row r="42" spans="1:14" x14ac:dyDescent="0.25">
      <c r="A42" s="54">
        <v>75014</v>
      </c>
      <c r="B42" s="54" t="s">
        <v>887</v>
      </c>
      <c r="C42" s="54" t="s">
        <v>956</v>
      </c>
      <c r="D42" s="58">
        <f>'branches '!V38</f>
        <v>1182.4056251300785</v>
      </c>
      <c r="E42" s="58">
        <f>'branches '!W38</f>
        <v>660</v>
      </c>
      <c r="F42" s="58" t="e">
        <f>'branches '!#REF!</f>
        <v>#REF!</v>
      </c>
      <c r="G42" s="58" t="e">
        <f>'branches '!#REF!</f>
        <v>#REF!</v>
      </c>
      <c r="H42" s="55">
        <f>'branches '!X38</f>
        <v>0.55818408334059832</v>
      </c>
      <c r="I42" s="58">
        <f>'branches '!Y38</f>
        <v>42.18751808449548</v>
      </c>
      <c r="J42" s="58">
        <f>'branches '!Z38</f>
        <v>5</v>
      </c>
      <c r="K42" s="58" t="e">
        <f>'branches '!#REF!</f>
        <v>#REF!</v>
      </c>
      <c r="L42" s="58" t="e">
        <f>'branches '!#REF!</f>
        <v>#REF!</v>
      </c>
      <c r="M42" s="55">
        <f>'branches '!AA38</f>
        <v>0.11851846771326356</v>
      </c>
      <c r="N42" s="40"/>
    </row>
    <row r="43" spans="1:14" x14ac:dyDescent="0.25">
      <c r="A43" s="298" t="s">
        <v>27</v>
      </c>
      <c r="B43" s="299"/>
      <c r="C43" s="300"/>
      <c r="D43" s="73">
        <f>SUM(D39:D42)</f>
        <v>3153.4261583415796</v>
      </c>
      <c r="E43" s="73">
        <f>SUM(E39:E42)</f>
        <v>1550</v>
      </c>
      <c r="F43" s="73" t="e">
        <f>SUM(F39:F42)</f>
        <v>#REF!</v>
      </c>
      <c r="G43" s="73" t="e">
        <f>SUM(G39:G42)</f>
        <v>#REF!</v>
      </c>
      <c r="H43" s="74" t="e">
        <f>G43/D43</f>
        <v>#REF!</v>
      </c>
      <c r="I43" s="52">
        <f>SUM(I39:I42)</f>
        <v>112.23471792290307</v>
      </c>
      <c r="J43" s="52">
        <f>SUM(J39:J42)</f>
        <v>18</v>
      </c>
      <c r="K43" s="52" t="e">
        <f>SUM(K39:K42)</f>
        <v>#REF!</v>
      </c>
      <c r="L43" s="52" t="e">
        <f>SUM(L39:L42)</f>
        <v>#REF!</v>
      </c>
      <c r="M43" s="53" t="e">
        <f>L43/I43</f>
        <v>#REF!</v>
      </c>
      <c r="N43" s="40"/>
    </row>
    <row r="44" spans="1:14" x14ac:dyDescent="0.25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</row>
    <row r="45" spans="1:14" x14ac:dyDescent="0.25">
      <c r="A45" s="302" t="s">
        <v>508</v>
      </c>
      <c r="B45" s="302" t="s">
        <v>18</v>
      </c>
      <c r="C45" s="302" t="s">
        <v>19</v>
      </c>
      <c r="D45" s="285" t="s">
        <v>1152</v>
      </c>
      <c r="E45" s="286"/>
      <c r="F45" s="286"/>
      <c r="G45" s="286"/>
      <c r="H45" s="286"/>
      <c r="I45" s="288" t="s">
        <v>1160</v>
      </c>
      <c r="J45" s="288"/>
      <c r="K45" s="288"/>
      <c r="L45" s="287" t="s">
        <v>1157</v>
      </c>
      <c r="M45" s="287"/>
      <c r="N45" s="287"/>
    </row>
    <row r="46" spans="1:14" x14ac:dyDescent="0.25">
      <c r="A46" s="302"/>
      <c r="B46" s="302"/>
      <c r="C46" s="302"/>
      <c r="D46" s="50" t="s">
        <v>24</v>
      </c>
      <c r="E46" s="50" t="s">
        <v>25</v>
      </c>
      <c r="F46" s="50" t="s">
        <v>26</v>
      </c>
      <c r="G46" s="50" t="s">
        <v>27</v>
      </c>
      <c r="H46" s="51" t="s">
        <v>28</v>
      </c>
      <c r="I46" s="77" t="s">
        <v>24</v>
      </c>
      <c r="J46" s="77" t="s">
        <v>29</v>
      </c>
      <c r="K46" s="78" t="s">
        <v>28</v>
      </c>
      <c r="L46" s="73" t="s">
        <v>24</v>
      </c>
      <c r="M46" s="50" t="s">
        <v>29</v>
      </c>
      <c r="N46" s="51" t="s">
        <v>28</v>
      </c>
    </row>
    <row r="47" spans="1:14" x14ac:dyDescent="0.25">
      <c r="A47" s="54">
        <v>75001</v>
      </c>
      <c r="B47" s="54" t="s">
        <v>887</v>
      </c>
      <c r="C47" s="54" t="s">
        <v>890</v>
      </c>
      <c r="D47" s="58">
        <f>'branches '!AB35</f>
        <v>44.7177794770015</v>
      </c>
      <c r="E47" s="58">
        <f>'branches '!AC35</f>
        <v>39</v>
      </c>
      <c r="F47" s="58" t="e">
        <f>'branches '!#REF!</f>
        <v>#REF!</v>
      </c>
      <c r="G47" s="58" t="e">
        <f>'branches '!#REF!</f>
        <v>#REF!</v>
      </c>
      <c r="H47" s="55">
        <f>'branches '!AD35</f>
        <v>0.87213632823735865</v>
      </c>
      <c r="I47" s="58" t="e">
        <f>'branches '!#REF!</f>
        <v>#REF!</v>
      </c>
      <c r="J47" s="58" t="e">
        <f>'branches '!#REF!</f>
        <v>#REF!</v>
      </c>
      <c r="K47" s="55" t="e">
        <f>'branches '!#REF!</f>
        <v>#REF!</v>
      </c>
      <c r="L47" s="58" t="e">
        <f>'branches '!#REF!</f>
        <v>#REF!</v>
      </c>
      <c r="M47" s="58" t="e">
        <f>'branches '!#REF!</f>
        <v>#REF!</v>
      </c>
      <c r="N47" s="55" t="e">
        <f>'branches '!#REF!</f>
        <v>#REF!</v>
      </c>
    </row>
    <row r="48" spans="1:14" x14ac:dyDescent="0.25">
      <c r="A48" s="54">
        <v>75002</v>
      </c>
      <c r="B48" s="54" t="s">
        <v>887</v>
      </c>
      <c r="C48" s="54" t="s">
        <v>1135</v>
      </c>
      <c r="D48" s="58">
        <f>'branches '!AB36</f>
        <v>28.128925800049331</v>
      </c>
      <c r="E48" s="58">
        <f>'branches '!AC36</f>
        <v>8</v>
      </c>
      <c r="F48" s="58" t="e">
        <f>'branches '!#REF!</f>
        <v>#REF!</v>
      </c>
      <c r="G48" s="58" t="e">
        <f>'branches '!#REF!</f>
        <v>#REF!</v>
      </c>
      <c r="H48" s="55">
        <f>'branches '!AD36</f>
        <v>0.28440474609186711</v>
      </c>
      <c r="I48" s="58" t="e">
        <f>'branches '!#REF!</f>
        <v>#REF!</v>
      </c>
      <c r="J48" s="58" t="e">
        <f>'branches '!#REF!</f>
        <v>#REF!</v>
      </c>
      <c r="K48" s="55" t="e">
        <f>'branches '!#REF!</f>
        <v>#REF!</v>
      </c>
      <c r="L48" s="58" t="e">
        <f>'branches '!#REF!</f>
        <v>#REF!</v>
      </c>
      <c r="M48" s="58" t="e">
        <f>'branches '!#REF!</f>
        <v>#REF!</v>
      </c>
      <c r="N48" s="55" t="e">
        <f>'branches '!#REF!</f>
        <v>#REF!</v>
      </c>
    </row>
    <row r="49" spans="1:14" x14ac:dyDescent="0.25">
      <c r="A49" s="54">
        <v>75013</v>
      </c>
      <c r="B49" s="54" t="s">
        <v>887</v>
      </c>
      <c r="C49" s="54" t="s">
        <v>942</v>
      </c>
      <c r="D49" s="58">
        <f>'branches '!AB37</f>
        <v>24.522653261581468</v>
      </c>
      <c r="E49" s="58">
        <f>'branches '!AC37</f>
        <v>3</v>
      </c>
      <c r="F49" s="58" t="e">
        <f>'branches '!#REF!</f>
        <v>#REF!</v>
      </c>
      <c r="G49" s="58" t="e">
        <f>'branches '!#REF!</f>
        <v>#REF!</v>
      </c>
      <c r="H49" s="55">
        <f>'branches '!AD37</f>
        <v>0.12233586504686932</v>
      </c>
      <c r="I49" s="58" t="e">
        <f>'branches '!#REF!</f>
        <v>#REF!</v>
      </c>
      <c r="J49" s="58" t="e">
        <f>'branches '!#REF!</f>
        <v>#REF!</v>
      </c>
      <c r="K49" s="55" t="e">
        <f>'branches '!#REF!</f>
        <v>#REF!</v>
      </c>
      <c r="L49" s="58" t="e">
        <f>'branches '!#REF!</f>
        <v>#REF!</v>
      </c>
      <c r="M49" s="58" t="e">
        <f>'branches '!#REF!</f>
        <v>#REF!</v>
      </c>
      <c r="N49" s="55" t="e">
        <f>'branches '!#REF!</f>
        <v>#REF!</v>
      </c>
    </row>
    <row r="50" spans="1:14" x14ac:dyDescent="0.25">
      <c r="A50" s="54">
        <v>75014</v>
      </c>
      <c r="B50" s="54" t="s">
        <v>887</v>
      </c>
      <c r="C50" s="54" t="s">
        <v>956</v>
      </c>
      <c r="D50" s="58">
        <f>'branches '!AB38</f>
        <v>44.7177794770015</v>
      </c>
      <c r="E50" s="58">
        <f>'branches '!AC38</f>
        <v>23</v>
      </c>
      <c r="F50" s="58" t="e">
        <f>'branches '!#REF!</f>
        <v>#REF!</v>
      </c>
      <c r="G50" s="58" t="e">
        <f>'branches '!#REF!</f>
        <v>#REF!</v>
      </c>
      <c r="H50" s="55">
        <f>'branches '!AD38</f>
        <v>0.51433680896049361</v>
      </c>
      <c r="I50" s="58" t="e">
        <f>'branches '!#REF!</f>
        <v>#REF!</v>
      </c>
      <c r="J50" s="58" t="e">
        <f>'branches '!#REF!</f>
        <v>#REF!</v>
      </c>
      <c r="K50" s="55" t="e">
        <f>'branches '!#REF!</f>
        <v>#REF!</v>
      </c>
      <c r="L50" s="58" t="e">
        <f>'branches '!#REF!</f>
        <v>#REF!</v>
      </c>
      <c r="M50" s="58" t="e">
        <f>'branches '!#REF!</f>
        <v>#REF!</v>
      </c>
      <c r="N50" s="55" t="e">
        <f>'branches '!#REF!</f>
        <v>#REF!</v>
      </c>
    </row>
    <row r="51" spans="1:14" x14ac:dyDescent="0.25">
      <c r="A51" s="298" t="s">
        <v>27</v>
      </c>
      <c r="B51" s="299"/>
      <c r="C51" s="300"/>
      <c r="D51" s="73">
        <f>SUM(D47:D50)</f>
        <v>142.0871380156338</v>
      </c>
      <c r="E51" s="73">
        <f>SUM(E47:E50)</f>
        <v>73</v>
      </c>
      <c r="F51" s="73" t="e">
        <f>SUM(F47:F50)</f>
        <v>#REF!</v>
      </c>
      <c r="G51" s="73" t="e">
        <f>SUM(G47:G50)</f>
        <v>#REF!</v>
      </c>
      <c r="H51" s="51" t="e">
        <f>G51/D51</f>
        <v>#REF!</v>
      </c>
      <c r="I51" s="52" t="e">
        <f>SUM(I47:I50)</f>
        <v>#REF!</v>
      </c>
      <c r="J51" s="52" t="e">
        <f>SUM(J47:J50)</f>
        <v>#REF!</v>
      </c>
      <c r="K51" s="53" t="e">
        <f>J51/I51</f>
        <v>#REF!</v>
      </c>
      <c r="L51" s="73" t="e">
        <f>SUM(L47:L50)</f>
        <v>#REF!</v>
      </c>
      <c r="M51" s="73" t="e">
        <f>SUM(M47:M50)</f>
        <v>#REF!</v>
      </c>
      <c r="N51" s="51" t="e">
        <f>M51/L51</f>
        <v>#REF!</v>
      </c>
    </row>
    <row r="52" spans="1:14" x14ac:dyDescent="0.25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</row>
    <row r="53" spans="1:14" x14ac:dyDescent="0.25">
      <c r="A53" s="302" t="s">
        <v>508</v>
      </c>
      <c r="B53" s="302" t="s">
        <v>18</v>
      </c>
      <c r="C53" s="302" t="s">
        <v>19</v>
      </c>
      <c r="D53" s="287" t="s">
        <v>1142</v>
      </c>
      <c r="E53" s="287"/>
      <c r="F53" s="287"/>
      <c r="G53" s="288" t="s">
        <v>1158</v>
      </c>
      <c r="H53" s="288"/>
      <c r="I53" s="288"/>
      <c r="J53" s="287" t="s">
        <v>1159</v>
      </c>
      <c r="K53" s="287"/>
      <c r="L53" s="287"/>
      <c r="M53" s="40"/>
      <c r="N53" s="40"/>
    </row>
    <row r="54" spans="1:14" x14ac:dyDescent="0.25">
      <c r="A54" s="302"/>
      <c r="B54" s="302"/>
      <c r="C54" s="302"/>
      <c r="D54" s="50" t="s">
        <v>24</v>
      </c>
      <c r="E54" s="50" t="s">
        <v>29</v>
      </c>
      <c r="F54" s="76" t="s">
        <v>28</v>
      </c>
      <c r="G54" s="77" t="s">
        <v>24</v>
      </c>
      <c r="H54" s="77" t="s">
        <v>29</v>
      </c>
      <c r="I54" s="78" t="s">
        <v>28</v>
      </c>
      <c r="J54" s="73" t="s">
        <v>24</v>
      </c>
      <c r="K54" s="50" t="s">
        <v>29</v>
      </c>
      <c r="L54" s="51" t="s">
        <v>28</v>
      </c>
      <c r="M54" s="40"/>
      <c r="N54" s="40"/>
    </row>
    <row r="55" spans="1:14" x14ac:dyDescent="0.25">
      <c r="A55" s="54">
        <v>75001</v>
      </c>
      <c r="B55" s="54" t="s">
        <v>887</v>
      </c>
      <c r="C55" s="54" t="s">
        <v>890</v>
      </c>
      <c r="D55" s="58" t="e">
        <f>'branches '!#REF!</f>
        <v>#REF!</v>
      </c>
      <c r="E55" s="58" t="e">
        <f>'branches '!#REF!</f>
        <v>#REF!</v>
      </c>
      <c r="F55" s="55" t="e">
        <f>'branches '!#REF!</f>
        <v>#REF!</v>
      </c>
      <c r="G55" s="58" t="e">
        <f>'branches '!#REF!</f>
        <v>#REF!</v>
      </c>
      <c r="H55" s="58" t="e">
        <f>'branches '!#REF!</f>
        <v>#REF!</v>
      </c>
      <c r="I55" s="55" t="e">
        <f>'branches '!#REF!</f>
        <v>#REF!</v>
      </c>
      <c r="J55" s="58" t="e">
        <f>'branches '!#REF!</f>
        <v>#REF!</v>
      </c>
      <c r="K55" s="58" t="e">
        <f>'branches '!#REF!</f>
        <v>#REF!</v>
      </c>
      <c r="L55" s="55" t="e">
        <f>'branches '!#REF!</f>
        <v>#REF!</v>
      </c>
      <c r="M55" s="40"/>
      <c r="N55" s="40"/>
    </row>
    <row r="56" spans="1:14" x14ac:dyDescent="0.25">
      <c r="A56" s="54">
        <v>75002</v>
      </c>
      <c r="B56" s="54" t="s">
        <v>887</v>
      </c>
      <c r="C56" s="54" t="s">
        <v>1135</v>
      </c>
      <c r="D56" s="58" t="e">
        <f>'branches '!#REF!</f>
        <v>#REF!</v>
      </c>
      <c r="E56" s="58" t="e">
        <f>'branches '!#REF!</f>
        <v>#REF!</v>
      </c>
      <c r="F56" s="55" t="e">
        <f>'branches '!#REF!</f>
        <v>#REF!</v>
      </c>
      <c r="G56" s="58" t="e">
        <f>'branches '!#REF!</f>
        <v>#REF!</v>
      </c>
      <c r="H56" s="58" t="e">
        <f>'branches '!#REF!</f>
        <v>#REF!</v>
      </c>
      <c r="I56" s="55" t="e">
        <f>'branches '!#REF!</f>
        <v>#REF!</v>
      </c>
      <c r="J56" s="58" t="e">
        <f>'branches '!#REF!</f>
        <v>#REF!</v>
      </c>
      <c r="K56" s="58" t="e">
        <f>'branches '!#REF!</f>
        <v>#REF!</v>
      </c>
      <c r="L56" s="55" t="e">
        <f>'branches '!#REF!</f>
        <v>#REF!</v>
      </c>
      <c r="M56" s="40"/>
      <c r="N56" s="40"/>
    </row>
    <row r="57" spans="1:14" x14ac:dyDescent="0.25">
      <c r="A57" s="54">
        <v>75013</v>
      </c>
      <c r="B57" s="54" t="s">
        <v>887</v>
      </c>
      <c r="C57" s="54" t="s">
        <v>942</v>
      </c>
      <c r="D57" s="58" t="e">
        <f>'branches '!#REF!</f>
        <v>#REF!</v>
      </c>
      <c r="E57" s="58" t="e">
        <f>'branches '!#REF!</f>
        <v>#REF!</v>
      </c>
      <c r="F57" s="55" t="e">
        <f>'branches '!#REF!</f>
        <v>#REF!</v>
      </c>
      <c r="G57" s="58" t="e">
        <f>'branches '!#REF!</f>
        <v>#REF!</v>
      </c>
      <c r="H57" s="58" t="e">
        <f>'branches '!#REF!</f>
        <v>#REF!</v>
      </c>
      <c r="I57" s="55" t="e">
        <f>'branches '!#REF!</f>
        <v>#REF!</v>
      </c>
      <c r="J57" s="58" t="e">
        <f>'branches '!#REF!</f>
        <v>#REF!</v>
      </c>
      <c r="K57" s="58" t="e">
        <f>'branches '!#REF!</f>
        <v>#REF!</v>
      </c>
      <c r="L57" s="55" t="e">
        <f>'branches '!#REF!</f>
        <v>#REF!</v>
      </c>
      <c r="M57" s="40"/>
      <c r="N57" s="40"/>
    </row>
    <row r="58" spans="1:14" x14ac:dyDescent="0.25">
      <c r="A58" s="54">
        <v>75014</v>
      </c>
      <c r="B58" s="54" t="s">
        <v>887</v>
      </c>
      <c r="C58" s="54" t="s">
        <v>956</v>
      </c>
      <c r="D58" s="58" t="e">
        <f>'branches '!#REF!</f>
        <v>#REF!</v>
      </c>
      <c r="E58" s="58" t="e">
        <f>'branches '!#REF!</f>
        <v>#REF!</v>
      </c>
      <c r="F58" s="55" t="e">
        <f>'branches '!#REF!</f>
        <v>#REF!</v>
      </c>
      <c r="G58" s="58" t="e">
        <f>'branches '!#REF!</f>
        <v>#REF!</v>
      </c>
      <c r="H58" s="58" t="e">
        <f>'branches '!#REF!</f>
        <v>#REF!</v>
      </c>
      <c r="I58" s="55" t="e">
        <f>'branches '!#REF!</f>
        <v>#REF!</v>
      </c>
      <c r="J58" s="58" t="e">
        <f>'branches '!#REF!</f>
        <v>#REF!</v>
      </c>
      <c r="K58" s="58" t="e">
        <f>'branches '!#REF!</f>
        <v>#REF!</v>
      </c>
      <c r="L58" s="55" t="e">
        <f>'branches '!#REF!</f>
        <v>#REF!</v>
      </c>
      <c r="M58" s="40"/>
      <c r="N58" s="40"/>
    </row>
    <row r="59" spans="1:14" x14ac:dyDescent="0.25">
      <c r="A59" s="298" t="s">
        <v>27</v>
      </c>
      <c r="B59" s="299"/>
      <c r="C59" s="300"/>
      <c r="D59" s="73" t="e">
        <f>SUM(D55:D58)</f>
        <v>#REF!</v>
      </c>
      <c r="E59" s="73" t="e">
        <f>SUM(E55:E58)</f>
        <v>#REF!</v>
      </c>
      <c r="F59" s="51" t="e">
        <f>E59/D59</f>
        <v>#REF!</v>
      </c>
      <c r="G59" s="52" t="e">
        <f>SUM(G55:G58)</f>
        <v>#REF!</v>
      </c>
      <c r="H59" s="52" t="e">
        <f>SUM(H55:H58)</f>
        <v>#REF!</v>
      </c>
      <c r="I59" s="53" t="e">
        <f>H59/G59</f>
        <v>#REF!</v>
      </c>
      <c r="J59" s="73" t="e">
        <f>SUM(J55:J58)</f>
        <v>#REF!</v>
      </c>
      <c r="K59" s="73" t="e">
        <f>SUM(K55:K58)</f>
        <v>#REF!</v>
      </c>
      <c r="L59" s="51" t="e">
        <f>K59/J59</f>
        <v>#REF!</v>
      </c>
      <c r="M59" s="40"/>
      <c r="N59" s="40"/>
    </row>
    <row r="60" spans="1:14" x14ac:dyDescent="0.25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</row>
    <row r="61" spans="1:14" ht="21.75" x14ac:dyDescent="0.25">
      <c r="A61" s="291" t="s">
        <v>1134</v>
      </c>
      <c r="B61" s="291"/>
      <c r="C61" s="291"/>
      <c r="D61" s="291"/>
      <c r="E61" s="291"/>
      <c r="F61" s="291"/>
      <c r="G61" s="291"/>
      <c r="H61" s="291"/>
      <c r="I61" s="291"/>
      <c r="J61" s="291"/>
      <c r="K61" s="291"/>
      <c r="L61" s="291"/>
      <c r="M61" s="291"/>
      <c r="N61" s="291"/>
    </row>
  </sheetData>
  <mergeCells count="50">
    <mergeCell ref="A1:A3"/>
    <mergeCell ref="B1:N3"/>
    <mergeCell ref="A5:A6"/>
    <mergeCell ref="B5:B6"/>
    <mergeCell ref="C5:C6"/>
    <mergeCell ref="D5:H5"/>
    <mergeCell ref="I5:M5"/>
    <mergeCell ref="N5:N6"/>
    <mergeCell ref="A11:C11"/>
    <mergeCell ref="A13:A14"/>
    <mergeCell ref="B13:B14"/>
    <mergeCell ref="C13:C14"/>
    <mergeCell ref="D13:F13"/>
    <mergeCell ref="J13:L13"/>
    <mergeCell ref="A19:C19"/>
    <mergeCell ref="A21:A22"/>
    <mergeCell ref="B21:B22"/>
    <mergeCell ref="C21:C22"/>
    <mergeCell ref="D21:F21"/>
    <mergeCell ref="G21:I21"/>
    <mergeCell ref="J21:L21"/>
    <mergeCell ref="G13:I13"/>
    <mergeCell ref="I37:M37"/>
    <mergeCell ref="A27:C27"/>
    <mergeCell ref="A29:A30"/>
    <mergeCell ref="B29:B30"/>
    <mergeCell ref="C29:C30"/>
    <mergeCell ref="D29:H29"/>
    <mergeCell ref="I29:K29"/>
    <mergeCell ref="A35:C35"/>
    <mergeCell ref="A37:A38"/>
    <mergeCell ref="B37:B38"/>
    <mergeCell ref="C37:C38"/>
    <mergeCell ref="D37:H37"/>
    <mergeCell ref="A43:C43"/>
    <mergeCell ref="A45:A46"/>
    <mergeCell ref="B45:B46"/>
    <mergeCell ref="C45:C46"/>
    <mergeCell ref="D45:H45"/>
    <mergeCell ref="A59:C59"/>
    <mergeCell ref="A61:N61"/>
    <mergeCell ref="I45:K45"/>
    <mergeCell ref="L45:N45"/>
    <mergeCell ref="A53:A54"/>
    <mergeCell ref="B53:B54"/>
    <mergeCell ref="C53:C54"/>
    <mergeCell ref="D53:F53"/>
    <mergeCell ref="G53:I53"/>
    <mergeCell ref="J53:L53"/>
    <mergeCell ref="A51:C51"/>
  </mergeCells>
  <conditionalFormatting sqref="H7:H10 M7:M10 F15:F18 I15:I18 L15:L18 F23:F26 I23:I26 L23:L26 H31:H34 K31:K34 H39:H42 M39:M42 H47:H50 K47:K50 N47:N50 F55:F58 I55:I58 L55:L58">
    <cfRule type="cellIs" dxfId="110" priority="40" operator="lessThan">
      <formula>0.7</formula>
    </cfRule>
    <cfRule type="cellIs" dxfId="109" priority="41" operator="between">
      <formula>0.7</formula>
      <formula>0.89</formula>
    </cfRule>
    <cfRule type="cellIs" dxfId="108" priority="42" operator="greaterThan">
      <formula>0.89</formula>
    </cfRule>
  </conditionalFormatting>
  <pageMargins left="0.7" right="0.7" top="0.75" bottom="0.75" header="0.3" footer="0.3"/>
  <ignoredErrors>
    <ignoredError sqref="F19 I19 H35:K35 H43 H11:M11 F59 I59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0C77-DDAE-4C2A-BF5E-EF3175C3C1E9}">
  <dimension ref="A1:N61"/>
  <sheetViews>
    <sheetView showGridLines="0" topLeftCell="A25" workbookViewId="0">
      <selection activeCell="A61" sqref="A1:N61"/>
    </sheetView>
  </sheetViews>
  <sheetFormatPr defaultRowHeight="15" x14ac:dyDescent="0.25"/>
  <cols>
    <col min="1" max="1" width="6" bestFit="1" customWidth="1"/>
    <col min="2" max="2" width="6.42578125" bestFit="1" customWidth="1"/>
    <col min="3" max="3" width="20.140625" bestFit="1" customWidth="1"/>
    <col min="4" max="4" width="10.42578125" bestFit="1" customWidth="1"/>
    <col min="5" max="5" width="12.5703125" bestFit="1" customWidth="1"/>
    <col min="6" max="6" width="12.140625" bestFit="1" customWidth="1"/>
    <col min="7" max="7" width="10.42578125" bestFit="1" customWidth="1"/>
    <col min="8" max="8" width="6.42578125" bestFit="1" customWidth="1"/>
    <col min="9" max="9" width="10.42578125" bestFit="1" customWidth="1"/>
    <col min="10" max="10" width="12.5703125" bestFit="1" customWidth="1"/>
    <col min="11" max="11" width="12.140625" bestFit="1" customWidth="1"/>
    <col min="13" max="13" width="7.85546875" customWidth="1"/>
    <col min="14" max="14" width="10.42578125" bestFit="1" customWidth="1"/>
  </cols>
  <sheetData>
    <row r="1" spans="1:14" x14ac:dyDescent="0.25">
      <c r="A1" s="301"/>
      <c r="B1" s="290" t="s">
        <v>1086</v>
      </c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</row>
    <row r="2" spans="1:14" x14ac:dyDescent="0.25">
      <c r="A2" s="301"/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</row>
    <row r="3" spans="1:14" x14ac:dyDescent="0.25">
      <c r="A3" s="301"/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</row>
    <row r="4" spans="1:14" x14ac:dyDescent="0.25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</row>
    <row r="5" spans="1:14" x14ac:dyDescent="0.25">
      <c r="A5" s="302" t="s">
        <v>508</v>
      </c>
      <c r="B5" s="302" t="s">
        <v>18</v>
      </c>
      <c r="C5" s="302" t="s">
        <v>19</v>
      </c>
      <c r="D5" s="296" t="s">
        <v>1156</v>
      </c>
      <c r="E5" s="296"/>
      <c r="F5" s="296"/>
      <c r="G5" s="296"/>
      <c r="H5" s="296"/>
      <c r="I5" s="288" t="s">
        <v>1155</v>
      </c>
      <c r="J5" s="288"/>
      <c r="K5" s="288"/>
      <c r="L5" s="288"/>
      <c r="M5" s="288"/>
      <c r="N5" s="289" t="s">
        <v>1164</v>
      </c>
    </row>
    <row r="6" spans="1:14" x14ac:dyDescent="0.25">
      <c r="A6" s="302"/>
      <c r="B6" s="302"/>
      <c r="C6" s="302"/>
      <c r="D6" s="73" t="s">
        <v>24</v>
      </c>
      <c r="E6" s="50" t="s">
        <v>25</v>
      </c>
      <c r="F6" s="50" t="s">
        <v>26</v>
      </c>
      <c r="G6" s="50" t="s">
        <v>27</v>
      </c>
      <c r="H6" s="51" t="s">
        <v>28</v>
      </c>
      <c r="I6" s="52" t="s">
        <v>24</v>
      </c>
      <c r="J6" s="52" t="s">
        <v>25</v>
      </c>
      <c r="K6" s="52" t="s">
        <v>26</v>
      </c>
      <c r="L6" s="52" t="s">
        <v>27</v>
      </c>
      <c r="M6" s="53" t="s">
        <v>28</v>
      </c>
      <c r="N6" s="289"/>
    </row>
    <row r="7" spans="1:14" x14ac:dyDescent="0.25">
      <c r="A7" s="54">
        <v>75003</v>
      </c>
      <c r="B7" s="54" t="s">
        <v>1086</v>
      </c>
      <c r="C7" s="54" t="s">
        <v>1087</v>
      </c>
      <c r="D7" s="58">
        <f>'branches '!D43</f>
        <v>360108.55160806503</v>
      </c>
      <c r="E7" s="58">
        <f>'branches '!E43</f>
        <v>201096.80000000002</v>
      </c>
      <c r="F7" s="58" t="e">
        <f>'branches '!#REF!</f>
        <v>#REF!</v>
      </c>
      <c r="G7" s="58" t="e">
        <f>'branches '!#REF!</f>
        <v>#REF!</v>
      </c>
      <c r="H7" s="55">
        <f>'branches '!F43</f>
        <v>0.55843383641405375</v>
      </c>
      <c r="I7" s="58">
        <f>'branches '!G43</f>
        <v>53142.120358948639</v>
      </c>
      <c r="J7" s="58">
        <f>'branches '!H43</f>
        <v>9648.6299999999992</v>
      </c>
      <c r="K7" s="58" t="e">
        <f>'branches '!#REF!</f>
        <v>#REF!</v>
      </c>
      <c r="L7" s="58" t="e">
        <f>'branches '!#REF!</f>
        <v>#REF!</v>
      </c>
      <c r="M7" s="55">
        <f>'branches '!I43</f>
        <v>0.18156275916031001</v>
      </c>
      <c r="N7" s="58" t="e">
        <f>L7+G7+K23</f>
        <v>#REF!</v>
      </c>
    </row>
    <row r="8" spans="1:14" x14ac:dyDescent="0.25">
      <c r="A8" s="54">
        <v>75004</v>
      </c>
      <c r="B8" s="54" t="s">
        <v>1086</v>
      </c>
      <c r="C8" s="54" t="s">
        <v>1100</v>
      </c>
      <c r="D8" s="58">
        <f>'branches '!D44</f>
        <v>1180355.8080486574</v>
      </c>
      <c r="E8" s="58">
        <f>'branches '!E44</f>
        <v>1455058.15</v>
      </c>
      <c r="F8" s="58" t="e">
        <f>'branches '!#REF!</f>
        <v>#REF!</v>
      </c>
      <c r="G8" s="58" t="e">
        <f>'branches '!#REF!</f>
        <v>#REF!</v>
      </c>
      <c r="H8" s="55">
        <f>'branches '!F44</f>
        <v>1.2327284197512236</v>
      </c>
      <c r="I8" s="58">
        <f>'branches '!G44</f>
        <v>125392.97915767781</v>
      </c>
      <c r="J8" s="58">
        <f>'branches '!H44</f>
        <v>64011.260000000009</v>
      </c>
      <c r="K8" s="58" t="e">
        <f>'branches '!#REF!</f>
        <v>#REF!</v>
      </c>
      <c r="L8" s="58" t="e">
        <f>'branches '!#REF!</f>
        <v>#REF!</v>
      </c>
      <c r="M8" s="55">
        <f>'branches '!I44</f>
        <v>0.51048519964987693</v>
      </c>
      <c r="N8" s="58" t="e">
        <f>L8+G8+K24</f>
        <v>#REF!</v>
      </c>
    </row>
    <row r="9" spans="1:14" x14ac:dyDescent="0.25">
      <c r="A9" s="54">
        <v>75005</v>
      </c>
      <c r="B9" s="54" t="s">
        <v>1086</v>
      </c>
      <c r="C9" s="54" t="s">
        <v>1119</v>
      </c>
      <c r="D9" s="58">
        <f>'branches '!D45</f>
        <v>460138.70483252755</v>
      </c>
      <c r="E9" s="58">
        <f>'branches '!E45</f>
        <v>369338.42</v>
      </c>
      <c r="F9" s="58" t="e">
        <f>'branches '!#REF!</f>
        <v>#REF!</v>
      </c>
      <c r="G9" s="58" t="e">
        <f>'branches '!#REF!</f>
        <v>#REF!</v>
      </c>
      <c r="H9" s="55">
        <f>'branches '!F45</f>
        <v>0.8026675785390075</v>
      </c>
      <c r="I9" s="58">
        <f>'branches '!G45</f>
        <v>56379.505110513608</v>
      </c>
      <c r="J9" s="58">
        <f>'branches '!H45</f>
        <v>3702.61</v>
      </c>
      <c r="K9" s="58" t="e">
        <f>'branches '!#REF!</f>
        <v>#REF!</v>
      </c>
      <c r="L9" s="58" t="e">
        <f>'branches '!#REF!</f>
        <v>#REF!</v>
      </c>
      <c r="M9" s="55">
        <f>'branches '!I45</f>
        <v>6.5672978021751746E-2</v>
      </c>
      <c r="N9" s="58" t="e">
        <f>L9+G9+K25</f>
        <v>#REF!</v>
      </c>
    </row>
    <row r="10" spans="1:14" x14ac:dyDescent="0.25">
      <c r="A10" s="54">
        <v>75025</v>
      </c>
      <c r="B10" s="54" t="s">
        <v>1086</v>
      </c>
      <c r="C10" s="54" t="s">
        <v>1129</v>
      </c>
      <c r="D10" s="58" t="e">
        <f>'branches '!#REF!</f>
        <v>#REF!</v>
      </c>
      <c r="E10" s="58" t="e">
        <f>'branches '!#REF!</f>
        <v>#REF!</v>
      </c>
      <c r="F10" s="58" t="e">
        <f>'branches '!#REF!</f>
        <v>#REF!</v>
      </c>
      <c r="G10" s="58" t="e">
        <f>'branches '!#REF!</f>
        <v>#REF!</v>
      </c>
      <c r="H10" s="55" t="e">
        <f>'branches '!#REF!</f>
        <v>#REF!</v>
      </c>
      <c r="I10" s="58" t="e">
        <f>'branches '!#REF!</f>
        <v>#REF!</v>
      </c>
      <c r="J10" s="58" t="e">
        <f>'branches '!#REF!</f>
        <v>#REF!</v>
      </c>
      <c r="K10" s="58" t="e">
        <f>'branches '!#REF!</f>
        <v>#REF!</v>
      </c>
      <c r="L10" s="58" t="e">
        <f>'branches '!#REF!</f>
        <v>#REF!</v>
      </c>
      <c r="M10" s="55" t="e">
        <f>'branches '!#REF!</f>
        <v>#REF!</v>
      </c>
      <c r="N10" s="58" t="e">
        <f>L10+G10+K26</f>
        <v>#REF!</v>
      </c>
    </row>
    <row r="11" spans="1:14" x14ac:dyDescent="0.25">
      <c r="A11" s="298" t="s">
        <v>27</v>
      </c>
      <c r="B11" s="299"/>
      <c r="C11" s="300"/>
      <c r="D11" s="73" t="e">
        <f>SUM(D7:D10)</f>
        <v>#REF!</v>
      </c>
      <c r="E11" s="73" t="e">
        <f>SUM(E7:E10)</f>
        <v>#REF!</v>
      </c>
      <c r="F11" s="73" t="e">
        <f>SUM(F7:F10)</f>
        <v>#REF!</v>
      </c>
      <c r="G11" s="73" t="e">
        <f>SUM(G7:G10)</f>
        <v>#REF!</v>
      </c>
      <c r="H11" s="74" t="e">
        <f>G11/D11</f>
        <v>#REF!</v>
      </c>
      <c r="I11" s="52" t="e">
        <f>SUM(I7:I10)</f>
        <v>#REF!</v>
      </c>
      <c r="J11" s="52" t="e">
        <f>SUM(J7:J10)</f>
        <v>#REF!</v>
      </c>
      <c r="K11" s="52" t="e">
        <f>SUM(K7:K10)</f>
        <v>#REF!</v>
      </c>
      <c r="L11" s="52" t="e">
        <f>SUM(L7:L10)</f>
        <v>#REF!</v>
      </c>
      <c r="M11" s="53" t="e">
        <f>L11/I11</f>
        <v>#REF!</v>
      </c>
      <c r="N11" s="73" t="e">
        <f>SUM(N7:N10)</f>
        <v>#REF!</v>
      </c>
    </row>
    <row r="12" spans="1:14" x14ac:dyDescent="0.25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</row>
    <row r="13" spans="1:14" x14ac:dyDescent="0.25">
      <c r="A13" s="302" t="s">
        <v>508</v>
      </c>
      <c r="B13" s="302" t="s">
        <v>18</v>
      </c>
      <c r="C13" s="302" t="s">
        <v>19</v>
      </c>
      <c r="D13" s="296" t="s">
        <v>496</v>
      </c>
      <c r="E13" s="296"/>
      <c r="F13" s="296"/>
      <c r="G13" s="288" t="s">
        <v>522</v>
      </c>
      <c r="H13" s="288"/>
      <c r="I13" s="288"/>
      <c r="J13" s="296" t="s">
        <v>507</v>
      </c>
      <c r="K13" s="296"/>
      <c r="L13" s="296"/>
      <c r="M13" s="40"/>
      <c r="N13" s="40"/>
    </row>
    <row r="14" spans="1:14" x14ac:dyDescent="0.25">
      <c r="A14" s="302"/>
      <c r="B14" s="302"/>
      <c r="C14" s="302"/>
      <c r="D14" s="73" t="s">
        <v>24</v>
      </c>
      <c r="E14" s="73" t="s">
        <v>29</v>
      </c>
      <c r="F14" s="73" t="s">
        <v>28</v>
      </c>
      <c r="G14" s="52" t="s">
        <v>24</v>
      </c>
      <c r="H14" s="52" t="s">
        <v>29</v>
      </c>
      <c r="I14" s="53" t="s">
        <v>28</v>
      </c>
      <c r="J14" s="73" t="s">
        <v>24</v>
      </c>
      <c r="K14" s="73" t="s">
        <v>29</v>
      </c>
      <c r="L14" s="73" t="s">
        <v>28</v>
      </c>
      <c r="M14" s="40"/>
      <c r="N14" s="40"/>
    </row>
    <row r="15" spans="1:14" x14ac:dyDescent="0.25">
      <c r="A15" s="54">
        <v>75003</v>
      </c>
      <c r="B15" s="54" t="s">
        <v>1086</v>
      </c>
      <c r="C15" s="54" t="s">
        <v>1087</v>
      </c>
      <c r="D15" s="58">
        <f>'branches '!M43</f>
        <v>4625.3261184368166</v>
      </c>
      <c r="E15" s="58">
        <f>'branches '!N43</f>
        <v>478</v>
      </c>
      <c r="F15" s="55">
        <f>'branches '!O43</f>
        <v>0.10334406434492574</v>
      </c>
      <c r="G15" s="58" t="e">
        <f>'branches '!#REF!</f>
        <v>#REF!</v>
      </c>
      <c r="H15" s="58" t="e">
        <f>'branches '!#REF!</f>
        <v>#REF!</v>
      </c>
      <c r="I15" s="55" t="e">
        <f>'branches '!#REF!</f>
        <v>#REF!</v>
      </c>
      <c r="J15" s="58">
        <f>'branches '!AK43</f>
        <v>10.539208630032032</v>
      </c>
      <c r="K15" s="58">
        <f>'branches '!AL43</f>
        <v>0</v>
      </c>
      <c r="L15" s="55">
        <f>'branches '!AM43</f>
        <v>0</v>
      </c>
      <c r="M15" s="40"/>
      <c r="N15" s="40"/>
    </row>
    <row r="16" spans="1:14" x14ac:dyDescent="0.25">
      <c r="A16" s="54">
        <v>75004</v>
      </c>
      <c r="B16" s="54" t="s">
        <v>1086</v>
      </c>
      <c r="C16" s="54" t="s">
        <v>1100</v>
      </c>
      <c r="D16" s="58">
        <f>'branches '!M44</f>
        <v>10658.360185963102</v>
      </c>
      <c r="E16" s="58">
        <f>'branches '!N44</f>
        <v>0</v>
      </c>
      <c r="F16" s="55">
        <f>'branches '!O44</f>
        <v>0</v>
      </c>
      <c r="G16" s="58" t="e">
        <f>'branches '!#REF!</f>
        <v>#REF!</v>
      </c>
      <c r="H16" s="58" t="e">
        <f>'branches '!#REF!</f>
        <v>#REF!</v>
      </c>
      <c r="I16" s="55" t="e">
        <f>'branches '!#REF!</f>
        <v>#REF!</v>
      </c>
      <c r="J16" s="58">
        <f>'branches '!AK44</f>
        <v>34.545183842882764</v>
      </c>
      <c r="K16" s="58">
        <f>'branches '!AL44</f>
        <v>0</v>
      </c>
      <c r="L16" s="55">
        <f>'branches '!AM44</f>
        <v>0</v>
      </c>
      <c r="M16" s="40"/>
      <c r="N16" s="40"/>
    </row>
    <row r="17" spans="1:14" x14ac:dyDescent="0.25">
      <c r="A17" s="54">
        <v>75005</v>
      </c>
      <c r="B17" s="54" t="s">
        <v>1086</v>
      </c>
      <c r="C17" s="54" t="s">
        <v>1119</v>
      </c>
      <c r="D17" s="58">
        <f>'branches '!M45</f>
        <v>4826.4272540210259</v>
      </c>
      <c r="E17" s="58">
        <f>'branches '!N45</f>
        <v>80</v>
      </c>
      <c r="F17" s="55">
        <f>'branches '!O45</f>
        <v>1.6575407809855593E-2</v>
      </c>
      <c r="G17" s="58" t="e">
        <f>'branches '!#REF!</f>
        <v>#REF!</v>
      </c>
      <c r="H17" s="58" t="e">
        <f>'branches '!#REF!</f>
        <v>#REF!</v>
      </c>
      <c r="I17" s="55" t="e">
        <f>'branches '!#REF!</f>
        <v>#REF!</v>
      </c>
      <c r="J17" s="58">
        <f>'branches '!AK45</f>
        <v>13.466766582818709</v>
      </c>
      <c r="K17" s="58">
        <f>'branches '!AL45</f>
        <v>0</v>
      </c>
      <c r="L17" s="55">
        <f>'branches '!AM45</f>
        <v>0</v>
      </c>
      <c r="M17" s="40"/>
      <c r="N17" s="40"/>
    </row>
    <row r="18" spans="1:14" x14ac:dyDescent="0.25">
      <c r="A18" s="54">
        <v>75025</v>
      </c>
      <c r="B18" s="54" t="s">
        <v>1086</v>
      </c>
      <c r="C18" s="54" t="s">
        <v>1129</v>
      </c>
      <c r="D18" s="58" t="e">
        <f>'branches '!#REF!</f>
        <v>#REF!</v>
      </c>
      <c r="E18" s="58" t="e">
        <f>'branches '!#REF!</f>
        <v>#REF!</v>
      </c>
      <c r="F18" s="55" t="e">
        <f>'branches '!#REF!</f>
        <v>#REF!</v>
      </c>
      <c r="G18" s="58" t="e">
        <f>'branches '!#REF!</f>
        <v>#REF!</v>
      </c>
      <c r="H18" s="58" t="e">
        <f>'branches '!#REF!</f>
        <v>#REF!</v>
      </c>
      <c r="I18" s="55" t="e">
        <f>'branches '!#REF!</f>
        <v>#REF!</v>
      </c>
      <c r="J18" s="58" t="e">
        <f>'branches '!#REF!</f>
        <v>#REF!</v>
      </c>
      <c r="K18" s="58" t="e">
        <f>'branches '!#REF!</f>
        <v>#REF!</v>
      </c>
      <c r="L18" s="55" t="e">
        <f>'branches '!#REF!</f>
        <v>#REF!</v>
      </c>
      <c r="M18" s="40"/>
      <c r="N18" s="40"/>
    </row>
    <row r="19" spans="1:14" x14ac:dyDescent="0.25">
      <c r="A19" s="298" t="s">
        <v>27</v>
      </c>
      <c r="B19" s="299"/>
      <c r="C19" s="300"/>
      <c r="D19" s="73" t="e">
        <f>SUM(D15:D18)</f>
        <v>#REF!</v>
      </c>
      <c r="E19" s="73" t="e">
        <f>SUM(E15:E18)</f>
        <v>#REF!</v>
      </c>
      <c r="F19" s="74" t="e">
        <f>E19/D19</f>
        <v>#REF!</v>
      </c>
      <c r="G19" s="52" t="e">
        <f>SUM(G15:G18)</f>
        <v>#REF!</v>
      </c>
      <c r="H19" s="52" t="e">
        <f>SUM(H15:H18)</f>
        <v>#REF!</v>
      </c>
      <c r="I19" s="53" t="e">
        <f>H19/G19</f>
        <v>#REF!</v>
      </c>
      <c r="J19" s="73" t="e">
        <f>SUM(J15:J18)</f>
        <v>#REF!</v>
      </c>
      <c r="K19" s="73" t="e">
        <f>SUM(K15:K18)</f>
        <v>#REF!</v>
      </c>
      <c r="L19" s="74" t="e">
        <f>K19/J19</f>
        <v>#REF!</v>
      </c>
      <c r="M19" s="40"/>
      <c r="N19" s="40"/>
    </row>
    <row r="20" spans="1:14" x14ac:dyDescent="0.25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</row>
    <row r="21" spans="1:14" x14ac:dyDescent="0.25">
      <c r="A21" s="302" t="s">
        <v>508</v>
      </c>
      <c r="B21" s="302" t="s">
        <v>18</v>
      </c>
      <c r="C21" s="302" t="s">
        <v>19</v>
      </c>
      <c r="D21" s="287" t="s">
        <v>1154</v>
      </c>
      <c r="E21" s="287"/>
      <c r="F21" s="287"/>
      <c r="G21" s="297" t="s">
        <v>466</v>
      </c>
      <c r="H21" s="297"/>
      <c r="I21" s="297"/>
      <c r="J21" s="287" t="s">
        <v>523</v>
      </c>
      <c r="K21" s="287"/>
      <c r="L21" s="287"/>
      <c r="M21" s="40"/>
      <c r="N21" s="40"/>
    </row>
    <row r="22" spans="1:14" x14ac:dyDescent="0.25">
      <c r="A22" s="302"/>
      <c r="B22" s="302"/>
      <c r="C22" s="302"/>
      <c r="D22" s="73" t="s">
        <v>24</v>
      </c>
      <c r="E22" s="50" t="s">
        <v>29</v>
      </c>
      <c r="F22" s="51" t="s">
        <v>28</v>
      </c>
      <c r="G22" s="52" t="s">
        <v>24</v>
      </c>
      <c r="H22" s="52" t="s">
        <v>29</v>
      </c>
      <c r="I22" s="53" t="s">
        <v>28</v>
      </c>
      <c r="J22" s="50" t="s">
        <v>24</v>
      </c>
      <c r="K22" s="50" t="s">
        <v>29</v>
      </c>
      <c r="L22" s="51" t="s">
        <v>28</v>
      </c>
      <c r="M22" s="40"/>
      <c r="N22" s="40"/>
    </row>
    <row r="23" spans="1:14" x14ac:dyDescent="0.25">
      <c r="A23" s="54">
        <v>75003</v>
      </c>
      <c r="B23" s="54" t="s">
        <v>1086</v>
      </c>
      <c r="C23" s="54" t="s">
        <v>1087</v>
      </c>
      <c r="D23" s="58">
        <f>'branches '!P43</f>
        <v>60</v>
      </c>
      <c r="E23" s="58">
        <f>'branches '!Q43</f>
        <v>21</v>
      </c>
      <c r="F23" s="55">
        <f>'branches '!R43</f>
        <v>0.35</v>
      </c>
      <c r="G23" s="58">
        <f>'branches '!S43</f>
        <v>11.086516921542293</v>
      </c>
      <c r="H23" s="58">
        <f>'branches '!T43</f>
        <v>2</v>
      </c>
      <c r="I23" s="55">
        <f>'branches '!U43</f>
        <v>0.18039930973395127</v>
      </c>
      <c r="J23" s="58" t="e">
        <f>'branches '!#REF!</f>
        <v>#REF!</v>
      </c>
      <c r="K23" s="58" t="e">
        <f>'branches '!#REF!</f>
        <v>#REF!</v>
      </c>
      <c r="L23" s="55" t="e">
        <f>'branches '!#REF!</f>
        <v>#REF!</v>
      </c>
      <c r="M23" s="40"/>
      <c r="N23" s="40"/>
    </row>
    <row r="24" spans="1:14" x14ac:dyDescent="0.25">
      <c r="A24" s="54">
        <v>75004</v>
      </c>
      <c r="B24" s="54" t="s">
        <v>1086</v>
      </c>
      <c r="C24" s="54" t="s">
        <v>1100</v>
      </c>
      <c r="D24" s="58">
        <f>'branches '!P44</f>
        <v>185</v>
      </c>
      <c r="E24" s="58">
        <f>'branches '!Q44</f>
        <v>56</v>
      </c>
      <c r="F24" s="55">
        <f>'branches '!R44</f>
        <v>0.30270270270270272</v>
      </c>
      <c r="G24" s="58">
        <f>'branches '!S44</f>
        <v>25.547191167032238</v>
      </c>
      <c r="H24" s="58">
        <f>'branches '!T44</f>
        <v>10</v>
      </c>
      <c r="I24" s="55">
        <f>'branches '!U44</f>
        <v>0.39143246451706409</v>
      </c>
      <c r="J24" s="58" t="e">
        <f>'branches '!#REF!</f>
        <v>#REF!</v>
      </c>
      <c r="K24" s="58" t="e">
        <f>'branches '!#REF!</f>
        <v>#REF!</v>
      </c>
      <c r="L24" s="55" t="e">
        <f>'branches '!#REF!</f>
        <v>#REF!</v>
      </c>
      <c r="M24" s="40"/>
      <c r="N24" s="40"/>
    </row>
    <row r="25" spans="1:14" x14ac:dyDescent="0.25">
      <c r="A25" s="54">
        <v>75005</v>
      </c>
      <c r="B25" s="54" t="s">
        <v>1086</v>
      </c>
      <c r="C25" s="54" t="s">
        <v>1119</v>
      </c>
      <c r="D25" s="58">
        <f>'branches '!P45</f>
        <v>67</v>
      </c>
      <c r="E25" s="58">
        <f>'branches '!Q45</f>
        <v>15</v>
      </c>
      <c r="F25" s="55">
        <f>'branches '!R45</f>
        <v>0.22388059701492538</v>
      </c>
      <c r="G25" s="58">
        <f>'branches '!S45</f>
        <v>11.568539396391955</v>
      </c>
      <c r="H25" s="58">
        <f>'branches '!T45</f>
        <v>3</v>
      </c>
      <c r="I25" s="55">
        <f>'branches '!U45</f>
        <v>0.25932400774255498</v>
      </c>
      <c r="J25" s="58" t="e">
        <f>'branches '!#REF!</f>
        <v>#REF!</v>
      </c>
      <c r="K25" s="58" t="e">
        <f>'branches '!#REF!</f>
        <v>#REF!</v>
      </c>
      <c r="L25" s="55" t="e">
        <f>'branches '!#REF!</f>
        <v>#REF!</v>
      </c>
      <c r="M25" s="40"/>
      <c r="N25" s="40"/>
    </row>
    <row r="26" spans="1:14" x14ac:dyDescent="0.25">
      <c r="A26" s="54">
        <v>75025</v>
      </c>
      <c r="B26" s="54" t="s">
        <v>1086</v>
      </c>
      <c r="C26" s="54" t="s">
        <v>1129</v>
      </c>
      <c r="D26" s="58" t="e">
        <f>'branches '!#REF!</f>
        <v>#REF!</v>
      </c>
      <c r="E26" s="58" t="e">
        <f>'branches '!#REF!</f>
        <v>#REF!</v>
      </c>
      <c r="F26" s="55" t="e">
        <f>'branches '!#REF!</f>
        <v>#REF!</v>
      </c>
      <c r="G26" s="58" t="e">
        <f>'branches '!#REF!</f>
        <v>#REF!</v>
      </c>
      <c r="H26" s="58" t="e">
        <f>'branches '!#REF!</f>
        <v>#REF!</v>
      </c>
      <c r="I26" s="55" t="e">
        <f>'branches '!#REF!</f>
        <v>#REF!</v>
      </c>
      <c r="J26" s="58" t="e">
        <f>'branches '!#REF!</f>
        <v>#REF!</v>
      </c>
      <c r="K26" s="58" t="e">
        <f>'branches '!#REF!</f>
        <v>#REF!</v>
      </c>
      <c r="L26" s="55" t="e">
        <f>'branches '!#REF!</f>
        <v>#REF!</v>
      </c>
      <c r="M26" s="40"/>
      <c r="N26" s="40"/>
    </row>
    <row r="27" spans="1:14" x14ac:dyDescent="0.25">
      <c r="A27" s="298" t="s">
        <v>27</v>
      </c>
      <c r="B27" s="299"/>
      <c r="C27" s="300"/>
      <c r="D27" s="73" t="e">
        <f>SUM(D23:D26)</f>
        <v>#REF!</v>
      </c>
      <c r="E27" s="73" t="e">
        <f>SUM(E23:E26)</f>
        <v>#REF!</v>
      </c>
      <c r="F27" s="74" t="e">
        <f>E27/D27</f>
        <v>#REF!</v>
      </c>
      <c r="G27" s="52" t="e">
        <f>SUM(G23:G26)</f>
        <v>#REF!</v>
      </c>
      <c r="H27" s="52" t="e">
        <f>SUM(H23:H26)</f>
        <v>#REF!</v>
      </c>
      <c r="I27" s="53" t="e">
        <f>H27/G27</f>
        <v>#REF!</v>
      </c>
      <c r="J27" s="73" t="e">
        <f>SUM(J23:J26)</f>
        <v>#REF!</v>
      </c>
      <c r="K27" s="73" t="e">
        <f>SUM(K23:K26)</f>
        <v>#REF!</v>
      </c>
      <c r="L27" s="74" t="e">
        <f>K27/J27</f>
        <v>#REF!</v>
      </c>
      <c r="M27" s="40"/>
      <c r="N27" s="40"/>
    </row>
    <row r="28" spans="1:14" x14ac:dyDescent="0.25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</row>
    <row r="29" spans="1:14" x14ac:dyDescent="0.25">
      <c r="A29" s="302" t="s">
        <v>508</v>
      </c>
      <c r="B29" s="302" t="s">
        <v>18</v>
      </c>
      <c r="C29" s="302" t="s">
        <v>19</v>
      </c>
      <c r="D29" s="287" t="s">
        <v>1151</v>
      </c>
      <c r="E29" s="287"/>
      <c r="F29" s="287"/>
      <c r="G29" s="287"/>
      <c r="H29" s="287"/>
      <c r="I29" s="297" t="s">
        <v>1150</v>
      </c>
      <c r="J29" s="297"/>
      <c r="K29" s="297"/>
      <c r="L29" s="40"/>
      <c r="M29" s="40"/>
      <c r="N29" s="40"/>
    </row>
    <row r="30" spans="1:14" x14ac:dyDescent="0.25">
      <c r="A30" s="302"/>
      <c r="B30" s="302"/>
      <c r="C30" s="302"/>
      <c r="D30" s="50" t="s">
        <v>24</v>
      </c>
      <c r="E30" s="50" t="s">
        <v>25</v>
      </c>
      <c r="F30" s="50" t="s">
        <v>26</v>
      </c>
      <c r="G30" s="50" t="s">
        <v>27</v>
      </c>
      <c r="H30" s="51" t="s">
        <v>28</v>
      </c>
      <c r="I30" s="52" t="s">
        <v>24</v>
      </c>
      <c r="J30" s="52" t="s">
        <v>29</v>
      </c>
      <c r="K30" s="53" t="s">
        <v>28</v>
      </c>
      <c r="L30" s="40"/>
      <c r="M30" s="40"/>
      <c r="N30" s="40"/>
    </row>
    <row r="31" spans="1:14" x14ac:dyDescent="0.25">
      <c r="A31" s="54">
        <v>75003</v>
      </c>
      <c r="B31" s="54" t="s">
        <v>1086</v>
      </c>
      <c r="C31" s="54" t="s">
        <v>1087</v>
      </c>
      <c r="D31" s="58">
        <f>'branches '!AE43</f>
        <v>31.363705459518425</v>
      </c>
      <c r="E31" s="58">
        <f>'branches '!AF43</f>
        <v>25</v>
      </c>
      <c r="F31" s="58" t="e">
        <f>'branches '!#REF!</f>
        <v>#REF!</v>
      </c>
      <c r="G31" s="58" t="e">
        <f>'branches '!#REF!</f>
        <v>#REF!</v>
      </c>
      <c r="H31" s="55">
        <f>'branches '!AG43</f>
        <v>0.79709969321921648</v>
      </c>
      <c r="I31" s="58">
        <f>'branches '!AH43</f>
        <v>10</v>
      </c>
      <c r="J31" s="58">
        <f>'branches '!AI43</f>
        <v>0</v>
      </c>
      <c r="K31" s="55">
        <f>'branches '!AJ43</f>
        <v>0</v>
      </c>
      <c r="L31" s="40"/>
      <c r="M31" s="40"/>
      <c r="N31" s="40"/>
    </row>
    <row r="32" spans="1:14" x14ac:dyDescent="0.25">
      <c r="A32" s="54">
        <v>75004</v>
      </c>
      <c r="B32" s="54" t="s">
        <v>1086</v>
      </c>
      <c r="C32" s="54" t="s">
        <v>1100</v>
      </c>
      <c r="D32" s="58">
        <f>'branches '!AE44</f>
        <v>108.74923251857443</v>
      </c>
      <c r="E32" s="58">
        <f>'branches '!AF44</f>
        <v>41</v>
      </c>
      <c r="F32" s="58" t="e">
        <f>'branches '!#REF!</f>
        <v>#REF!</v>
      </c>
      <c r="G32" s="58" t="e">
        <f>'branches '!#REF!</f>
        <v>#REF!</v>
      </c>
      <c r="H32" s="55">
        <f>'branches '!AG44</f>
        <v>0.37701415495504464</v>
      </c>
      <c r="I32" s="58">
        <f>'branches '!AH44</f>
        <v>35.819023176737133</v>
      </c>
      <c r="J32" s="58">
        <f>'branches '!AI44</f>
        <v>18</v>
      </c>
      <c r="K32" s="55">
        <f>'branches '!AJ44</f>
        <v>0.50252626687179458</v>
      </c>
      <c r="L32" s="40"/>
      <c r="M32" s="40"/>
      <c r="N32" s="40"/>
    </row>
    <row r="33" spans="1:14" x14ac:dyDescent="0.25">
      <c r="A33" s="54">
        <v>75005</v>
      </c>
      <c r="B33" s="54" t="s">
        <v>1086</v>
      </c>
      <c r="C33" s="54" t="s">
        <v>1119</v>
      </c>
      <c r="D33" s="58">
        <f>'branches '!AE45</f>
        <v>26.883176108158651</v>
      </c>
      <c r="E33" s="58">
        <f>'branches '!AF45</f>
        <v>23</v>
      </c>
      <c r="F33" s="58" t="e">
        <f>'branches '!#REF!</f>
        <v>#REF!</v>
      </c>
      <c r="G33" s="58" t="e">
        <f>'branches '!#REF!</f>
        <v>#REF!</v>
      </c>
      <c r="H33" s="55">
        <f>'branches '!AG45</f>
        <v>0.85555367072195898</v>
      </c>
      <c r="I33" s="58">
        <f>'branches '!AH45</f>
        <v>16.219935023428135</v>
      </c>
      <c r="J33" s="58">
        <f>'branches '!AI45</f>
        <v>5</v>
      </c>
      <c r="K33" s="55">
        <f>'branches '!AJ45</f>
        <v>0.30826264055792957</v>
      </c>
      <c r="L33" s="40"/>
      <c r="M33" s="40"/>
      <c r="N33" s="40"/>
    </row>
    <row r="34" spans="1:14" x14ac:dyDescent="0.25">
      <c r="A34" s="54">
        <v>75025</v>
      </c>
      <c r="B34" s="54" t="s">
        <v>1086</v>
      </c>
      <c r="C34" s="54" t="s">
        <v>1129</v>
      </c>
      <c r="D34" s="58" t="e">
        <f>'branches '!#REF!</f>
        <v>#REF!</v>
      </c>
      <c r="E34" s="58" t="e">
        <f>'branches '!#REF!</f>
        <v>#REF!</v>
      </c>
      <c r="F34" s="58" t="e">
        <f>'branches '!#REF!</f>
        <v>#REF!</v>
      </c>
      <c r="G34" s="58" t="e">
        <f>'branches '!#REF!</f>
        <v>#REF!</v>
      </c>
      <c r="H34" s="55" t="e">
        <f>'branches '!#REF!</f>
        <v>#REF!</v>
      </c>
      <c r="I34" s="58" t="e">
        <f>'branches '!#REF!</f>
        <v>#REF!</v>
      </c>
      <c r="J34" s="58" t="e">
        <f>'branches '!#REF!</f>
        <v>#REF!</v>
      </c>
      <c r="K34" s="58" t="s">
        <v>1165</v>
      </c>
      <c r="L34" s="40"/>
      <c r="M34" s="40"/>
      <c r="N34" s="40"/>
    </row>
    <row r="35" spans="1:14" x14ac:dyDescent="0.25">
      <c r="A35" s="298" t="s">
        <v>27</v>
      </c>
      <c r="B35" s="299"/>
      <c r="C35" s="300"/>
      <c r="D35" s="73" t="e">
        <f>SUM(D31:D34)</f>
        <v>#REF!</v>
      </c>
      <c r="E35" s="73" t="e">
        <f>SUM(E31:E34)</f>
        <v>#REF!</v>
      </c>
      <c r="F35" s="73" t="e">
        <f>SUM(F31:F34)</f>
        <v>#REF!</v>
      </c>
      <c r="G35" s="73" t="e">
        <f>SUM(G31:G34)</f>
        <v>#REF!</v>
      </c>
      <c r="H35" s="74" t="e">
        <f>G35/D35</f>
        <v>#REF!</v>
      </c>
      <c r="I35" s="52" t="e">
        <f>SUM(I31:I34)</f>
        <v>#REF!</v>
      </c>
      <c r="J35" s="52" t="e">
        <f>SUM(J31:J34)</f>
        <v>#REF!</v>
      </c>
      <c r="K35" s="53" t="e">
        <f>J35/I35</f>
        <v>#REF!</v>
      </c>
      <c r="L35" s="40"/>
      <c r="M35" s="40"/>
      <c r="N35" s="40"/>
    </row>
    <row r="36" spans="1:14" x14ac:dyDescent="0.25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</row>
    <row r="37" spans="1:14" x14ac:dyDescent="0.25">
      <c r="A37" s="302" t="s">
        <v>508</v>
      </c>
      <c r="B37" s="302" t="s">
        <v>18</v>
      </c>
      <c r="C37" s="302" t="s">
        <v>19</v>
      </c>
      <c r="D37" s="285" t="s">
        <v>1153</v>
      </c>
      <c r="E37" s="286"/>
      <c r="F37" s="286"/>
      <c r="G37" s="286"/>
      <c r="H37" s="286"/>
      <c r="I37" s="307" t="s">
        <v>501</v>
      </c>
      <c r="J37" s="307"/>
      <c r="K37" s="307"/>
      <c r="L37" s="307"/>
      <c r="M37" s="307"/>
      <c r="N37" s="40"/>
    </row>
    <row r="38" spans="1:14" x14ac:dyDescent="0.25">
      <c r="A38" s="302"/>
      <c r="B38" s="302"/>
      <c r="C38" s="302"/>
      <c r="D38" s="50" t="s">
        <v>24</v>
      </c>
      <c r="E38" s="50" t="s">
        <v>25</v>
      </c>
      <c r="F38" s="50" t="s">
        <v>26</v>
      </c>
      <c r="G38" s="50" t="s">
        <v>27</v>
      </c>
      <c r="H38" s="51" t="s">
        <v>28</v>
      </c>
      <c r="I38" s="52" t="s">
        <v>24</v>
      </c>
      <c r="J38" s="52" t="s">
        <v>25</v>
      </c>
      <c r="K38" s="52" t="s">
        <v>26</v>
      </c>
      <c r="L38" s="52" t="s">
        <v>27</v>
      </c>
      <c r="M38" s="53" t="s">
        <v>28</v>
      </c>
      <c r="N38" s="40"/>
    </row>
    <row r="39" spans="1:14" x14ac:dyDescent="0.25">
      <c r="A39" s="54">
        <v>75003</v>
      </c>
      <c r="B39" s="54" t="s">
        <v>1086</v>
      </c>
      <c r="C39" s="54" t="s">
        <v>1087</v>
      </c>
      <c r="D39" s="58">
        <f>'branches '!V43</f>
        <v>381.05731012691655</v>
      </c>
      <c r="E39" s="58">
        <f>'branches '!W43</f>
        <v>99</v>
      </c>
      <c r="F39" s="58" t="e">
        <f>'branches '!#REF!</f>
        <v>#REF!</v>
      </c>
      <c r="G39" s="58" t="e">
        <f>'branches '!#REF!</f>
        <v>#REF!</v>
      </c>
      <c r="H39" s="55">
        <f>'branches '!X43</f>
        <v>0.25980343997869149</v>
      </c>
      <c r="I39" s="58">
        <f>'branches '!Y43</f>
        <v>13.859980364671637</v>
      </c>
      <c r="J39" s="58">
        <f>'branches '!Z43</f>
        <v>5</v>
      </c>
      <c r="K39" s="58" t="e">
        <f>'branches '!#REF!</f>
        <v>#REF!</v>
      </c>
      <c r="L39" s="58" t="e">
        <f>'branches '!#REF!</f>
        <v>#REF!</v>
      </c>
      <c r="M39" s="55">
        <f>'branches '!AA43</f>
        <v>0.36075087182264254</v>
      </c>
      <c r="N39" s="40"/>
    </row>
    <row r="40" spans="1:14" x14ac:dyDescent="0.25">
      <c r="A40" s="54">
        <v>75004</v>
      </c>
      <c r="B40" s="54" t="s">
        <v>1086</v>
      </c>
      <c r="C40" s="54" t="s">
        <v>1100</v>
      </c>
      <c r="D40" s="58">
        <f>'branches '!V44</f>
        <v>860.17988855332953</v>
      </c>
      <c r="E40" s="58">
        <f>'branches '!W44</f>
        <v>585</v>
      </c>
      <c r="F40" s="58" t="e">
        <f>'branches '!#REF!</f>
        <v>#REF!</v>
      </c>
      <c r="G40" s="58" t="e">
        <f>'branches '!#REF!</f>
        <v>#REF!</v>
      </c>
      <c r="H40" s="55">
        <f>'branches '!X44</f>
        <v>0.68009030179009011</v>
      </c>
      <c r="I40" s="58">
        <f>'branches '!Y44</f>
        <v>31.938215622938987</v>
      </c>
      <c r="J40" s="58">
        <f>'branches '!Z44</f>
        <v>13</v>
      </c>
      <c r="K40" s="58" t="e">
        <f>'branches '!#REF!</f>
        <v>#REF!</v>
      </c>
      <c r="L40" s="58" t="e">
        <f>'branches '!#REF!</f>
        <v>#REF!</v>
      </c>
      <c r="M40" s="55">
        <f>'branches '!AA44</f>
        <v>0.4070358893395099</v>
      </c>
      <c r="N40" s="40"/>
    </row>
    <row r="41" spans="1:14" x14ac:dyDescent="0.25">
      <c r="A41" s="54">
        <v>75005</v>
      </c>
      <c r="B41" s="54" t="s">
        <v>1086</v>
      </c>
      <c r="C41" s="54" t="s">
        <v>1119</v>
      </c>
      <c r="D41" s="58">
        <f>'branches '!V45</f>
        <v>355.83806274113033</v>
      </c>
      <c r="E41" s="58">
        <f>'branches '!W45</f>
        <v>214</v>
      </c>
      <c r="F41" s="58" t="e">
        <f>'branches '!#REF!</f>
        <v>#REF!</v>
      </c>
      <c r="G41" s="58" t="e">
        <f>'branches '!#REF!</f>
        <v>#REF!</v>
      </c>
      <c r="H41" s="55">
        <f>'branches '!X45</f>
        <v>0.60139715900961244</v>
      </c>
      <c r="I41" s="58">
        <f>'branches '!Y45</f>
        <v>14.462588206613882</v>
      </c>
      <c r="J41" s="58">
        <f>'branches '!Z45</f>
        <v>5</v>
      </c>
      <c r="K41" s="58" t="e">
        <f>'branches '!#REF!</f>
        <v>#REF!</v>
      </c>
      <c r="L41" s="58" t="e">
        <f>'branches '!#REF!</f>
        <v>#REF!</v>
      </c>
      <c r="M41" s="55">
        <f>'branches '!AA45</f>
        <v>0.34571958549669912</v>
      </c>
      <c r="N41" s="40"/>
    </row>
    <row r="42" spans="1:14" x14ac:dyDescent="0.25">
      <c r="A42" s="54">
        <v>75025</v>
      </c>
      <c r="B42" s="54" t="s">
        <v>1086</v>
      </c>
      <c r="C42" s="54" t="s">
        <v>1129</v>
      </c>
      <c r="D42" s="58" t="e">
        <f>'branches '!#REF!</f>
        <v>#REF!</v>
      </c>
      <c r="E42" s="58" t="e">
        <f>'branches '!#REF!</f>
        <v>#REF!</v>
      </c>
      <c r="F42" s="58" t="e">
        <f>'branches '!#REF!</f>
        <v>#REF!</v>
      </c>
      <c r="G42" s="58" t="e">
        <f>'branches '!#REF!</f>
        <v>#REF!</v>
      </c>
      <c r="H42" s="55" t="e">
        <f>'branches '!#REF!</f>
        <v>#REF!</v>
      </c>
      <c r="I42" s="58" t="e">
        <f>'branches '!#REF!</f>
        <v>#REF!</v>
      </c>
      <c r="J42" s="58" t="e">
        <f>'branches '!#REF!</f>
        <v>#REF!</v>
      </c>
      <c r="K42" s="58" t="e">
        <f>'branches '!#REF!</f>
        <v>#REF!</v>
      </c>
      <c r="L42" s="58" t="e">
        <f>'branches '!#REF!</f>
        <v>#REF!</v>
      </c>
      <c r="M42" s="55" t="e">
        <f>'branches '!#REF!</f>
        <v>#REF!</v>
      </c>
      <c r="N42" s="40"/>
    </row>
    <row r="43" spans="1:14" x14ac:dyDescent="0.25">
      <c r="A43" s="298" t="s">
        <v>27</v>
      </c>
      <c r="B43" s="299"/>
      <c r="C43" s="300"/>
      <c r="D43" s="73" t="e">
        <f>SUM(D39:D42)</f>
        <v>#REF!</v>
      </c>
      <c r="E43" s="73" t="e">
        <f>SUM(E39:E42)</f>
        <v>#REF!</v>
      </c>
      <c r="F43" s="73" t="e">
        <f>SUM(F39:F42)</f>
        <v>#REF!</v>
      </c>
      <c r="G43" s="73" t="e">
        <f>SUM(G39:G42)</f>
        <v>#REF!</v>
      </c>
      <c r="H43" s="74" t="e">
        <f>G43/D43</f>
        <v>#REF!</v>
      </c>
      <c r="I43" s="52" t="e">
        <f>SUM(I39:I42)</f>
        <v>#REF!</v>
      </c>
      <c r="J43" s="52" t="e">
        <f>SUM(J39:J42)</f>
        <v>#REF!</v>
      </c>
      <c r="K43" s="52" t="e">
        <f>SUM(K39:K42)</f>
        <v>#REF!</v>
      </c>
      <c r="L43" s="52" t="e">
        <f>SUM(L39:L42)</f>
        <v>#REF!</v>
      </c>
      <c r="M43" s="53" t="e">
        <f>L43/I43</f>
        <v>#REF!</v>
      </c>
      <c r="N43" s="40"/>
    </row>
    <row r="44" spans="1:14" x14ac:dyDescent="0.25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</row>
    <row r="45" spans="1:14" x14ac:dyDescent="0.25">
      <c r="A45" s="302" t="s">
        <v>508</v>
      </c>
      <c r="B45" s="302" t="s">
        <v>18</v>
      </c>
      <c r="C45" s="302" t="s">
        <v>19</v>
      </c>
      <c r="D45" s="285" t="s">
        <v>1152</v>
      </c>
      <c r="E45" s="286"/>
      <c r="F45" s="286"/>
      <c r="G45" s="286"/>
      <c r="H45" s="286"/>
      <c r="I45" s="288" t="s">
        <v>1160</v>
      </c>
      <c r="J45" s="288"/>
      <c r="K45" s="288"/>
      <c r="L45" s="287" t="s">
        <v>1157</v>
      </c>
      <c r="M45" s="287"/>
      <c r="N45" s="287"/>
    </row>
    <row r="46" spans="1:14" x14ac:dyDescent="0.25">
      <c r="A46" s="302"/>
      <c r="B46" s="302"/>
      <c r="C46" s="302"/>
      <c r="D46" s="50" t="s">
        <v>24</v>
      </c>
      <c r="E46" s="50" t="s">
        <v>25</v>
      </c>
      <c r="F46" s="50" t="s">
        <v>26</v>
      </c>
      <c r="G46" s="50" t="s">
        <v>27</v>
      </c>
      <c r="H46" s="51" t="s">
        <v>28</v>
      </c>
      <c r="I46" s="77" t="s">
        <v>24</v>
      </c>
      <c r="J46" s="77" t="s">
        <v>29</v>
      </c>
      <c r="K46" s="78" t="s">
        <v>28</v>
      </c>
      <c r="L46" s="73" t="s">
        <v>24</v>
      </c>
      <c r="M46" s="50" t="s">
        <v>29</v>
      </c>
      <c r="N46" s="51" t="s">
        <v>28</v>
      </c>
    </row>
    <row r="47" spans="1:14" x14ac:dyDescent="0.25">
      <c r="A47" s="54">
        <v>75003</v>
      </c>
      <c r="B47" s="54" t="s">
        <v>1086</v>
      </c>
      <c r="C47" s="54" t="s">
        <v>1087</v>
      </c>
      <c r="D47" s="58">
        <f>'branches '!AB43</f>
        <v>18.767785176376805</v>
      </c>
      <c r="E47" s="58">
        <f>'branches '!AC43</f>
        <v>8</v>
      </c>
      <c r="F47" s="58" t="e">
        <f>'branches '!#REF!</f>
        <v>#REF!</v>
      </c>
      <c r="G47" s="58" t="e">
        <f>'branches '!#REF!</f>
        <v>#REF!</v>
      </c>
      <c r="H47" s="55">
        <f>'branches '!AD43</f>
        <v>0.42626233861999224</v>
      </c>
      <c r="I47" s="58" t="e">
        <f>'branches '!#REF!</f>
        <v>#REF!</v>
      </c>
      <c r="J47" s="58" t="e">
        <f>'branches '!#REF!</f>
        <v>#REF!</v>
      </c>
      <c r="K47" s="55" t="e">
        <f>'branches '!#REF!</f>
        <v>#REF!</v>
      </c>
      <c r="L47" s="58" t="e">
        <f>'branches '!#REF!</f>
        <v>#REF!</v>
      </c>
      <c r="M47" s="58" t="e">
        <f>'branches '!#REF!</f>
        <v>#REF!</v>
      </c>
      <c r="N47" s="55" t="e">
        <f>'branches '!#REF!</f>
        <v>#REF!</v>
      </c>
    </row>
    <row r="48" spans="1:14" x14ac:dyDescent="0.25">
      <c r="A48" s="54">
        <v>75004</v>
      </c>
      <c r="B48" s="54" t="s">
        <v>1086</v>
      </c>
      <c r="C48" s="54" t="s">
        <v>1100</v>
      </c>
      <c r="D48" s="58">
        <f>'branches '!AB44</f>
        <v>43.247504971650898</v>
      </c>
      <c r="E48" s="58">
        <f>'branches '!AC44</f>
        <v>19</v>
      </c>
      <c r="F48" s="58" t="e">
        <f>'branches '!#REF!</f>
        <v>#REF!</v>
      </c>
      <c r="G48" s="58" t="e">
        <f>'branches '!#REF!</f>
        <v>#REF!</v>
      </c>
      <c r="H48" s="55">
        <f>'branches '!AD44</f>
        <v>0.43933170277579386</v>
      </c>
      <c r="I48" s="58" t="e">
        <f>'branches '!#REF!</f>
        <v>#REF!</v>
      </c>
      <c r="J48" s="58" t="e">
        <f>'branches '!#REF!</f>
        <v>#REF!</v>
      </c>
      <c r="K48" s="55" t="e">
        <f>'branches '!#REF!</f>
        <v>#REF!</v>
      </c>
      <c r="L48" s="58" t="e">
        <f>'branches '!#REF!</f>
        <v>#REF!</v>
      </c>
      <c r="M48" s="58" t="e">
        <f>'branches '!#REF!</f>
        <v>#REF!</v>
      </c>
      <c r="N48" s="55" t="e">
        <f>'branches '!#REF!</f>
        <v>#REF!</v>
      </c>
    </row>
    <row r="49" spans="1:14" x14ac:dyDescent="0.25">
      <c r="A49" s="54">
        <v>75005</v>
      </c>
      <c r="B49" s="54" t="s">
        <v>1086</v>
      </c>
      <c r="C49" s="54" t="s">
        <v>1119</v>
      </c>
      <c r="D49" s="58">
        <f>'branches '!AB45</f>
        <v>19.583775836219274</v>
      </c>
      <c r="E49" s="58">
        <f>'branches '!AC45</f>
        <v>7</v>
      </c>
      <c r="F49" s="58" t="e">
        <f>'branches '!#REF!</f>
        <v>#REF!</v>
      </c>
      <c r="G49" s="58" t="e">
        <f>'branches '!#REF!</f>
        <v>#REF!</v>
      </c>
      <c r="H49" s="55">
        <f>'branches '!AD45</f>
        <v>0.35743873186363934</v>
      </c>
      <c r="I49" s="58" t="e">
        <f>'branches '!#REF!</f>
        <v>#REF!</v>
      </c>
      <c r="J49" s="58" t="e">
        <f>'branches '!#REF!</f>
        <v>#REF!</v>
      </c>
      <c r="K49" s="55" t="e">
        <f>'branches '!#REF!</f>
        <v>#REF!</v>
      </c>
      <c r="L49" s="58" t="e">
        <f>'branches '!#REF!</f>
        <v>#REF!</v>
      </c>
      <c r="M49" s="58" t="e">
        <f>'branches '!#REF!</f>
        <v>#REF!</v>
      </c>
      <c r="N49" s="55" t="e">
        <f>'branches '!#REF!</f>
        <v>#REF!</v>
      </c>
    </row>
    <row r="50" spans="1:14" x14ac:dyDescent="0.25">
      <c r="A50" s="54">
        <v>75025</v>
      </c>
      <c r="B50" s="54" t="s">
        <v>1086</v>
      </c>
      <c r="C50" s="54" t="s">
        <v>1129</v>
      </c>
      <c r="D50" s="58" t="e">
        <f>'branches '!#REF!</f>
        <v>#REF!</v>
      </c>
      <c r="E50" s="58" t="e">
        <f>'branches '!#REF!</f>
        <v>#REF!</v>
      </c>
      <c r="F50" s="58" t="e">
        <f>'branches '!#REF!</f>
        <v>#REF!</v>
      </c>
      <c r="G50" s="58" t="e">
        <f>'branches '!#REF!</f>
        <v>#REF!</v>
      </c>
      <c r="H50" s="55" t="e">
        <f>'branches '!#REF!</f>
        <v>#REF!</v>
      </c>
      <c r="I50" s="58" t="e">
        <f>'branches '!#REF!</f>
        <v>#REF!</v>
      </c>
      <c r="J50" s="58" t="e">
        <f>'branches '!#REF!</f>
        <v>#REF!</v>
      </c>
      <c r="K50" s="55" t="e">
        <f>'branches '!#REF!</f>
        <v>#REF!</v>
      </c>
      <c r="L50" s="58" t="e">
        <f>'branches '!#REF!</f>
        <v>#REF!</v>
      </c>
      <c r="M50" s="58" t="e">
        <f>'branches '!#REF!</f>
        <v>#REF!</v>
      </c>
      <c r="N50" s="55" t="e">
        <f>'branches '!#REF!</f>
        <v>#REF!</v>
      </c>
    </row>
    <row r="51" spans="1:14" x14ac:dyDescent="0.25">
      <c r="A51" s="298" t="s">
        <v>27</v>
      </c>
      <c r="B51" s="299"/>
      <c r="C51" s="300"/>
      <c r="D51" s="73" t="e">
        <f>SUM(D47:D50)</f>
        <v>#REF!</v>
      </c>
      <c r="E51" s="73" t="e">
        <f>SUM(E47:E50)</f>
        <v>#REF!</v>
      </c>
      <c r="F51" s="73" t="e">
        <f>SUM(F47:F50)</f>
        <v>#REF!</v>
      </c>
      <c r="G51" s="73" t="e">
        <f>SUM(G47:G50)</f>
        <v>#REF!</v>
      </c>
      <c r="H51" s="51" t="e">
        <f>G51/D51</f>
        <v>#REF!</v>
      </c>
      <c r="I51" s="52" t="e">
        <f>SUM(I47:I50)</f>
        <v>#REF!</v>
      </c>
      <c r="J51" s="52" t="e">
        <f>SUM(J47:J50)</f>
        <v>#REF!</v>
      </c>
      <c r="K51" s="53" t="e">
        <f>J51/I51</f>
        <v>#REF!</v>
      </c>
      <c r="L51" s="73" t="e">
        <f>SUM(L47:L50)</f>
        <v>#REF!</v>
      </c>
      <c r="M51" s="73" t="e">
        <f>SUM(M47:M50)</f>
        <v>#REF!</v>
      </c>
      <c r="N51" s="51" t="e">
        <f>M51/L51</f>
        <v>#REF!</v>
      </c>
    </row>
    <row r="52" spans="1:14" x14ac:dyDescent="0.25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</row>
    <row r="53" spans="1:14" x14ac:dyDescent="0.25">
      <c r="A53" s="302" t="s">
        <v>508</v>
      </c>
      <c r="B53" s="302" t="s">
        <v>18</v>
      </c>
      <c r="C53" s="302" t="s">
        <v>19</v>
      </c>
      <c r="D53" s="287" t="s">
        <v>1142</v>
      </c>
      <c r="E53" s="287"/>
      <c r="F53" s="287"/>
      <c r="G53" s="288" t="s">
        <v>1158</v>
      </c>
      <c r="H53" s="288"/>
      <c r="I53" s="288"/>
      <c r="J53" s="287" t="s">
        <v>1159</v>
      </c>
      <c r="K53" s="287"/>
      <c r="L53" s="287"/>
      <c r="M53" s="40"/>
      <c r="N53" s="40"/>
    </row>
    <row r="54" spans="1:14" x14ac:dyDescent="0.25">
      <c r="A54" s="302"/>
      <c r="B54" s="302"/>
      <c r="C54" s="302"/>
      <c r="D54" s="50" t="s">
        <v>24</v>
      </c>
      <c r="E54" s="50" t="s">
        <v>29</v>
      </c>
      <c r="F54" s="76" t="s">
        <v>28</v>
      </c>
      <c r="G54" s="77" t="s">
        <v>24</v>
      </c>
      <c r="H54" s="77" t="s">
        <v>29</v>
      </c>
      <c r="I54" s="78" t="s">
        <v>28</v>
      </c>
      <c r="J54" s="73" t="s">
        <v>24</v>
      </c>
      <c r="K54" s="50" t="s">
        <v>29</v>
      </c>
      <c r="L54" s="51" t="s">
        <v>28</v>
      </c>
      <c r="M54" s="40"/>
      <c r="N54" s="40"/>
    </row>
    <row r="55" spans="1:14" x14ac:dyDescent="0.25">
      <c r="A55" s="54">
        <v>75003</v>
      </c>
      <c r="B55" s="54" t="s">
        <v>1086</v>
      </c>
      <c r="C55" s="54" t="s">
        <v>1087</v>
      </c>
      <c r="D55" s="58" t="e">
        <f>'branches '!#REF!</f>
        <v>#REF!</v>
      </c>
      <c r="E55" s="58" t="e">
        <f>'branches '!#REF!</f>
        <v>#REF!</v>
      </c>
      <c r="F55" s="55" t="e">
        <f>'branches '!#REF!</f>
        <v>#REF!</v>
      </c>
      <c r="G55" s="58" t="e">
        <f>'branches '!#REF!</f>
        <v>#REF!</v>
      </c>
      <c r="H55" s="58" t="e">
        <f>'branches '!#REF!</f>
        <v>#REF!</v>
      </c>
      <c r="I55" s="55" t="e">
        <f>'branches '!#REF!</f>
        <v>#REF!</v>
      </c>
      <c r="J55" s="58" t="e">
        <f>'branches '!#REF!</f>
        <v>#REF!</v>
      </c>
      <c r="K55" s="58" t="e">
        <f>'branches '!#REF!</f>
        <v>#REF!</v>
      </c>
      <c r="L55" s="55" t="e">
        <f>'branches '!#REF!</f>
        <v>#REF!</v>
      </c>
      <c r="M55" s="40"/>
      <c r="N55" s="40"/>
    </row>
    <row r="56" spans="1:14" x14ac:dyDescent="0.25">
      <c r="A56" s="54">
        <v>75004</v>
      </c>
      <c r="B56" s="54" t="s">
        <v>1086</v>
      </c>
      <c r="C56" s="54" t="s">
        <v>1100</v>
      </c>
      <c r="D56" s="58" t="e">
        <f>'branches '!#REF!</f>
        <v>#REF!</v>
      </c>
      <c r="E56" s="58" t="e">
        <f>'branches '!#REF!</f>
        <v>#REF!</v>
      </c>
      <c r="F56" s="55" t="e">
        <f>'branches '!#REF!</f>
        <v>#REF!</v>
      </c>
      <c r="G56" s="58" t="e">
        <f>'branches '!#REF!</f>
        <v>#REF!</v>
      </c>
      <c r="H56" s="58" t="e">
        <f>'branches '!#REF!</f>
        <v>#REF!</v>
      </c>
      <c r="I56" s="55" t="e">
        <f>'branches '!#REF!</f>
        <v>#REF!</v>
      </c>
      <c r="J56" s="58" t="e">
        <f>'branches '!#REF!</f>
        <v>#REF!</v>
      </c>
      <c r="K56" s="58" t="e">
        <f>'branches '!#REF!</f>
        <v>#REF!</v>
      </c>
      <c r="L56" s="55" t="e">
        <f>'branches '!#REF!</f>
        <v>#REF!</v>
      </c>
      <c r="M56" s="40"/>
      <c r="N56" s="40"/>
    </row>
    <row r="57" spans="1:14" x14ac:dyDescent="0.25">
      <c r="A57" s="54">
        <v>75005</v>
      </c>
      <c r="B57" s="54" t="s">
        <v>1086</v>
      </c>
      <c r="C57" s="54" t="s">
        <v>1119</v>
      </c>
      <c r="D57" s="58" t="e">
        <f>'branches '!#REF!</f>
        <v>#REF!</v>
      </c>
      <c r="E57" s="58" t="e">
        <f>'branches '!#REF!</f>
        <v>#REF!</v>
      </c>
      <c r="F57" s="55" t="e">
        <f>'branches '!#REF!</f>
        <v>#REF!</v>
      </c>
      <c r="G57" s="58" t="e">
        <f>'branches '!#REF!</f>
        <v>#REF!</v>
      </c>
      <c r="H57" s="58" t="e">
        <f>'branches '!#REF!</f>
        <v>#REF!</v>
      </c>
      <c r="I57" s="55" t="e">
        <f>'branches '!#REF!</f>
        <v>#REF!</v>
      </c>
      <c r="J57" s="58" t="e">
        <f>'branches '!#REF!</f>
        <v>#REF!</v>
      </c>
      <c r="K57" s="58" t="e">
        <f>'branches '!#REF!</f>
        <v>#REF!</v>
      </c>
      <c r="L57" s="55" t="e">
        <f>'branches '!#REF!</f>
        <v>#REF!</v>
      </c>
      <c r="M57" s="40"/>
      <c r="N57" s="40"/>
    </row>
    <row r="58" spans="1:14" x14ac:dyDescent="0.25">
      <c r="A58" s="54">
        <v>75025</v>
      </c>
      <c r="B58" s="54" t="s">
        <v>1086</v>
      </c>
      <c r="C58" s="54" t="s">
        <v>1129</v>
      </c>
      <c r="D58" s="58" t="e">
        <f>'branches '!#REF!</f>
        <v>#REF!</v>
      </c>
      <c r="E58" s="58" t="e">
        <f>'branches '!#REF!</f>
        <v>#REF!</v>
      </c>
      <c r="F58" s="55" t="e">
        <f>'branches '!#REF!</f>
        <v>#REF!</v>
      </c>
      <c r="G58" s="58" t="e">
        <f>'branches '!#REF!</f>
        <v>#REF!</v>
      </c>
      <c r="H58" s="58" t="e">
        <f>'branches '!#REF!</f>
        <v>#REF!</v>
      </c>
      <c r="I58" s="55" t="e">
        <f>'branches '!#REF!</f>
        <v>#REF!</v>
      </c>
      <c r="J58" s="58" t="e">
        <f>'branches '!#REF!</f>
        <v>#REF!</v>
      </c>
      <c r="K58" s="58" t="e">
        <f>'branches '!#REF!</f>
        <v>#REF!</v>
      </c>
      <c r="L58" s="55" t="e">
        <f>'branches '!#REF!</f>
        <v>#REF!</v>
      </c>
      <c r="M58" s="40"/>
      <c r="N58" s="40"/>
    </row>
    <row r="59" spans="1:14" x14ac:dyDescent="0.25">
      <c r="A59" s="298" t="s">
        <v>27</v>
      </c>
      <c r="B59" s="299"/>
      <c r="C59" s="300"/>
      <c r="D59" s="73" t="e">
        <f>SUM(D55:D58)</f>
        <v>#REF!</v>
      </c>
      <c r="E59" s="73" t="e">
        <f>SUM(E55:E58)</f>
        <v>#REF!</v>
      </c>
      <c r="F59" s="51" t="e">
        <f>E59/D59</f>
        <v>#REF!</v>
      </c>
      <c r="G59" s="52" t="e">
        <f>SUM(G55:G58)</f>
        <v>#REF!</v>
      </c>
      <c r="H59" s="52" t="e">
        <f>SUM(H55:H58)</f>
        <v>#REF!</v>
      </c>
      <c r="I59" s="53" t="e">
        <f>H59/G59</f>
        <v>#REF!</v>
      </c>
      <c r="J59" s="73" t="e">
        <f>SUM(J55:J58)</f>
        <v>#REF!</v>
      </c>
      <c r="K59" s="73" t="e">
        <f>SUM(K55:K58)</f>
        <v>#REF!</v>
      </c>
      <c r="L59" s="51" t="e">
        <f>K59/J59</f>
        <v>#REF!</v>
      </c>
      <c r="M59" s="40"/>
      <c r="N59" s="40"/>
    </row>
    <row r="60" spans="1:14" x14ac:dyDescent="0.25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</row>
    <row r="61" spans="1:14" ht="21.75" x14ac:dyDescent="0.25">
      <c r="A61" s="291" t="s">
        <v>1134</v>
      </c>
      <c r="B61" s="291"/>
      <c r="C61" s="291"/>
      <c r="D61" s="291"/>
      <c r="E61" s="291"/>
      <c r="F61" s="291"/>
      <c r="G61" s="291"/>
      <c r="H61" s="291"/>
      <c r="I61" s="291"/>
      <c r="J61" s="291"/>
      <c r="K61" s="291"/>
      <c r="L61" s="291"/>
      <c r="M61" s="291"/>
      <c r="N61" s="291"/>
    </row>
  </sheetData>
  <mergeCells count="50">
    <mergeCell ref="A1:A3"/>
    <mergeCell ref="B1:N3"/>
    <mergeCell ref="A5:A6"/>
    <mergeCell ref="B5:B6"/>
    <mergeCell ref="C5:C6"/>
    <mergeCell ref="D5:H5"/>
    <mergeCell ref="I5:M5"/>
    <mergeCell ref="N5:N6"/>
    <mergeCell ref="A11:C11"/>
    <mergeCell ref="A13:A14"/>
    <mergeCell ref="B13:B14"/>
    <mergeCell ref="C13:C14"/>
    <mergeCell ref="D13:F13"/>
    <mergeCell ref="J13:L13"/>
    <mergeCell ref="A19:C19"/>
    <mergeCell ref="A21:A22"/>
    <mergeCell ref="B21:B22"/>
    <mergeCell ref="C21:C22"/>
    <mergeCell ref="D21:F21"/>
    <mergeCell ref="G21:I21"/>
    <mergeCell ref="J21:L21"/>
    <mergeCell ref="G13:I13"/>
    <mergeCell ref="I37:M37"/>
    <mergeCell ref="A27:C27"/>
    <mergeCell ref="A29:A30"/>
    <mergeCell ref="B29:B30"/>
    <mergeCell ref="C29:C30"/>
    <mergeCell ref="D29:H29"/>
    <mergeCell ref="I29:K29"/>
    <mergeCell ref="A35:C35"/>
    <mergeCell ref="A37:A38"/>
    <mergeCell ref="B37:B38"/>
    <mergeCell ref="C37:C38"/>
    <mergeCell ref="D37:H37"/>
    <mergeCell ref="A43:C43"/>
    <mergeCell ref="A45:A46"/>
    <mergeCell ref="B45:B46"/>
    <mergeCell ref="C45:C46"/>
    <mergeCell ref="D45:H45"/>
    <mergeCell ref="A59:C59"/>
    <mergeCell ref="A61:N61"/>
    <mergeCell ref="I45:K45"/>
    <mergeCell ref="L45:N45"/>
    <mergeCell ref="A53:A54"/>
    <mergeCell ref="B53:B54"/>
    <mergeCell ref="C53:C54"/>
    <mergeCell ref="D53:F53"/>
    <mergeCell ref="G53:I53"/>
    <mergeCell ref="J53:L53"/>
    <mergeCell ref="A51:C51"/>
  </mergeCells>
  <conditionalFormatting sqref="F15:F18">
    <cfRule type="cellIs" dxfId="107" priority="47" operator="between">
      <formula>0.7</formula>
      <formula>0.89</formula>
    </cfRule>
    <cfRule type="cellIs" dxfId="106" priority="46" operator="lessThan">
      <formula>0.7</formula>
    </cfRule>
    <cfRule type="cellIs" dxfId="105" priority="48" operator="greaterThan">
      <formula>0.89</formula>
    </cfRule>
  </conditionalFormatting>
  <conditionalFormatting sqref="F23:F26">
    <cfRule type="cellIs" dxfId="104" priority="39" operator="greaterThan">
      <formula>0.89</formula>
    </cfRule>
    <cfRule type="cellIs" dxfId="103" priority="38" operator="between">
      <formula>0.7</formula>
      <formula>0.89</formula>
    </cfRule>
    <cfRule type="cellIs" dxfId="102" priority="37" operator="lessThan">
      <formula>0.7</formula>
    </cfRule>
  </conditionalFormatting>
  <conditionalFormatting sqref="F55:F58">
    <cfRule type="cellIs" dxfId="101" priority="1" operator="lessThan">
      <formula>0.7</formula>
    </cfRule>
    <cfRule type="cellIs" dxfId="100" priority="2" operator="between">
      <formula>0.7</formula>
      <formula>0.89</formula>
    </cfRule>
    <cfRule type="cellIs" dxfId="99" priority="3" operator="greaterThan">
      <formula>0.89</formula>
    </cfRule>
  </conditionalFormatting>
  <conditionalFormatting sqref="H7:H10">
    <cfRule type="cellIs" dxfId="98" priority="52" operator="lessThan">
      <formula>0.7</formula>
    </cfRule>
    <cfRule type="cellIs" dxfId="97" priority="54" operator="greaterThan">
      <formula>0.89</formula>
    </cfRule>
    <cfRule type="cellIs" dxfId="96" priority="53" operator="between">
      <formula>0.7</formula>
      <formula>0.89</formula>
    </cfRule>
  </conditionalFormatting>
  <conditionalFormatting sqref="H31:H34">
    <cfRule type="cellIs" dxfId="95" priority="28" operator="lessThan">
      <formula>0.7</formula>
    </cfRule>
    <cfRule type="cellIs" dxfId="94" priority="30" operator="greaterThan">
      <formula>0.89</formula>
    </cfRule>
    <cfRule type="cellIs" dxfId="93" priority="29" operator="between">
      <formula>0.7</formula>
      <formula>0.89</formula>
    </cfRule>
  </conditionalFormatting>
  <conditionalFormatting sqref="H39:H42">
    <cfRule type="cellIs" dxfId="92" priority="22" operator="lessThan">
      <formula>0.7</formula>
    </cfRule>
    <cfRule type="cellIs" dxfId="91" priority="23" operator="between">
      <formula>0.7</formula>
      <formula>0.89</formula>
    </cfRule>
    <cfRule type="cellIs" dxfId="90" priority="24" operator="greaterThan">
      <formula>0.89</formula>
    </cfRule>
  </conditionalFormatting>
  <conditionalFormatting sqref="H47:H50">
    <cfRule type="cellIs" dxfId="89" priority="16" operator="lessThan">
      <formula>0.7</formula>
    </cfRule>
    <cfRule type="cellIs" dxfId="88" priority="17" operator="between">
      <formula>0.7</formula>
      <formula>0.89</formula>
    </cfRule>
    <cfRule type="cellIs" dxfId="87" priority="18" operator="greaterThan">
      <formula>0.89</formula>
    </cfRule>
  </conditionalFormatting>
  <conditionalFormatting sqref="I15:I18">
    <cfRule type="cellIs" dxfId="86" priority="45" operator="greaterThan">
      <formula>0.89</formula>
    </cfRule>
    <cfRule type="cellIs" dxfId="85" priority="44" operator="between">
      <formula>0.7</formula>
      <formula>0.89</formula>
    </cfRule>
    <cfRule type="cellIs" dxfId="84" priority="43" operator="lessThan">
      <formula>0.7</formula>
    </cfRule>
  </conditionalFormatting>
  <conditionalFormatting sqref="I23:I26">
    <cfRule type="cellIs" dxfId="83" priority="34" operator="lessThan">
      <formula>0.7</formula>
    </cfRule>
    <cfRule type="cellIs" dxfId="82" priority="35" operator="between">
      <formula>0.7</formula>
      <formula>0.89</formula>
    </cfRule>
    <cfRule type="cellIs" dxfId="81" priority="36" operator="greaterThan">
      <formula>0.89</formula>
    </cfRule>
  </conditionalFormatting>
  <conditionalFormatting sqref="I55:I58">
    <cfRule type="cellIs" dxfId="80" priority="4" operator="lessThan">
      <formula>0.7</formula>
    </cfRule>
    <cfRule type="cellIs" dxfId="79" priority="5" operator="between">
      <formula>0.7</formula>
      <formula>0.89</formula>
    </cfRule>
    <cfRule type="cellIs" dxfId="78" priority="6" operator="greaterThan">
      <formula>0.89</formula>
    </cfRule>
  </conditionalFormatting>
  <conditionalFormatting sqref="K31:K33">
    <cfRule type="cellIs" dxfId="77" priority="25" operator="lessThan">
      <formula>0.7</formula>
    </cfRule>
    <cfRule type="cellIs" dxfId="76" priority="27" operator="greaterThan">
      <formula>0.89</formula>
    </cfRule>
    <cfRule type="cellIs" dxfId="75" priority="26" operator="between">
      <formula>0.7</formula>
      <formula>0.89</formula>
    </cfRule>
  </conditionalFormatting>
  <conditionalFormatting sqref="K47:K50">
    <cfRule type="cellIs" dxfId="74" priority="14" operator="between">
      <formula>0.7</formula>
      <formula>0.89</formula>
    </cfRule>
    <cfRule type="cellIs" dxfId="73" priority="13" operator="lessThan">
      <formula>0.7</formula>
    </cfRule>
    <cfRule type="cellIs" dxfId="72" priority="15" operator="greaterThan">
      <formula>0.89</formula>
    </cfRule>
  </conditionalFormatting>
  <conditionalFormatting sqref="L15:L18">
    <cfRule type="cellIs" dxfId="71" priority="40" operator="lessThan">
      <formula>0.7</formula>
    </cfRule>
    <cfRule type="cellIs" dxfId="70" priority="41" operator="between">
      <formula>0.7</formula>
      <formula>0.89</formula>
    </cfRule>
    <cfRule type="cellIs" dxfId="69" priority="42" operator="greaterThan">
      <formula>0.89</formula>
    </cfRule>
  </conditionalFormatting>
  <conditionalFormatting sqref="L23:L26">
    <cfRule type="cellIs" dxfId="68" priority="33" operator="greaterThan">
      <formula>0.89</formula>
    </cfRule>
    <cfRule type="cellIs" dxfId="67" priority="32" operator="between">
      <formula>0.7</formula>
      <formula>0.89</formula>
    </cfRule>
    <cfRule type="cellIs" dxfId="66" priority="31" operator="lessThan">
      <formula>0.7</formula>
    </cfRule>
  </conditionalFormatting>
  <conditionalFormatting sqref="L55:L58">
    <cfRule type="cellIs" dxfId="65" priority="8" operator="between">
      <formula>0.7</formula>
      <formula>0.89</formula>
    </cfRule>
    <cfRule type="cellIs" dxfId="64" priority="9" operator="greaterThan">
      <formula>0.89</formula>
    </cfRule>
    <cfRule type="cellIs" dxfId="63" priority="7" operator="lessThan">
      <formula>0.7</formula>
    </cfRule>
  </conditionalFormatting>
  <conditionalFormatting sqref="M7:M10">
    <cfRule type="cellIs" dxfId="62" priority="49" operator="lessThan">
      <formula>0.7</formula>
    </cfRule>
    <cfRule type="cellIs" dxfId="61" priority="50" operator="between">
      <formula>0.7</formula>
      <formula>0.89</formula>
    </cfRule>
    <cfRule type="cellIs" dxfId="60" priority="51" operator="greaterThan">
      <formula>0.89</formula>
    </cfRule>
  </conditionalFormatting>
  <conditionalFormatting sqref="M39:M42">
    <cfRule type="cellIs" dxfId="59" priority="21" operator="greaterThan">
      <formula>0.89</formula>
    </cfRule>
    <cfRule type="cellIs" dxfId="58" priority="20" operator="between">
      <formula>0.7</formula>
      <formula>0.89</formula>
    </cfRule>
    <cfRule type="cellIs" dxfId="57" priority="19" operator="lessThan">
      <formula>0.7</formula>
    </cfRule>
  </conditionalFormatting>
  <conditionalFormatting sqref="N47:N50">
    <cfRule type="cellIs" dxfId="56" priority="10" operator="lessThan">
      <formula>0.7</formula>
    </cfRule>
    <cfRule type="cellIs" dxfId="55" priority="11" operator="between">
      <formula>0.7</formula>
      <formula>0.89</formula>
    </cfRule>
    <cfRule type="cellIs" dxfId="54" priority="12" operator="greaterThan">
      <formula>0.89</formula>
    </cfRule>
  </conditionalFormatting>
  <pageMargins left="0.7" right="0.7" top="0.75" bottom="0.75" header="0.3" footer="0.3"/>
  <ignoredErrors>
    <ignoredError sqref="H11:O11 F19:I19 F27:I27 H35:K35 H43 F59 I59 H51 K51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29B43-AE63-4CB3-984E-5635EE533BB8}">
  <dimension ref="A1:N82"/>
  <sheetViews>
    <sheetView showGridLines="0" workbookViewId="0">
      <selection activeCell="Q11" sqref="Q11"/>
    </sheetView>
  </sheetViews>
  <sheetFormatPr defaultRowHeight="15" x14ac:dyDescent="0.25"/>
  <cols>
    <col min="1" max="1" width="6" bestFit="1" customWidth="1"/>
    <col min="2" max="2" width="7.42578125" customWidth="1"/>
    <col min="3" max="3" width="28.42578125" bestFit="1" customWidth="1"/>
    <col min="4" max="4" width="10.42578125" bestFit="1" customWidth="1"/>
    <col min="5" max="5" width="12.5703125" bestFit="1" customWidth="1"/>
    <col min="6" max="6" width="12.140625" bestFit="1" customWidth="1"/>
    <col min="7" max="7" width="10.42578125" bestFit="1" customWidth="1"/>
    <col min="8" max="8" width="7.42578125" bestFit="1" customWidth="1"/>
    <col min="9" max="9" width="10.42578125" bestFit="1" customWidth="1"/>
    <col min="10" max="10" width="12.5703125" bestFit="1" customWidth="1"/>
    <col min="11" max="11" width="12.140625" bestFit="1" customWidth="1"/>
    <col min="12" max="12" width="10.42578125" bestFit="1" customWidth="1"/>
    <col min="13" max="13" width="7" customWidth="1"/>
    <col min="14" max="14" width="10.42578125" bestFit="1" customWidth="1"/>
  </cols>
  <sheetData>
    <row r="1" spans="1:14" x14ac:dyDescent="0.25">
      <c r="A1" s="301"/>
      <c r="B1" s="290" t="s">
        <v>970</v>
      </c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</row>
    <row r="2" spans="1:14" x14ac:dyDescent="0.25">
      <c r="A2" s="301"/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</row>
    <row r="3" spans="1:14" x14ac:dyDescent="0.25">
      <c r="A3" s="301"/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</row>
    <row r="4" spans="1:14" x14ac:dyDescent="0.25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</row>
    <row r="5" spans="1:14" x14ac:dyDescent="0.25">
      <c r="A5" s="302" t="s">
        <v>508</v>
      </c>
      <c r="B5" s="302" t="s">
        <v>18</v>
      </c>
      <c r="C5" s="302" t="s">
        <v>19</v>
      </c>
      <c r="D5" s="296" t="s">
        <v>1156</v>
      </c>
      <c r="E5" s="296"/>
      <c r="F5" s="296"/>
      <c r="G5" s="296"/>
      <c r="H5" s="296"/>
      <c r="I5" s="288" t="s">
        <v>1155</v>
      </c>
      <c r="J5" s="288"/>
      <c r="K5" s="288"/>
      <c r="L5" s="288"/>
      <c r="M5" s="288"/>
      <c r="N5" s="289" t="s">
        <v>1164</v>
      </c>
    </row>
    <row r="6" spans="1:14" x14ac:dyDescent="0.25">
      <c r="A6" s="302"/>
      <c r="B6" s="302"/>
      <c r="C6" s="302"/>
      <c r="D6" s="73" t="s">
        <v>24</v>
      </c>
      <c r="E6" s="50" t="s">
        <v>25</v>
      </c>
      <c r="F6" s="50" t="s">
        <v>26</v>
      </c>
      <c r="G6" s="50" t="s">
        <v>27</v>
      </c>
      <c r="H6" s="51" t="s">
        <v>28</v>
      </c>
      <c r="I6" s="52" t="s">
        <v>24</v>
      </c>
      <c r="J6" s="52" t="s">
        <v>25</v>
      </c>
      <c r="K6" s="52" t="s">
        <v>26</v>
      </c>
      <c r="L6" s="52" t="s">
        <v>27</v>
      </c>
      <c r="M6" s="53" t="s">
        <v>28</v>
      </c>
      <c r="N6" s="289"/>
    </row>
    <row r="7" spans="1:14" x14ac:dyDescent="0.25">
      <c r="A7" s="54">
        <v>75011</v>
      </c>
      <c r="B7" s="54" t="s">
        <v>970</v>
      </c>
      <c r="C7" s="54" t="s">
        <v>971</v>
      </c>
      <c r="D7" s="58">
        <f>'branches '!D46</f>
        <v>1149695.8449173244</v>
      </c>
      <c r="E7" s="58">
        <f>'branches '!E46</f>
        <v>607100.22000000009</v>
      </c>
      <c r="F7" s="58" t="e">
        <f>'branches '!#REF!</f>
        <v>#REF!</v>
      </c>
      <c r="G7" s="58" t="e">
        <f>'branches '!#REF!</f>
        <v>#REF!</v>
      </c>
      <c r="H7" s="55">
        <f>'branches '!F46</f>
        <v>0.52805289562793645</v>
      </c>
      <c r="I7" s="58">
        <f>'branches '!G46</f>
        <v>134336.50519240153</v>
      </c>
      <c r="J7" s="58">
        <f>'branches '!H46</f>
        <v>18402.629999999997</v>
      </c>
      <c r="K7" s="58" t="e">
        <f>'branches '!#REF!</f>
        <v>#REF!</v>
      </c>
      <c r="L7" s="58" t="e">
        <f>'branches '!#REF!</f>
        <v>#REF!</v>
      </c>
      <c r="M7" s="55">
        <f>'branches '!I46</f>
        <v>0.13698904831298905</v>
      </c>
      <c r="N7" s="58" t="e">
        <f>L7+G7+K29</f>
        <v>#REF!</v>
      </c>
    </row>
    <row r="8" spans="1:14" x14ac:dyDescent="0.25">
      <c r="A8" s="54">
        <v>75012</v>
      </c>
      <c r="B8" s="54" t="s">
        <v>970</v>
      </c>
      <c r="C8" s="54" t="s">
        <v>984</v>
      </c>
      <c r="D8" s="58">
        <f>'branches '!D47</f>
        <v>287423.96122933109</v>
      </c>
      <c r="E8" s="58">
        <f>'branches '!E47</f>
        <v>174549.6</v>
      </c>
      <c r="F8" s="58" t="e">
        <f>'branches '!#REF!</f>
        <v>#REF!</v>
      </c>
      <c r="G8" s="58" t="e">
        <f>'branches '!#REF!</f>
        <v>#REF!</v>
      </c>
      <c r="H8" s="55">
        <f>'branches '!F47</f>
        <v>0.60728966107571525</v>
      </c>
      <c r="I8" s="58">
        <f>'branches '!G47</f>
        <v>33584.126298100389</v>
      </c>
      <c r="J8" s="58">
        <f>'branches '!H47</f>
        <v>7323.01</v>
      </c>
      <c r="K8" s="58" t="e">
        <f>'branches '!#REF!</f>
        <v>#REF!</v>
      </c>
      <c r="L8" s="58" t="e">
        <f>'branches '!#REF!</f>
        <v>#REF!</v>
      </c>
      <c r="M8" s="55">
        <f>'branches '!I47</f>
        <v>0.2180497397788255</v>
      </c>
      <c r="N8" s="58" t="e">
        <f t="shared" ref="N8:N13" si="0">L8+G8+K30</f>
        <v>#REF!</v>
      </c>
    </row>
    <row r="9" spans="1:14" x14ac:dyDescent="0.25">
      <c r="A9" s="54">
        <v>75015</v>
      </c>
      <c r="B9" s="54" t="s">
        <v>970</v>
      </c>
      <c r="C9" s="54" t="s">
        <v>996</v>
      </c>
      <c r="D9" s="58">
        <f>'branches '!D48</f>
        <v>328484.52711923554</v>
      </c>
      <c r="E9" s="58">
        <f>'branches '!E48</f>
        <v>371747.02</v>
      </c>
      <c r="F9" s="58" t="e">
        <f>'branches '!#REF!</f>
        <v>#REF!</v>
      </c>
      <c r="G9" s="58" t="e">
        <f>'branches '!#REF!</f>
        <v>#REF!</v>
      </c>
      <c r="H9" s="55">
        <f>'branches '!F48</f>
        <v>1.1317032898327681</v>
      </c>
      <c r="I9" s="58">
        <f>'branches '!G48</f>
        <v>38381.858626400433</v>
      </c>
      <c r="J9" s="58">
        <f>'branches '!H48</f>
        <v>7430.7199999999993</v>
      </c>
      <c r="K9" s="58" t="e">
        <f>'branches '!#REF!</f>
        <v>#REF!</v>
      </c>
      <c r="L9" s="58" t="e">
        <f>'branches '!#REF!</f>
        <v>#REF!</v>
      </c>
      <c r="M9" s="55">
        <f>'branches '!I48</f>
        <v>0.19359979599551963</v>
      </c>
      <c r="N9" s="58" t="e">
        <f t="shared" si="0"/>
        <v>#REF!</v>
      </c>
    </row>
    <row r="10" spans="1:14" x14ac:dyDescent="0.25">
      <c r="A10" s="54">
        <v>75016</v>
      </c>
      <c r="B10" s="54" t="s">
        <v>970</v>
      </c>
      <c r="C10" s="54" t="s">
        <v>1005</v>
      </c>
      <c r="D10" s="58">
        <f>'branches '!D49</f>
        <v>328484.52711923554</v>
      </c>
      <c r="E10" s="58">
        <f>'branches '!E49</f>
        <v>194832.28</v>
      </c>
      <c r="F10" s="58" t="e">
        <f>'branches '!#REF!</f>
        <v>#REF!</v>
      </c>
      <c r="G10" s="58" t="e">
        <f>'branches '!#REF!</f>
        <v>#REF!</v>
      </c>
      <c r="H10" s="55">
        <f>'branches '!F49</f>
        <v>0.593124679900915</v>
      </c>
      <c r="I10" s="58">
        <f>'branches '!G49</f>
        <v>38381.858626400433</v>
      </c>
      <c r="J10" s="58">
        <f>'branches '!H49</f>
        <v>9649.56</v>
      </c>
      <c r="K10" s="58" t="e">
        <f>'branches '!#REF!</f>
        <v>#REF!</v>
      </c>
      <c r="L10" s="58" t="e">
        <f>'branches '!#REF!</f>
        <v>#REF!</v>
      </c>
      <c r="M10" s="55">
        <f>'branches '!I49</f>
        <v>0.25140939874554907</v>
      </c>
      <c r="N10" s="58" t="e">
        <f t="shared" si="0"/>
        <v>#REF!</v>
      </c>
    </row>
    <row r="11" spans="1:14" x14ac:dyDescent="0.25">
      <c r="A11" s="54">
        <v>75021</v>
      </c>
      <c r="B11" s="54" t="s">
        <v>970</v>
      </c>
      <c r="C11" s="54" t="s">
        <v>1016</v>
      </c>
      <c r="D11" s="58">
        <f>'branches '!D50</f>
        <v>328484.5271192356</v>
      </c>
      <c r="E11" s="58">
        <f>'branches '!E50</f>
        <v>288095.72000000003</v>
      </c>
      <c r="F11" s="58" t="e">
        <f>'branches '!#REF!</f>
        <v>#REF!</v>
      </c>
      <c r="G11" s="58" t="e">
        <f>'branches '!#REF!</f>
        <v>#REF!</v>
      </c>
      <c r="H11" s="55">
        <f>'branches '!F50</f>
        <v>0.87704502408853202</v>
      </c>
      <c r="I11" s="58">
        <f>'branches '!G50</f>
        <v>38381.858626400433</v>
      </c>
      <c r="J11" s="58">
        <f>'branches '!H50</f>
        <v>13844.32</v>
      </c>
      <c r="K11" s="58" t="e">
        <f>'branches '!#REF!</f>
        <v>#REF!</v>
      </c>
      <c r="L11" s="58" t="e">
        <f>'branches '!#REF!</f>
        <v>#REF!</v>
      </c>
      <c r="M11" s="55">
        <f>'branches '!I50</f>
        <v>0.36069957254434193</v>
      </c>
      <c r="N11" s="58" t="e">
        <f t="shared" si="0"/>
        <v>#REF!</v>
      </c>
    </row>
    <row r="12" spans="1:14" x14ac:dyDescent="0.25">
      <c r="A12" s="54">
        <v>75008</v>
      </c>
      <c r="B12" s="54" t="s">
        <v>970</v>
      </c>
      <c r="C12" s="54" t="s">
        <v>1051</v>
      </c>
      <c r="D12" s="58">
        <f>'branches '!D51</f>
        <v>1396059.240256751</v>
      </c>
      <c r="E12" s="58">
        <f>'branches '!E51</f>
        <v>1228698.76</v>
      </c>
      <c r="F12" s="58" t="e">
        <f>'branches '!#REF!</f>
        <v>#REF!</v>
      </c>
      <c r="G12" s="58" t="e">
        <f>'branches '!#REF!</f>
        <v>#REF!</v>
      </c>
      <c r="H12" s="55">
        <f>'branches '!F51</f>
        <v>0.88011935637776273</v>
      </c>
      <c r="I12" s="58">
        <f>'branches '!G51</f>
        <v>163122.89916220185</v>
      </c>
      <c r="J12" s="58">
        <f>'branches '!H51</f>
        <v>80879.8</v>
      </c>
      <c r="K12" s="58" t="e">
        <f>'branches '!#REF!</f>
        <v>#REF!</v>
      </c>
      <c r="L12" s="58" t="e">
        <f>'branches '!#REF!</f>
        <v>#REF!</v>
      </c>
      <c r="M12" s="55">
        <f>'branches '!I51</f>
        <v>0.49582125143311045</v>
      </c>
      <c r="N12" s="58" t="e">
        <f t="shared" si="0"/>
        <v>#REF!</v>
      </c>
    </row>
    <row r="13" spans="1:14" x14ac:dyDescent="0.25">
      <c r="A13" s="54">
        <v>75032</v>
      </c>
      <c r="B13" s="54" t="s">
        <v>970</v>
      </c>
      <c r="C13" s="54" t="s">
        <v>1077</v>
      </c>
      <c r="D13" s="58">
        <f>'branches '!D52</f>
        <v>287423.96122933109</v>
      </c>
      <c r="E13" s="58">
        <f>'branches '!E52</f>
        <v>324644.48000000004</v>
      </c>
      <c r="F13" s="58" t="e">
        <f>'branches '!#REF!</f>
        <v>#REF!</v>
      </c>
      <c r="G13" s="58" t="e">
        <f>'branches '!#REF!</f>
        <v>#REF!</v>
      </c>
      <c r="H13" s="55">
        <f>'branches '!F52</f>
        <v>1.1294969236784378</v>
      </c>
      <c r="I13" s="58">
        <f>'branches '!G52</f>
        <v>33584.126298100382</v>
      </c>
      <c r="J13" s="58">
        <f>'branches '!H52</f>
        <v>10829.560000000001</v>
      </c>
      <c r="K13" s="58" t="e">
        <f>'branches '!#REF!</f>
        <v>#REF!</v>
      </c>
      <c r="L13" s="58" t="e">
        <f>'branches '!#REF!</f>
        <v>#REF!</v>
      </c>
      <c r="M13" s="55">
        <f>'branches '!I52</f>
        <v>0.32246067394680306</v>
      </c>
      <c r="N13" s="58" t="e">
        <f t="shared" si="0"/>
        <v>#REF!</v>
      </c>
    </row>
    <row r="14" spans="1:14" x14ac:dyDescent="0.25">
      <c r="A14" s="298" t="s">
        <v>27</v>
      </c>
      <c r="B14" s="299"/>
      <c r="C14" s="300"/>
      <c r="D14" s="73">
        <f>SUM(D7:D13)</f>
        <v>4106056.5889904443</v>
      </c>
      <c r="E14" s="73">
        <f>SUM(E7:E13)</f>
        <v>3189668.08</v>
      </c>
      <c r="F14" s="73" t="e">
        <f>SUM(F7:F13)</f>
        <v>#REF!</v>
      </c>
      <c r="G14" s="73" t="e">
        <f>SUM(G7:G13)</f>
        <v>#REF!</v>
      </c>
      <c r="H14" s="74" t="e">
        <f>G14/D14</f>
        <v>#REF!</v>
      </c>
      <c r="I14" s="52">
        <f>SUM(I7:I13)</f>
        <v>479773.23283000547</v>
      </c>
      <c r="J14" s="52">
        <f>SUM(J7:J13)</f>
        <v>148359.6</v>
      </c>
      <c r="K14" s="52" t="e">
        <f>SUM(K7:K13)</f>
        <v>#REF!</v>
      </c>
      <c r="L14" s="52" t="e">
        <f>SUM(L7:L13)</f>
        <v>#REF!</v>
      </c>
      <c r="M14" s="53" t="e">
        <f>L14/I14</f>
        <v>#REF!</v>
      </c>
      <c r="N14" s="73" t="e">
        <f>SUM(N7:N13)</f>
        <v>#REF!</v>
      </c>
    </row>
    <row r="15" spans="1:14" x14ac:dyDescent="0.25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</row>
    <row r="16" spans="1:14" x14ac:dyDescent="0.25">
      <c r="A16" s="302" t="s">
        <v>508</v>
      </c>
      <c r="B16" s="302" t="s">
        <v>18</v>
      </c>
      <c r="C16" s="302" t="s">
        <v>19</v>
      </c>
      <c r="D16" s="296" t="s">
        <v>496</v>
      </c>
      <c r="E16" s="296"/>
      <c r="F16" s="296"/>
      <c r="G16" s="288" t="s">
        <v>522</v>
      </c>
      <c r="H16" s="288"/>
      <c r="I16" s="288"/>
      <c r="J16" s="296" t="s">
        <v>507</v>
      </c>
      <c r="K16" s="296"/>
      <c r="L16" s="296"/>
      <c r="M16" s="40"/>
      <c r="N16" s="40"/>
    </row>
    <row r="17" spans="1:14" x14ac:dyDescent="0.25">
      <c r="A17" s="302"/>
      <c r="B17" s="302"/>
      <c r="C17" s="302"/>
      <c r="D17" s="73" t="s">
        <v>24</v>
      </c>
      <c r="E17" s="73" t="s">
        <v>29</v>
      </c>
      <c r="F17" s="73" t="s">
        <v>28</v>
      </c>
      <c r="G17" s="52" t="s">
        <v>24</v>
      </c>
      <c r="H17" s="52" t="s">
        <v>29</v>
      </c>
      <c r="I17" s="53" t="s">
        <v>28</v>
      </c>
      <c r="J17" s="73" t="s">
        <v>24</v>
      </c>
      <c r="K17" s="73" t="s">
        <v>29</v>
      </c>
      <c r="L17" s="73" t="s">
        <v>28</v>
      </c>
      <c r="M17" s="40"/>
      <c r="N17" s="40"/>
    </row>
    <row r="18" spans="1:14" x14ac:dyDescent="0.25">
      <c r="A18" s="54">
        <v>75011</v>
      </c>
      <c r="B18" s="54" t="s">
        <v>970</v>
      </c>
      <c r="C18" s="54" t="s">
        <v>971</v>
      </c>
      <c r="D18" s="58">
        <f>'branches '!M46</f>
        <v>11331.429953641014</v>
      </c>
      <c r="E18" s="58">
        <f>'branches '!N46</f>
        <v>210</v>
      </c>
      <c r="F18" s="55">
        <f>'branches '!O46</f>
        <v>1.8532524214432692E-2</v>
      </c>
      <c r="G18" s="58" t="e">
        <f>'branches '!#REF!</f>
        <v>#REF!</v>
      </c>
      <c r="H18" s="58" t="e">
        <f>'branches '!#REF!</f>
        <v>#REF!</v>
      </c>
      <c r="I18" s="55" t="e">
        <f>'branches '!#REF!</f>
        <v>#REF!</v>
      </c>
      <c r="J18" s="58">
        <f>'branches '!AK46</f>
        <v>33.647866224105698</v>
      </c>
      <c r="K18" s="58">
        <f>'branches '!AL46</f>
        <v>0</v>
      </c>
      <c r="L18" s="55">
        <f>'branches '!AM46</f>
        <v>0</v>
      </c>
      <c r="M18" s="40"/>
      <c r="N18" s="40"/>
    </row>
    <row r="19" spans="1:14" x14ac:dyDescent="0.25">
      <c r="A19" s="54">
        <v>75012</v>
      </c>
      <c r="B19" s="54" t="s">
        <v>970</v>
      </c>
      <c r="C19" s="54" t="s">
        <v>984</v>
      </c>
      <c r="D19" s="58">
        <f>'branches '!M47</f>
        <v>2832.8574884102536</v>
      </c>
      <c r="E19" s="58">
        <f>'branches '!N47</f>
        <v>0</v>
      </c>
      <c r="F19" s="55">
        <f>'branches '!O47</f>
        <v>0</v>
      </c>
      <c r="G19" s="58" t="e">
        <f>'branches '!#REF!</f>
        <v>#REF!</v>
      </c>
      <c r="H19" s="58" t="e">
        <f>'branches '!#REF!</f>
        <v>#REF!</v>
      </c>
      <c r="I19" s="55" t="e">
        <f>'branches '!#REF!</f>
        <v>#REF!</v>
      </c>
      <c r="J19" s="58">
        <f>'branches '!AK47</f>
        <v>8.4119665560264245</v>
      </c>
      <c r="K19" s="58">
        <f>'branches '!AL47</f>
        <v>0</v>
      </c>
      <c r="L19" s="55">
        <f>'branches '!AM47</f>
        <v>0</v>
      </c>
      <c r="M19" s="40"/>
      <c r="N19" s="40"/>
    </row>
    <row r="20" spans="1:14" x14ac:dyDescent="0.25">
      <c r="A20" s="54">
        <v>75015</v>
      </c>
      <c r="B20" s="54" t="s">
        <v>970</v>
      </c>
      <c r="C20" s="54" t="s">
        <v>996</v>
      </c>
      <c r="D20" s="58">
        <f>'branches '!M48</f>
        <v>3237.5514153260037</v>
      </c>
      <c r="E20" s="58">
        <f>'branches '!N48</f>
        <v>50</v>
      </c>
      <c r="F20" s="55">
        <f>'branches '!O48</f>
        <v>1.5443770178693911E-2</v>
      </c>
      <c r="G20" s="58" t="e">
        <f>'branches '!#REF!</f>
        <v>#REF!</v>
      </c>
      <c r="H20" s="58" t="e">
        <f>'branches '!#REF!</f>
        <v>#REF!</v>
      </c>
      <c r="I20" s="55" t="e">
        <f>'branches '!#REF!</f>
        <v>#REF!</v>
      </c>
      <c r="J20" s="58">
        <f>'branches '!AK48</f>
        <v>9.6136760640301997</v>
      </c>
      <c r="K20" s="58">
        <f>'branches '!AL48</f>
        <v>0</v>
      </c>
      <c r="L20" s="55">
        <f>'branches '!AM48</f>
        <v>0</v>
      </c>
      <c r="M20" s="40"/>
      <c r="N20" s="40"/>
    </row>
    <row r="21" spans="1:14" x14ac:dyDescent="0.25">
      <c r="A21" s="54">
        <v>75016</v>
      </c>
      <c r="B21" s="54" t="s">
        <v>970</v>
      </c>
      <c r="C21" s="54" t="s">
        <v>1005</v>
      </c>
      <c r="D21" s="58">
        <f>'branches '!M49</f>
        <v>3237.5514153260033</v>
      </c>
      <c r="E21" s="58">
        <f>'branches '!N49</f>
        <v>0</v>
      </c>
      <c r="F21" s="55">
        <f>'branches '!O49</f>
        <v>0</v>
      </c>
      <c r="G21" s="58" t="e">
        <f>'branches '!#REF!</f>
        <v>#REF!</v>
      </c>
      <c r="H21" s="58" t="e">
        <f>'branches '!#REF!</f>
        <v>#REF!</v>
      </c>
      <c r="I21" s="55" t="e">
        <f>'branches '!#REF!</f>
        <v>#REF!</v>
      </c>
      <c r="J21" s="58">
        <f>'branches '!AK49</f>
        <v>9.6136760640301997</v>
      </c>
      <c r="K21" s="58">
        <f>'branches '!AL49</f>
        <v>0</v>
      </c>
      <c r="L21" s="55">
        <f>'branches '!AM49</f>
        <v>0</v>
      </c>
      <c r="M21" s="40"/>
      <c r="N21" s="40"/>
    </row>
    <row r="22" spans="1:14" x14ac:dyDescent="0.25">
      <c r="A22" s="54">
        <v>75021</v>
      </c>
      <c r="B22" s="54" t="s">
        <v>970</v>
      </c>
      <c r="C22" s="54" t="s">
        <v>1016</v>
      </c>
      <c r="D22" s="58">
        <f>'branches '!M50</f>
        <v>3237.5514153260028</v>
      </c>
      <c r="E22" s="58">
        <f>'branches '!N50</f>
        <v>0</v>
      </c>
      <c r="F22" s="55">
        <f>'branches '!O50</f>
        <v>0</v>
      </c>
      <c r="G22" s="58" t="e">
        <f>'branches '!#REF!</f>
        <v>#REF!</v>
      </c>
      <c r="H22" s="58" t="e">
        <f>'branches '!#REF!</f>
        <v>#REF!</v>
      </c>
      <c r="I22" s="55" t="e">
        <f>'branches '!#REF!</f>
        <v>#REF!</v>
      </c>
      <c r="J22" s="58">
        <f>'branches '!AK50</f>
        <v>9.6136760640302015</v>
      </c>
      <c r="K22" s="58">
        <f>'branches '!AL50</f>
        <v>0</v>
      </c>
      <c r="L22" s="55">
        <f>'branches '!AM50</f>
        <v>0</v>
      </c>
      <c r="M22" s="40"/>
      <c r="N22" s="40"/>
    </row>
    <row r="23" spans="1:14" x14ac:dyDescent="0.25">
      <c r="A23" s="54">
        <v>75008</v>
      </c>
      <c r="B23" s="54" t="s">
        <v>970</v>
      </c>
      <c r="C23" s="54" t="s">
        <v>1051</v>
      </c>
      <c r="D23" s="58">
        <f>'branches '!M51</f>
        <v>13759.593515135515</v>
      </c>
      <c r="E23" s="58">
        <f>'branches '!N51</f>
        <v>400</v>
      </c>
      <c r="F23" s="55">
        <f>'branches '!O51</f>
        <v>2.9070626218717952E-2</v>
      </c>
      <c r="G23" s="58" t="e">
        <f>'branches '!#REF!</f>
        <v>#REF!</v>
      </c>
      <c r="H23" s="58" t="e">
        <f>'branches '!#REF!</f>
        <v>#REF!</v>
      </c>
      <c r="I23" s="55" t="e">
        <f>'branches '!#REF!</f>
        <v>#REF!</v>
      </c>
      <c r="J23" s="58">
        <f>'branches '!AK51</f>
        <v>40.858123272128346</v>
      </c>
      <c r="K23" s="58">
        <f>'branches '!AL51</f>
        <v>1</v>
      </c>
      <c r="L23" s="55">
        <f>'branches '!AM51</f>
        <v>2.4474937170747561E-2</v>
      </c>
      <c r="M23" s="40"/>
      <c r="N23" s="40"/>
    </row>
    <row r="24" spans="1:14" x14ac:dyDescent="0.25">
      <c r="A24" s="54">
        <v>75032</v>
      </c>
      <c r="B24" s="54" t="s">
        <v>970</v>
      </c>
      <c r="C24" s="54" t="s">
        <v>1077</v>
      </c>
      <c r="D24" s="58">
        <f>'branches '!M52</f>
        <v>2832.8574884102532</v>
      </c>
      <c r="E24" s="58">
        <f>'branches '!N52</f>
        <v>0</v>
      </c>
      <c r="F24" s="55">
        <f>'branches '!O52</f>
        <v>0</v>
      </c>
      <c r="G24" s="58" t="e">
        <f>'branches '!#REF!</f>
        <v>#REF!</v>
      </c>
      <c r="H24" s="58" t="e">
        <f>'branches '!#REF!</f>
        <v>#REF!</v>
      </c>
      <c r="I24" s="55" t="e">
        <f>'branches '!#REF!</f>
        <v>#REF!</v>
      </c>
      <c r="J24" s="58">
        <f>'branches '!AK52</f>
        <v>8.4119665560264245</v>
      </c>
      <c r="K24" s="58">
        <f>'branches '!AL52</f>
        <v>0</v>
      </c>
      <c r="L24" s="55">
        <f>'branches '!AM52</f>
        <v>0</v>
      </c>
      <c r="M24" s="40"/>
      <c r="N24" s="40"/>
    </row>
    <row r="25" spans="1:14" x14ac:dyDescent="0.25">
      <c r="A25" s="298" t="s">
        <v>27</v>
      </c>
      <c r="B25" s="299"/>
      <c r="C25" s="300"/>
      <c r="D25" s="73">
        <f>SUM(D18:D24)</f>
        <v>40469.392691575049</v>
      </c>
      <c r="E25" s="73">
        <f>SUM(E18:E24)</f>
        <v>660</v>
      </c>
      <c r="F25" s="74">
        <f>E25/D25</f>
        <v>1.6308621308700769E-2</v>
      </c>
      <c r="G25" s="52" t="e">
        <f>SUM(G18:G24)</f>
        <v>#REF!</v>
      </c>
      <c r="H25" s="52" t="e">
        <f>SUM(H18:H24)</f>
        <v>#REF!</v>
      </c>
      <c r="I25" s="53" t="e">
        <f>H25/G25</f>
        <v>#REF!</v>
      </c>
      <c r="J25" s="73">
        <f>SUM(J18:J24)</f>
        <v>120.1709508003775</v>
      </c>
      <c r="K25" s="73">
        <f>SUM(K18:K24)</f>
        <v>1</v>
      </c>
      <c r="L25" s="74">
        <f>K25/J25</f>
        <v>8.3214786380541705E-3</v>
      </c>
      <c r="M25" s="40"/>
      <c r="N25" s="40"/>
    </row>
    <row r="26" spans="1:14" x14ac:dyDescent="0.25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</row>
    <row r="27" spans="1:14" x14ac:dyDescent="0.25">
      <c r="A27" s="302" t="s">
        <v>508</v>
      </c>
      <c r="B27" s="302" t="s">
        <v>18</v>
      </c>
      <c r="C27" s="302" t="s">
        <v>19</v>
      </c>
      <c r="D27" s="287" t="s">
        <v>1154</v>
      </c>
      <c r="E27" s="287"/>
      <c r="F27" s="287"/>
      <c r="G27" s="297" t="s">
        <v>466</v>
      </c>
      <c r="H27" s="297"/>
      <c r="I27" s="297"/>
      <c r="J27" s="287" t="s">
        <v>523</v>
      </c>
      <c r="K27" s="287"/>
      <c r="L27" s="287"/>
      <c r="M27" s="40"/>
      <c r="N27" s="40"/>
    </row>
    <row r="28" spans="1:14" x14ac:dyDescent="0.25">
      <c r="A28" s="302"/>
      <c r="B28" s="302"/>
      <c r="C28" s="302"/>
      <c r="D28" s="73" t="s">
        <v>24</v>
      </c>
      <c r="E28" s="50" t="s">
        <v>29</v>
      </c>
      <c r="F28" s="51" t="s">
        <v>28</v>
      </c>
      <c r="G28" s="52" t="s">
        <v>24</v>
      </c>
      <c r="H28" s="52" t="s">
        <v>29</v>
      </c>
      <c r="I28" s="53" t="s">
        <v>28</v>
      </c>
      <c r="J28" s="50" t="s">
        <v>24</v>
      </c>
      <c r="K28" s="50" t="s">
        <v>29</v>
      </c>
      <c r="L28" s="51" t="s">
        <v>28</v>
      </c>
      <c r="M28" s="40"/>
      <c r="N28" s="40"/>
    </row>
    <row r="29" spans="1:14" x14ac:dyDescent="0.25">
      <c r="A29" s="54">
        <v>75011</v>
      </c>
      <c r="B29" s="54" t="s">
        <v>970</v>
      </c>
      <c r="C29" s="54" t="s">
        <v>971</v>
      </c>
      <c r="D29" s="58">
        <f>'branches '!P46</f>
        <v>198.74211571006657</v>
      </c>
      <c r="E29" s="58">
        <f>'branches '!Q46</f>
        <v>33</v>
      </c>
      <c r="F29" s="55">
        <f>'branches '!R46</f>
        <v>0.16604432272494171</v>
      </c>
      <c r="G29" s="58">
        <f>'branches '!S46</f>
        <v>33.806181131765243</v>
      </c>
      <c r="H29" s="58">
        <f>'branches '!T46</f>
        <v>13</v>
      </c>
      <c r="I29" s="55">
        <f>'branches '!U46</f>
        <v>0.38454506142916073</v>
      </c>
      <c r="J29" s="58" t="e">
        <f>'branches '!#REF!</f>
        <v>#REF!</v>
      </c>
      <c r="K29" s="58" t="e">
        <f>'branches '!#REF!</f>
        <v>#REF!</v>
      </c>
      <c r="L29" s="55" t="e">
        <f>'branches '!#REF!</f>
        <v>#REF!</v>
      </c>
      <c r="M29" s="40"/>
      <c r="N29" s="40"/>
    </row>
    <row r="30" spans="1:14" x14ac:dyDescent="0.25">
      <c r="A30" s="54">
        <v>75012</v>
      </c>
      <c r="B30" s="54" t="s">
        <v>970</v>
      </c>
      <c r="C30" s="54" t="s">
        <v>984</v>
      </c>
      <c r="D30" s="58">
        <f>'branches '!P47</f>
        <v>49.685528927516643</v>
      </c>
      <c r="E30" s="58">
        <f>'branches '!Q47</f>
        <v>13</v>
      </c>
      <c r="F30" s="55">
        <f>'branches '!R47</f>
        <v>0.2616455994453627</v>
      </c>
      <c r="G30" s="58">
        <f>'branches '!S47</f>
        <v>8.4515452829413107</v>
      </c>
      <c r="H30" s="58">
        <f>'branches '!T47</f>
        <v>4</v>
      </c>
      <c r="I30" s="55">
        <f>'branches '!U47</f>
        <v>0.47328622945127474</v>
      </c>
      <c r="J30" s="58" t="e">
        <f>'branches '!#REF!</f>
        <v>#REF!</v>
      </c>
      <c r="K30" s="58" t="e">
        <f>'branches '!#REF!</f>
        <v>#REF!</v>
      </c>
      <c r="L30" s="55" t="e">
        <f>'branches '!#REF!</f>
        <v>#REF!</v>
      </c>
      <c r="M30" s="40"/>
      <c r="N30" s="40"/>
    </row>
    <row r="31" spans="1:14" x14ac:dyDescent="0.25">
      <c r="A31" s="54">
        <v>75015</v>
      </c>
      <c r="B31" s="54" t="s">
        <v>970</v>
      </c>
      <c r="C31" s="54" t="s">
        <v>996</v>
      </c>
      <c r="D31" s="58">
        <f>'branches '!P48</f>
        <v>56.78346163144758</v>
      </c>
      <c r="E31" s="58">
        <f>'branches '!Q48</f>
        <v>16</v>
      </c>
      <c r="F31" s="55">
        <f>'branches '!R48</f>
        <v>0.28177218401808296</v>
      </c>
      <c r="G31" s="58">
        <f>'branches '!S48</f>
        <v>9.6589088947900681</v>
      </c>
      <c r="H31" s="58">
        <f>'branches '!T48</f>
        <v>8</v>
      </c>
      <c r="I31" s="55">
        <f>'branches '!U48</f>
        <v>0.82825090153973091</v>
      </c>
      <c r="J31" s="58" t="e">
        <f>'branches '!#REF!</f>
        <v>#REF!</v>
      </c>
      <c r="K31" s="58" t="e">
        <f>'branches '!#REF!</f>
        <v>#REF!</v>
      </c>
      <c r="L31" s="55" t="e">
        <f>'branches '!#REF!</f>
        <v>#REF!</v>
      </c>
      <c r="M31" s="40"/>
      <c r="N31" s="40"/>
    </row>
    <row r="32" spans="1:14" x14ac:dyDescent="0.25">
      <c r="A32" s="54">
        <v>75016</v>
      </c>
      <c r="B32" s="54" t="s">
        <v>970</v>
      </c>
      <c r="C32" s="54" t="s">
        <v>1005</v>
      </c>
      <c r="D32" s="58">
        <f>'branches '!P49</f>
        <v>56.78346163144758</v>
      </c>
      <c r="E32" s="58">
        <f>'branches '!Q49</f>
        <v>7</v>
      </c>
      <c r="F32" s="55">
        <f>'branches '!R49</f>
        <v>0.12327533050791128</v>
      </c>
      <c r="G32" s="58">
        <f>'branches '!S49</f>
        <v>9.6589088947900681</v>
      </c>
      <c r="H32" s="58">
        <f>'branches '!T49</f>
        <v>3</v>
      </c>
      <c r="I32" s="55">
        <f>'branches '!U49</f>
        <v>0.31059408807739908</v>
      </c>
      <c r="J32" s="58" t="e">
        <f>'branches '!#REF!</f>
        <v>#REF!</v>
      </c>
      <c r="K32" s="58" t="e">
        <f>'branches '!#REF!</f>
        <v>#REF!</v>
      </c>
      <c r="L32" s="55" t="e">
        <f>'branches '!#REF!</f>
        <v>#REF!</v>
      </c>
      <c r="M32" s="40"/>
      <c r="N32" s="40"/>
    </row>
    <row r="33" spans="1:14" x14ac:dyDescent="0.25">
      <c r="A33" s="54">
        <v>75021</v>
      </c>
      <c r="B33" s="54" t="s">
        <v>970</v>
      </c>
      <c r="C33" s="54" t="s">
        <v>1016</v>
      </c>
      <c r="D33" s="58">
        <f>'branches '!P50</f>
        <v>56.78346163144758</v>
      </c>
      <c r="E33" s="58">
        <f>'branches '!Q50</f>
        <v>17</v>
      </c>
      <c r="F33" s="55">
        <f>'branches '!R50</f>
        <v>0.29938294551921313</v>
      </c>
      <c r="G33" s="58">
        <f>'branches '!S50</f>
        <v>9.6589088947900699</v>
      </c>
      <c r="H33" s="58">
        <f>'branches '!T50</f>
        <v>7</v>
      </c>
      <c r="I33" s="55">
        <f>'branches '!U50</f>
        <v>0.72471953884726448</v>
      </c>
      <c r="J33" s="58" t="e">
        <f>'branches '!#REF!</f>
        <v>#REF!</v>
      </c>
      <c r="K33" s="58" t="e">
        <f>'branches '!#REF!</f>
        <v>#REF!</v>
      </c>
      <c r="L33" s="55" t="e">
        <f>'branches '!#REF!</f>
        <v>#REF!</v>
      </c>
      <c r="M33" s="40"/>
      <c r="N33" s="40"/>
    </row>
    <row r="34" spans="1:14" x14ac:dyDescent="0.25">
      <c r="A34" s="54">
        <v>75008</v>
      </c>
      <c r="B34" s="54" t="s">
        <v>970</v>
      </c>
      <c r="C34" s="54" t="s">
        <v>1051</v>
      </c>
      <c r="D34" s="58">
        <f>'branches '!P51</f>
        <v>241.32971193365228</v>
      </c>
      <c r="E34" s="58">
        <f>'branches '!Q51</f>
        <v>88</v>
      </c>
      <c r="F34" s="55">
        <f>'branches '!R51</f>
        <v>0.36464635578810722</v>
      </c>
      <c r="G34" s="58">
        <f>'branches '!S51</f>
        <v>41.050362802857791</v>
      </c>
      <c r="H34" s="58">
        <f>'branches '!T51</f>
        <v>13</v>
      </c>
      <c r="I34" s="55">
        <f>'branches '!U51</f>
        <v>0.31668416823577944</v>
      </c>
      <c r="J34" s="58" t="e">
        <f>'branches '!#REF!</f>
        <v>#REF!</v>
      </c>
      <c r="K34" s="58" t="e">
        <f>'branches '!#REF!</f>
        <v>#REF!</v>
      </c>
      <c r="L34" s="55" t="e">
        <f>'branches '!#REF!</f>
        <v>#REF!</v>
      </c>
      <c r="M34" s="40"/>
      <c r="N34" s="40"/>
    </row>
    <row r="35" spans="1:14" x14ac:dyDescent="0.25">
      <c r="A35" s="54">
        <v>75032</v>
      </c>
      <c r="B35" s="54" t="s">
        <v>970</v>
      </c>
      <c r="C35" s="54" t="s">
        <v>1077</v>
      </c>
      <c r="D35" s="58">
        <f>'branches '!P52</f>
        <v>49.685528927516636</v>
      </c>
      <c r="E35" s="58">
        <f>'branches '!Q52</f>
        <v>14</v>
      </c>
      <c r="F35" s="55">
        <f>'branches '!R52</f>
        <v>0.28177218401808291</v>
      </c>
      <c r="G35" s="58">
        <f>'branches '!S52</f>
        <v>8.4515452829413107</v>
      </c>
      <c r="H35" s="58">
        <f>'branches '!T52</f>
        <v>1</v>
      </c>
      <c r="I35" s="55">
        <f>'branches '!U52</f>
        <v>0.11832155736281869</v>
      </c>
      <c r="J35" s="58" t="e">
        <f>'branches '!#REF!</f>
        <v>#REF!</v>
      </c>
      <c r="K35" s="58" t="e">
        <f>'branches '!#REF!</f>
        <v>#REF!</v>
      </c>
      <c r="L35" s="55" t="e">
        <f>'branches '!#REF!</f>
        <v>#REF!</v>
      </c>
      <c r="M35" s="40"/>
      <c r="N35" s="40"/>
    </row>
    <row r="36" spans="1:14" x14ac:dyDescent="0.25">
      <c r="A36" s="298" t="s">
        <v>27</v>
      </c>
      <c r="B36" s="299"/>
      <c r="C36" s="300"/>
      <c r="D36" s="73">
        <f>SUM(D29:D35)</f>
        <v>709.79327039309499</v>
      </c>
      <c r="E36" s="73">
        <f>SUM(E29:E35)</f>
        <v>188</v>
      </c>
      <c r="F36" s="74">
        <f>E36/D36</f>
        <v>0.26486585297699788</v>
      </c>
      <c r="G36" s="52">
        <f>SUM(G29:G35)</f>
        <v>120.73636118487586</v>
      </c>
      <c r="H36" s="52">
        <f>SUM(H29:H35)</f>
        <v>49</v>
      </c>
      <c r="I36" s="53">
        <f>H36/G36</f>
        <v>0.40584294175446811</v>
      </c>
      <c r="J36" s="73" t="e">
        <f>SUM(J29:J35)</f>
        <v>#REF!</v>
      </c>
      <c r="K36" s="73" t="e">
        <f>SUM(K29:K35)</f>
        <v>#REF!</v>
      </c>
      <c r="L36" s="74" t="e">
        <f>K36/J36</f>
        <v>#REF!</v>
      </c>
      <c r="M36" s="40"/>
      <c r="N36" s="40"/>
    </row>
    <row r="37" spans="1:14" x14ac:dyDescent="0.25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</row>
    <row r="38" spans="1:14" x14ac:dyDescent="0.25">
      <c r="A38" s="302" t="s">
        <v>508</v>
      </c>
      <c r="B38" s="302" t="s">
        <v>18</v>
      </c>
      <c r="C38" s="302" t="s">
        <v>19</v>
      </c>
      <c r="D38" s="287" t="s">
        <v>1151</v>
      </c>
      <c r="E38" s="287"/>
      <c r="F38" s="287"/>
      <c r="G38" s="287"/>
      <c r="H38" s="287"/>
      <c r="I38" s="297" t="s">
        <v>1150</v>
      </c>
      <c r="J38" s="297"/>
      <c r="K38" s="297"/>
      <c r="L38" s="40"/>
      <c r="M38" s="40"/>
      <c r="N38" s="40"/>
    </row>
    <row r="39" spans="1:14" x14ac:dyDescent="0.25">
      <c r="A39" s="302"/>
      <c r="B39" s="302"/>
      <c r="C39" s="302"/>
      <c r="D39" s="50" t="s">
        <v>24</v>
      </c>
      <c r="E39" s="50" t="s">
        <v>25</v>
      </c>
      <c r="F39" s="50" t="s">
        <v>26</v>
      </c>
      <c r="G39" s="50" t="s">
        <v>27</v>
      </c>
      <c r="H39" s="51" t="s">
        <v>28</v>
      </c>
      <c r="I39" s="52" t="s">
        <v>24</v>
      </c>
      <c r="J39" s="52" t="s">
        <v>29</v>
      </c>
      <c r="K39" s="53" t="s">
        <v>28</v>
      </c>
      <c r="L39" s="40"/>
      <c r="M39" s="40"/>
      <c r="N39" s="40"/>
    </row>
    <row r="40" spans="1:14" x14ac:dyDescent="0.25">
      <c r="A40" s="54">
        <v>75011</v>
      </c>
      <c r="B40" s="54" t="s">
        <v>970</v>
      </c>
      <c r="C40" s="54" t="s">
        <v>971</v>
      </c>
      <c r="D40" s="58">
        <f>'branches '!AE46</f>
        <v>119.01159465220923</v>
      </c>
      <c r="E40" s="58">
        <f>'branches '!AF46</f>
        <v>23</v>
      </c>
      <c r="F40" s="58" t="e">
        <f>'branches '!#REF!</f>
        <v>#REF!</v>
      </c>
      <c r="G40" s="58" t="e">
        <f>'branches '!#REF!</f>
        <v>#REF!</v>
      </c>
      <c r="H40" s="55">
        <f>'branches '!AG46</f>
        <v>0.19325848096745124</v>
      </c>
      <c r="I40" s="58">
        <f>'branches '!AH46</f>
        <v>55.062448062252621</v>
      </c>
      <c r="J40" s="58">
        <f>'branches '!AI46</f>
        <v>7</v>
      </c>
      <c r="K40" s="58" t="s">
        <v>1165</v>
      </c>
      <c r="L40" s="40"/>
      <c r="M40" s="40"/>
      <c r="N40" s="40"/>
    </row>
    <row r="41" spans="1:14" x14ac:dyDescent="0.25">
      <c r="A41" s="54">
        <v>75012</v>
      </c>
      <c r="B41" s="54" t="s">
        <v>970</v>
      </c>
      <c r="C41" s="54" t="s">
        <v>984</v>
      </c>
      <c r="D41" s="58">
        <f>'branches '!AE47</f>
        <v>29.752898663052306</v>
      </c>
      <c r="E41" s="58">
        <f>'branches '!AF47</f>
        <v>17</v>
      </c>
      <c r="F41" s="58" t="e">
        <f>'branches '!#REF!</f>
        <v>#REF!</v>
      </c>
      <c r="G41" s="58" t="e">
        <f>'branches '!#REF!</f>
        <v>#REF!</v>
      </c>
      <c r="H41" s="55">
        <f>'branches '!AG47</f>
        <v>0.57137290025159504</v>
      </c>
      <c r="I41" s="58">
        <f>'branches '!AH47</f>
        <v>0</v>
      </c>
      <c r="J41" s="58">
        <f>'branches '!AI47</f>
        <v>0</v>
      </c>
      <c r="K41" s="55" t="e">
        <f>'branches '!AJ47</f>
        <v>#DIV/0!</v>
      </c>
      <c r="L41" s="40"/>
      <c r="M41" s="40"/>
      <c r="N41" s="40"/>
    </row>
    <row r="42" spans="1:14" x14ac:dyDescent="0.25">
      <c r="A42" s="54">
        <v>75015</v>
      </c>
      <c r="B42" s="54" t="s">
        <v>970</v>
      </c>
      <c r="C42" s="54" t="s">
        <v>996</v>
      </c>
      <c r="D42" s="58">
        <f>'branches '!AE48</f>
        <v>34.003312757774061</v>
      </c>
      <c r="E42" s="58">
        <f>'branches '!AF48</f>
        <v>18</v>
      </c>
      <c r="F42" s="58" t="e">
        <f>'branches '!#REF!</f>
        <v>#REF!</v>
      </c>
      <c r="G42" s="58" t="e">
        <f>'branches '!#REF!</f>
        <v>#REF!</v>
      </c>
      <c r="H42" s="55">
        <f>'branches '!AG48</f>
        <v>0.5293601869978013</v>
      </c>
      <c r="I42" s="58">
        <f>'branches '!AH48</f>
        <v>12.433456014057043</v>
      </c>
      <c r="J42" s="58">
        <f>'branches '!AI48</f>
        <v>0</v>
      </c>
      <c r="K42" s="55">
        <f>'branches '!AJ48</f>
        <v>0</v>
      </c>
      <c r="L42" s="40"/>
      <c r="M42" s="40"/>
      <c r="N42" s="40"/>
    </row>
    <row r="43" spans="1:14" x14ac:dyDescent="0.25">
      <c r="A43" s="54">
        <v>75016</v>
      </c>
      <c r="B43" s="54" t="s">
        <v>970</v>
      </c>
      <c r="C43" s="54" t="s">
        <v>1005</v>
      </c>
      <c r="D43" s="58">
        <f>'branches '!AE49</f>
        <v>34.003312757774061</v>
      </c>
      <c r="E43" s="58">
        <f>'branches '!AF49</f>
        <v>10</v>
      </c>
      <c r="F43" s="58" t="e">
        <f>'branches '!#REF!</f>
        <v>#REF!</v>
      </c>
      <c r="G43" s="58" t="e">
        <f>'branches '!#REF!</f>
        <v>#REF!</v>
      </c>
      <c r="H43" s="55">
        <f>'branches '!AG49</f>
        <v>0.29408899277655626</v>
      </c>
      <c r="I43" s="58">
        <f>'branches '!AH49</f>
        <v>12.433456014057045</v>
      </c>
      <c r="J43" s="58">
        <f>'branches '!AI49</f>
        <v>0</v>
      </c>
      <c r="K43" s="55">
        <f>'branches '!AJ49</f>
        <v>0</v>
      </c>
      <c r="L43" s="40"/>
      <c r="M43" s="40"/>
      <c r="N43" s="40"/>
    </row>
    <row r="44" spans="1:14" x14ac:dyDescent="0.25">
      <c r="A44" s="54">
        <v>75021</v>
      </c>
      <c r="B44" s="54" t="s">
        <v>970</v>
      </c>
      <c r="C44" s="54" t="s">
        <v>1016</v>
      </c>
      <c r="D44" s="58">
        <f>'branches '!AE50</f>
        <v>34.003312757774061</v>
      </c>
      <c r="E44" s="58">
        <f>'branches '!AF50</f>
        <v>9</v>
      </c>
      <c r="F44" s="58" t="e">
        <f>'branches '!#REF!</f>
        <v>#REF!</v>
      </c>
      <c r="G44" s="58" t="e">
        <f>'branches '!#REF!</f>
        <v>#REF!</v>
      </c>
      <c r="H44" s="55">
        <f>'branches '!AG50</f>
        <v>0.26468009349890065</v>
      </c>
      <c r="I44" s="58">
        <f>'branches '!AH50</f>
        <v>17.762080020081491</v>
      </c>
      <c r="J44" s="58">
        <f>'branches '!AI50</f>
        <v>12</v>
      </c>
      <c r="K44" s="55">
        <f>'branches '!AJ50</f>
        <v>0.67559655099138238</v>
      </c>
      <c r="L44" s="40"/>
      <c r="M44" s="40"/>
      <c r="N44" s="40"/>
    </row>
    <row r="45" spans="1:14" x14ac:dyDescent="0.25">
      <c r="A45" s="54">
        <v>75008</v>
      </c>
      <c r="B45" s="54" t="s">
        <v>970</v>
      </c>
      <c r="C45" s="54" t="s">
        <v>1051</v>
      </c>
      <c r="D45" s="58">
        <f>'branches '!AE51</f>
        <v>144.51407922053974</v>
      </c>
      <c r="E45" s="58">
        <f>'branches '!AF51</f>
        <v>48</v>
      </c>
      <c r="F45" s="58" t="e">
        <f>'branches '!#REF!</f>
        <v>#REF!</v>
      </c>
      <c r="G45" s="58" t="e">
        <f>'branches '!#REF!</f>
        <v>#REF!</v>
      </c>
      <c r="H45" s="55">
        <f>'branches '!AG51</f>
        <v>0.33214756831234599</v>
      </c>
      <c r="I45" s="58">
        <f>'branches '!AH51</f>
        <v>79.9293600903667</v>
      </c>
      <c r="J45" s="58">
        <f>'branches '!AI51</f>
        <v>19</v>
      </c>
      <c r="K45" s="55">
        <f>'branches '!AJ51</f>
        <v>0.23770989757104199</v>
      </c>
      <c r="L45" s="40"/>
      <c r="M45" s="40"/>
      <c r="N45" s="40"/>
    </row>
    <row r="46" spans="1:14" x14ac:dyDescent="0.25">
      <c r="A46" s="54">
        <v>75032</v>
      </c>
      <c r="B46" s="54" t="s">
        <v>970</v>
      </c>
      <c r="C46" s="54" t="s">
        <v>1077</v>
      </c>
      <c r="D46" s="58">
        <f>'branches '!AE52</f>
        <v>29.752898663052306</v>
      </c>
      <c r="E46" s="58">
        <f>'branches '!AF52</f>
        <v>14</v>
      </c>
      <c r="F46" s="58" t="e">
        <f>'branches '!#REF!</f>
        <v>#REF!</v>
      </c>
      <c r="G46" s="58" t="e">
        <f>'branches '!#REF!</f>
        <v>#REF!</v>
      </c>
      <c r="H46" s="55">
        <f>'branches '!AG52</f>
        <v>0.47054238844249002</v>
      </c>
      <c r="I46" s="58">
        <f>'branches '!AH52</f>
        <v>0</v>
      </c>
      <c r="J46" s="58">
        <f>'branches '!AI52</f>
        <v>1</v>
      </c>
      <c r="K46" s="58" t="s">
        <v>1165</v>
      </c>
      <c r="L46" s="40"/>
      <c r="M46" s="40"/>
      <c r="N46" s="40"/>
    </row>
    <row r="47" spans="1:14" x14ac:dyDescent="0.25">
      <c r="A47" s="298" t="s">
        <v>27</v>
      </c>
      <c r="B47" s="299"/>
      <c r="C47" s="300"/>
      <c r="D47" s="73">
        <f>SUM(D40:D46)</f>
        <v>425.04140947217576</v>
      </c>
      <c r="E47" s="73">
        <f>SUM(E40:E46)</f>
        <v>139</v>
      </c>
      <c r="F47" s="73" t="e">
        <f>SUM(F40:F46)</f>
        <v>#REF!</v>
      </c>
      <c r="G47" s="73" t="e">
        <f>SUM(G40:G46)</f>
        <v>#REF!</v>
      </c>
      <c r="H47" s="74" t="e">
        <f>G47/D47</f>
        <v>#REF!</v>
      </c>
      <c r="I47" s="52">
        <f>SUM(I40:I46)</f>
        <v>177.62080020081493</v>
      </c>
      <c r="J47" s="52">
        <f>SUM(J40:J46)</f>
        <v>39</v>
      </c>
      <c r="K47" s="53">
        <f>J47/I47</f>
        <v>0.21956887907219927</v>
      </c>
      <c r="L47" s="40"/>
      <c r="M47" s="40"/>
      <c r="N47" s="40"/>
    </row>
    <row r="48" spans="1:14" x14ac:dyDescent="0.25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</row>
    <row r="49" spans="1:14" x14ac:dyDescent="0.25">
      <c r="A49" s="302" t="s">
        <v>508</v>
      </c>
      <c r="B49" s="302" t="s">
        <v>18</v>
      </c>
      <c r="C49" s="302" t="s">
        <v>19</v>
      </c>
      <c r="D49" s="285" t="s">
        <v>1153</v>
      </c>
      <c r="E49" s="286"/>
      <c r="F49" s="286"/>
      <c r="G49" s="286"/>
      <c r="H49" s="286"/>
      <c r="I49" s="307" t="s">
        <v>501</v>
      </c>
      <c r="J49" s="307"/>
      <c r="K49" s="307"/>
      <c r="L49" s="307"/>
      <c r="M49" s="307"/>
      <c r="N49" s="40"/>
    </row>
    <row r="50" spans="1:14" x14ac:dyDescent="0.25">
      <c r="A50" s="302"/>
      <c r="B50" s="302"/>
      <c r="C50" s="302"/>
      <c r="D50" s="50" t="s">
        <v>24</v>
      </c>
      <c r="E50" s="50" t="s">
        <v>25</v>
      </c>
      <c r="F50" s="50" t="s">
        <v>26</v>
      </c>
      <c r="G50" s="50" t="s">
        <v>27</v>
      </c>
      <c r="H50" s="51" t="s">
        <v>28</v>
      </c>
      <c r="I50" s="52" t="s">
        <v>24</v>
      </c>
      <c r="J50" s="52" t="s">
        <v>25</v>
      </c>
      <c r="K50" s="52" t="s">
        <v>26</v>
      </c>
      <c r="L50" s="52" t="s">
        <v>27</v>
      </c>
      <c r="M50" s="53" t="s">
        <v>28</v>
      </c>
      <c r="N50" s="40"/>
    </row>
    <row r="51" spans="1:14" x14ac:dyDescent="0.25">
      <c r="A51" s="54">
        <v>75011</v>
      </c>
      <c r="B51" s="54" t="s">
        <v>970</v>
      </c>
      <c r="C51" s="54" t="s">
        <v>971</v>
      </c>
      <c r="D51" s="58">
        <f>'branches '!V46</f>
        <v>1062.6171294010271</v>
      </c>
      <c r="E51" s="58">
        <f>'branches '!W46</f>
        <v>180</v>
      </c>
      <c r="F51" s="58" t="e">
        <f>'branches '!#REF!</f>
        <v>#REF!</v>
      </c>
      <c r="G51" s="58" t="e">
        <f>'branches '!#REF!</f>
        <v>#REF!</v>
      </c>
      <c r="H51" s="55">
        <f>'branches '!X46</f>
        <v>0.16939309090703428</v>
      </c>
      <c r="I51" s="58">
        <f>'branches '!Y46</f>
        <v>41.306087663201218</v>
      </c>
      <c r="J51" s="58">
        <f>'branches '!Z46</f>
        <v>2</v>
      </c>
      <c r="K51" s="58" t="e">
        <f>'branches '!#REF!</f>
        <v>#REF!</v>
      </c>
      <c r="L51" s="58" t="e">
        <f>'branches '!#REF!</f>
        <v>#REF!</v>
      </c>
      <c r="M51" s="55">
        <f>'branches '!AA46</f>
        <v>4.8419013107885323E-2</v>
      </c>
      <c r="N51" s="40"/>
    </row>
    <row r="52" spans="1:14" x14ac:dyDescent="0.25">
      <c r="A52" s="54">
        <v>75012</v>
      </c>
      <c r="B52" s="54" t="s">
        <v>970</v>
      </c>
      <c r="C52" s="54" t="s">
        <v>984</v>
      </c>
      <c r="D52" s="58">
        <f>'branches '!V47</f>
        <v>265.65428235025678</v>
      </c>
      <c r="E52" s="58">
        <f>'branches '!W47</f>
        <v>158</v>
      </c>
      <c r="F52" s="58" t="e">
        <f>'branches '!#REF!</f>
        <v>#REF!</v>
      </c>
      <c r="G52" s="58" t="e">
        <f>'branches '!#REF!</f>
        <v>#REF!</v>
      </c>
      <c r="H52" s="55">
        <f>'branches '!X47</f>
        <v>0.59475796362914257</v>
      </c>
      <c r="I52" s="58">
        <f>'branches '!Y47</f>
        <v>10.326521915800305</v>
      </c>
      <c r="J52" s="58">
        <f>'branches '!Z47</f>
        <v>3</v>
      </c>
      <c r="K52" s="58" t="e">
        <f>'branches '!#REF!</f>
        <v>#REF!</v>
      </c>
      <c r="L52" s="58" t="e">
        <f>'branches '!#REF!</f>
        <v>#REF!</v>
      </c>
      <c r="M52" s="55">
        <f>'branches '!AA47</f>
        <v>0.29051407864731194</v>
      </c>
      <c r="N52" s="40"/>
    </row>
    <row r="53" spans="1:14" x14ac:dyDescent="0.25">
      <c r="A53" s="54">
        <v>75015</v>
      </c>
      <c r="B53" s="54" t="s">
        <v>970</v>
      </c>
      <c r="C53" s="54" t="s">
        <v>996</v>
      </c>
      <c r="D53" s="58">
        <f>'branches '!V48</f>
        <v>303.60489411457911</v>
      </c>
      <c r="E53" s="58">
        <f>'branches '!W48</f>
        <v>175</v>
      </c>
      <c r="F53" s="58" t="e">
        <f>'branches '!#REF!</f>
        <v>#REF!</v>
      </c>
      <c r="G53" s="58" t="e">
        <f>'branches '!#REF!</f>
        <v>#REF!</v>
      </c>
      <c r="H53" s="55">
        <f>'branches '!X48</f>
        <v>0.57640704544754739</v>
      </c>
      <c r="I53" s="58">
        <f>'branches '!Y48</f>
        <v>11.801739332343203</v>
      </c>
      <c r="J53" s="58">
        <f>'branches '!Z48</f>
        <v>5</v>
      </c>
      <c r="K53" s="58" t="e">
        <f>'branches '!#REF!</f>
        <v>#REF!</v>
      </c>
      <c r="L53" s="58" t="e">
        <f>'branches '!#REF!</f>
        <v>#REF!</v>
      </c>
      <c r="M53" s="55">
        <f>'branches '!AA48</f>
        <v>0.42366636469399666</v>
      </c>
      <c r="N53" s="40"/>
    </row>
    <row r="54" spans="1:14" x14ac:dyDescent="0.25">
      <c r="A54" s="54">
        <v>75016</v>
      </c>
      <c r="B54" s="54" t="s">
        <v>970</v>
      </c>
      <c r="C54" s="54" t="s">
        <v>1005</v>
      </c>
      <c r="D54" s="58">
        <f>'branches '!V49</f>
        <v>303.60489411457911</v>
      </c>
      <c r="E54" s="58">
        <f>'branches '!W49</f>
        <v>155</v>
      </c>
      <c r="F54" s="58" t="e">
        <f>'branches '!#REF!</f>
        <v>#REF!</v>
      </c>
      <c r="G54" s="58" t="e">
        <f>'branches '!#REF!</f>
        <v>#REF!</v>
      </c>
      <c r="H54" s="55">
        <f>'branches '!X49</f>
        <v>0.51053195453925626</v>
      </c>
      <c r="I54" s="58">
        <f>'branches '!Y49</f>
        <v>11.801739332343203</v>
      </c>
      <c r="J54" s="58">
        <f>'branches '!Z49</f>
        <v>1</v>
      </c>
      <c r="K54" s="58" t="e">
        <f>'branches '!#REF!</f>
        <v>#REF!</v>
      </c>
      <c r="L54" s="58" t="e">
        <f>'branches '!#REF!</f>
        <v>#REF!</v>
      </c>
      <c r="M54" s="55">
        <f>'branches '!AA49</f>
        <v>8.4733272938799328E-2</v>
      </c>
      <c r="N54" s="40"/>
    </row>
    <row r="55" spans="1:14" x14ac:dyDescent="0.25">
      <c r="A55" s="54">
        <v>75021</v>
      </c>
      <c r="B55" s="54" t="s">
        <v>970</v>
      </c>
      <c r="C55" s="54" t="s">
        <v>1016</v>
      </c>
      <c r="D55" s="58">
        <f>'branches '!V50</f>
        <v>303.60489411457917</v>
      </c>
      <c r="E55" s="58">
        <f>'branches '!W50</f>
        <v>255</v>
      </c>
      <c r="F55" s="58" t="e">
        <f>'branches '!#REF!</f>
        <v>#REF!</v>
      </c>
      <c r="G55" s="58" t="e">
        <f>'branches '!#REF!</f>
        <v>#REF!</v>
      </c>
      <c r="H55" s="55">
        <f>'branches '!X50</f>
        <v>0.83990740908071171</v>
      </c>
      <c r="I55" s="58">
        <f>'branches '!Y50</f>
        <v>11.801739332343203</v>
      </c>
      <c r="J55" s="58">
        <f>'branches '!Z50</f>
        <v>3</v>
      </c>
      <c r="K55" s="58" t="e">
        <f>'branches '!#REF!</f>
        <v>#REF!</v>
      </c>
      <c r="L55" s="58" t="e">
        <f>'branches '!#REF!</f>
        <v>#REF!</v>
      </c>
      <c r="M55" s="55">
        <f>'branches '!AA50</f>
        <v>0.25419981881639797</v>
      </c>
      <c r="N55" s="40"/>
    </row>
    <row r="56" spans="1:14" x14ac:dyDescent="0.25">
      <c r="A56" s="54">
        <v>75008</v>
      </c>
      <c r="B56" s="54" t="s">
        <v>970</v>
      </c>
      <c r="C56" s="54" t="s">
        <v>1051</v>
      </c>
      <c r="D56" s="58">
        <f>'branches '!V51</f>
        <v>1290.320799986961</v>
      </c>
      <c r="E56" s="58">
        <f>'branches '!W51</f>
        <v>509</v>
      </c>
      <c r="F56" s="58" t="e">
        <f>'branches '!#REF!</f>
        <v>#REF!</v>
      </c>
      <c r="G56" s="58" t="e">
        <f>'branches '!#REF!</f>
        <v>#REF!</v>
      </c>
      <c r="H56" s="55">
        <f>'branches '!X51</f>
        <v>0.39447554438023752</v>
      </c>
      <c r="I56" s="58">
        <f>'branches '!Y51</f>
        <v>50.157392162458621</v>
      </c>
      <c r="J56" s="58">
        <f>'branches '!Z51</f>
        <v>28</v>
      </c>
      <c r="K56" s="58" t="e">
        <f>'branches '!#REF!</f>
        <v>#REF!</v>
      </c>
      <c r="L56" s="58" t="e">
        <f>'branches '!#REF!</f>
        <v>#REF!</v>
      </c>
      <c r="M56" s="55">
        <f>'branches '!AA51</f>
        <v>0.55824273936150137</v>
      </c>
      <c r="N56" s="40"/>
    </row>
    <row r="57" spans="1:14" x14ac:dyDescent="0.25">
      <c r="A57" s="54">
        <v>75032</v>
      </c>
      <c r="B57" s="54" t="s">
        <v>970</v>
      </c>
      <c r="C57" s="54" t="s">
        <v>1077</v>
      </c>
      <c r="D57" s="58">
        <f>'branches '!V52</f>
        <v>265.65428235025678</v>
      </c>
      <c r="E57" s="58">
        <f>'branches '!W52</f>
        <v>160</v>
      </c>
      <c r="F57" s="58" t="e">
        <f>'branches '!#REF!</f>
        <v>#REF!</v>
      </c>
      <c r="G57" s="58" t="e">
        <f>'branches '!#REF!</f>
        <v>#REF!</v>
      </c>
      <c r="H57" s="55">
        <f>'branches '!X52</f>
        <v>0.60228654544723303</v>
      </c>
      <c r="I57" s="58">
        <f>'branches '!Y52</f>
        <v>10.326521915800305</v>
      </c>
      <c r="J57" s="58">
        <f>'branches '!Z52</f>
        <v>1</v>
      </c>
      <c r="K57" s="58" t="e">
        <f>'branches '!#REF!</f>
        <v>#REF!</v>
      </c>
      <c r="L57" s="58" t="e">
        <f>'branches '!#REF!</f>
        <v>#REF!</v>
      </c>
      <c r="M57" s="55">
        <f>'branches '!AA52</f>
        <v>9.6838026215770645E-2</v>
      </c>
      <c r="N57" s="40"/>
    </row>
    <row r="58" spans="1:14" x14ac:dyDescent="0.25">
      <c r="A58" s="298" t="s">
        <v>27</v>
      </c>
      <c r="B58" s="299"/>
      <c r="C58" s="300"/>
      <c r="D58" s="73">
        <f>SUM(D51:D57)</f>
        <v>3795.0611764322393</v>
      </c>
      <c r="E58" s="73">
        <f>SUM(E51:E57)</f>
        <v>1592</v>
      </c>
      <c r="F58" s="73" t="e">
        <f>SUM(F51:F57)</f>
        <v>#REF!</v>
      </c>
      <c r="G58" s="73" t="e">
        <f>SUM(G51:G57)</f>
        <v>#REF!</v>
      </c>
      <c r="H58" s="74" t="e">
        <f>G58/D58</f>
        <v>#REF!</v>
      </c>
      <c r="I58" s="52">
        <f>SUM(I51:I57)</f>
        <v>147.52174165429005</v>
      </c>
      <c r="J58" s="52">
        <f>SUM(J51:J57)</f>
        <v>43</v>
      </c>
      <c r="K58" s="52" t="e">
        <f>SUM(K51:K57)</f>
        <v>#REF!</v>
      </c>
      <c r="L58" s="52" t="e">
        <f>SUM(L51:L57)</f>
        <v>#REF!</v>
      </c>
      <c r="M58" s="53" t="e">
        <f>L58/I58</f>
        <v>#REF!</v>
      </c>
      <c r="N58" s="40"/>
    </row>
    <row r="59" spans="1:14" x14ac:dyDescent="0.25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</row>
    <row r="60" spans="1:14" x14ac:dyDescent="0.25">
      <c r="A60" s="302" t="s">
        <v>508</v>
      </c>
      <c r="B60" s="302" t="s">
        <v>18</v>
      </c>
      <c r="C60" s="302" t="s">
        <v>19</v>
      </c>
      <c r="D60" s="285" t="s">
        <v>1152</v>
      </c>
      <c r="E60" s="286"/>
      <c r="F60" s="286"/>
      <c r="G60" s="286"/>
      <c r="H60" s="286"/>
      <c r="I60" s="288" t="s">
        <v>1160</v>
      </c>
      <c r="J60" s="288"/>
      <c r="K60" s="288"/>
      <c r="L60" s="287" t="s">
        <v>1157</v>
      </c>
      <c r="M60" s="287"/>
      <c r="N60" s="287"/>
    </row>
    <row r="61" spans="1:14" x14ac:dyDescent="0.25">
      <c r="A61" s="302"/>
      <c r="B61" s="302"/>
      <c r="C61" s="302"/>
      <c r="D61" s="50" t="s">
        <v>24</v>
      </c>
      <c r="E61" s="50" t="s">
        <v>25</v>
      </c>
      <c r="F61" s="50" t="s">
        <v>26</v>
      </c>
      <c r="G61" s="50" t="s">
        <v>27</v>
      </c>
      <c r="H61" s="51" t="s">
        <v>28</v>
      </c>
      <c r="I61" s="77" t="s">
        <v>24</v>
      </c>
      <c r="J61" s="77" t="s">
        <v>29</v>
      </c>
      <c r="K61" s="78" t="s">
        <v>28</v>
      </c>
      <c r="L61" s="73" t="s">
        <v>24</v>
      </c>
      <c r="M61" s="50" t="s">
        <v>29</v>
      </c>
      <c r="N61" s="51" t="s">
        <v>28</v>
      </c>
    </row>
    <row r="62" spans="1:14" x14ac:dyDescent="0.25">
      <c r="A62" s="54">
        <v>75011</v>
      </c>
      <c r="B62" s="54" t="s">
        <v>970</v>
      </c>
      <c r="C62" s="54" t="s">
        <v>971</v>
      </c>
      <c r="D62" s="58">
        <f>'branches '!AB46</f>
        <v>53.76343942393639</v>
      </c>
      <c r="E62" s="58">
        <f>'branches '!AC46</f>
        <v>14</v>
      </c>
      <c r="F62" s="58" t="e">
        <f>'branches '!#REF!</f>
        <v>#REF!</v>
      </c>
      <c r="G62" s="58" t="e">
        <f>'branches '!#REF!</f>
        <v>#REF!</v>
      </c>
      <c r="H62" s="55">
        <f>'branches '!AD46</f>
        <v>0.26040000695652971</v>
      </c>
      <c r="I62" s="58" t="e">
        <f>'branches '!#REF!</f>
        <v>#REF!</v>
      </c>
      <c r="J62" s="58" t="e">
        <f>'branches '!#REF!</f>
        <v>#REF!</v>
      </c>
      <c r="K62" s="55" t="e">
        <f>'branches '!#REF!</f>
        <v>#REF!</v>
      </c>
      <c r="L62" s="58" t="e">
        <f>'branches '!#REF!</f>
        <v>#REF!</v>
      </c>
      <c r="M62" s="58" t="e">
        <f>'branches '!#REF!</f>
        <v>#REF!</v>
      </c>
      <c r="N62" s="55" t="e">
        <f>'branches '!#REF!</f>
        <v>#REF!</v>
      </c>
    </row>
    <row r="63" spans="1:14" x14ac:dyDescent="0.25">
      <c r="A63" s="54">
        <v>75012</v>
      </c>
      <c r="B63" s="54" t="s">
        <v>970</v>
      </c>
      <c r="C63" s="54" t="s">
        <v>984</v>
      </c>
      <c r="D63" s="58">
        <f>'branches '!AB47</f>
        <v>13.440859855984097</v>
      </c>
      <c r="E63" s="58">
        <f>'branches '!AC47</f>
        <v>12</v>
      </c>
      <c r="F63" s="58" t="e">
        <f>'branches '!#REF!</f>
        <v>#REF!</v>
      </c>
      <c r="G63" s="58" t="e">
        <f>'branches '!#REF!</f>
        <v>#REF!</v>
      </c>
      <c r="H63" s="55">
        <f>'branches '!AD47</f>
        <v>0.89280002385095902</v>
      </c>
      <c r="I63" s="58" t="e">
        <f>'branches '!#REF!</f>
        <v>#REF!</v>
      </c>
      <c r="J63" s="58" t="e">
        <f>'branches '!#REF!</f>
        <v>#REF!</v>
      </c>
      <c r="K63" s="55" t="e">
        <f>'branches '!#REF!</f>
        <v>#REF!</v>
      </c>
      <c r="L63" s="58" t="e">
        <f>'branches '!#REF!</f>
        <v>#REF!</v>
      </c>
      <c r="M63" s="58" t="e">
        <f>'branches '!#REF!</f>
        <v>#REF!</v>
      </c>
      <c r="N63" s="55" t="e">
        <f>'branches '!#REF!</f>
        <v>#REF!</v>
      </c>
    </row>
    <row r="64" spans="1:14" x14ac:dyDescent="0.25">
      <c r="A64" s="54">
        <v>75015</v>
      </c>
      <c r="B64" s="54" t="s">
        <v>970</v>
      </c>
      <c r="C64" s="54" t="s">
        <v>996</v>
      </c>
      <c r="D64" s="58">
        <f>'branches '!AB48</f>
        <v>15.360982692553254</v>
      </c>
      <c r="E64" s="58">
        <f>'branches '!AC48</f>
        <v>23</v>
      </c>
      <c r="F64" s="58" t="e">
        <f>'branches '!#REF!</f>
        <v>#REF!</v>
      </c>
      <c r="G64" s="58" t="e">
        <f>'branches '!#REF!</f>
        <v>#REF!</v>
      </c>
      <c r="H64" s="55">
        <f>'branches '!AD48</f>
        <v>1.497300040000046</v>
      </c>
      <c r="I64" s="58" t="e">
        <f>'branches '!#REF!</f>
        <v>#REF!</v>
      </c>
      <c r="J64" s="58" t="e">
        <f>'branches '!#REF!</f>
        <v>#REF!</v>
      </c>
      <c r="K64" s="55" t="e">
        <f>'branches '!#REF!</f>
        <v>#REF!</v>
      </c>
      <c r="L64" s="58" t="e">
        <f>'branches '!#REF!</f>
        <v>#REF!</v>
      </c>
      <c r="M64" s="58" t="e">
        <f>'branches '!#REF!</f>
        <v>#REF!</v>
      </c>
      <c r="N64" s="55" t="e">
        <f>'branches '!#REF!</f>
        <v>#REF!</v>
      </c>
    </row>
    <row r="65" spans="1:14" x14ac:dyDescent="0.25">
      <c r="A65" s="54">
        <v>75016</v>
      </c>
      <c r="B65" s="54" t="s">
        <v>970</v>
      </c>
      <c r="C65" s="54" t="s">
        <v>1005</v>
      </c>
      <c r="D65" s="58">
        <f>'branches '!AB49</f>
        <v>15.360982692553254</v>
      </c>
      <c r="E65" s="58">
        <f>'branches '!AC49</f>
        <v>2</v>
      </c>
      <c r="F65" s="58" t="e">
        <f>'branches '!#REF!</f>
        <v>#REF!</v>
      </c>
      <c r="G65" s="58" t="e">
        <f>'branches '!#REF!</f>
        <v>#REF!</v>
      </c>
      <c r="H65" s="55">
        <f>'branches '!AD49</f>
        <v>0.13020000347826485</v>
      </c>
      <c r="I65" s="58" t="e">
        <f>'branches '!#REF!</f>
        <v>#REF!</v>
      </c>
      <c r="J65" s="58" t="e">
        <f>'branches '!#REF!</f>
        <v>#REF!</v>
      </c>
      <c r="K65" s="55" t="e">
        <f>'branches '!#REF!</f>
        <v>#REF!</v>
      </c>
      <c r="L65" s="58" t="e">
        <f>'branches '!#REF!</f>
        <v>#REF!</v>
      </c>
      <c r="M65" s="58" t="e">
        <f>'branches '!#REF!</f>
        <v>#REF!</v>
      </c>
      <c r="N65" s="55" t="e">
        <f>'branches '!#REF!</f>
        <v>#REF!</v>
      </c>
    </row>
    <row r="66" spans="1:14" x14ac:dyDescent="0.25">
      <c r="A66" s="54">
        <v>75021</v>
      </c>
      <c r="B66" s="54" t="s">
        <v>970</v>
      </c>
      <c r="C66" s="54" t="s">
        <v>1016</v>
      </c>
      <c r="D66" s="58">
        <f>'branches '!AB50</f>
        <v>15.360982692553254</v>
      </c>
      <c r="E66" s="58">
        <f>'branches '!AC50</f>
        <v>21</v>
      </c>
      <c r="F66" s="58" t="e">
        <f>'branches '!#REF!</f>
        <v>#REF!</v>
      </c>
      <c r="G66" s="58" t="e">
        <f>'branches '!#REF!</f>
        <v>#REF!</v>
      </c>
      <c r="H66" s="55">
        <f>'branches '!AD50</f>
        <v>1.3671000365217811</v>
      </c>
      <c r="I66" s="58" t="e">
        <f>'branches '!#REF!</f>
        <v>#REF!</v>
      </c>
      <c r="J66" s="58" t="e">
        <f>'branches '!#REF!</f>
        <v>#REF!</v>
      </c>
      <c r="K66" s="55" t="e">
        <f>'branches '!#REF!</f>
        <v>#REF!</v>
      </c>
      <c r="L66" s="58" t="e">
        <f>'branches '!#REF!</f>
        <v>#REF!</v>
      </c>
      <c r="M66" s="58" t="e">
        <f>'branches '!#REF!</f>
        <v>#REF!</v>
      </c>
      <c r="N66" s="55" t="e">
        <f>'branches '!#REF!</f>
        <v>#REF!</v>
      </c>
    </row>
    <row r="67" spans="1:14" x14ac:dyDescent="0.25">
      <c r="A67" s="54">
        <v>75008</v>
      </c>
      <c r="B67" s="54" t="s">
        <v>970</v>
      </c>
      <c r="C67" s="54" t="s">
        <v>1051</v>
      </c>
      <c r="D67" s="58">
        <f>'branches '!AB51</f>
        <v>65.284176443351328</v>
      </c>
      <c r="E67" s="58">
        <f>'branches '!AC51</f>
        <v>65</v>
      </c>
      <c r="F67" s="58" t="e">
        <f>'branches '!#REF!</f>
        <v>#REF!</v>
      </c>
      <c r="G67" s="58" t="e">
        <f>'branches '!#REF!</f>
        <v>#REF!</v>
      </c>
      <c r="H67" s="55">
        <f>'branches '!AD51</f>
        <v>0.9956470854220254</v>
      </c>
      <c r="I67" s="58" t="e">
        <f>'branches '!#REF!</f>
        <v>#REF!</v>
      </c>
      <c r="J67" s="58" t="e">
        <f>'branches '!#REF!</f>
        <v>#REF!</v>
      </c>
      <c r="K67" s="55" t="e">
        <f>'branches '!#REF!</f>
        <v>#REF!</v>
      </c>
      <c r="L67" s="58" t="e">
        <f>'branches '!#REF!</f>
        <v>#REF!</v>
      </c>
      <c r="M67" s="58" t="e">
        <f>'branches '!#REF!</f>
        <v>#REF!</v>
      </c>
      <c r="N67" s="55" t="e">
        <f>'branches '!#REF!</f>
        <v>#REF!</v>
      </c>
    </row>
    <row r="68" spans="1:14" x14ac:dyDescent="0.25">
      <c r="A68" s="54">
        <v>75032</v>
      </c>
      <c r="B68" s="54" t="s">
        <v>970</v>
      </c>
      <c r="C68" s="54" t="s">
        <v>1077</v>
      </c>
      <c r="D68" s="58">
        <f>'branches '!AB52</f>
        <v>13.440859855984097</v>
      </c>
      <c r="E68" s="58">
        <f>'branches '!AC52</f>
        <v>21</v>
      </c>
      <c r="F68" s="58" t="e">
        <f>'branches '!#REF!</f>
        <v>#REF!</v>
      </c>
      <c r="G68" s="58" t="e">
        <f>'branches '!#REF!</f>
        <v>#REF!</v>
      </c>
      <c r="H68" s="55">
        <f>'branches '!AD52</f>
        <v>1.5624000417391783</v>
      </c>
      <c r="I68" s="58" t="e">
        <f>'branches '!#REF!</f>
        <v>#REF!</v>
      </c>
      <c r="J68" s="58" t="e">
        <f>'branches '!#REF!</f>
        <v>#REF!</v>
      </c>
      <c r="K68" s="55" t="e">
        <f>'branches '!#REF!</f>
        <v>#REF!</v>
      </c>
      <c r="L68" s="58" t="e">
        <f>'branches '!#REF!</f>
        <v>#REF!</v>
      </c>
      <c r="M68" s="58" t="e">
        <f>'branches '!#REF!</f>
        <v>#REF!</v>
      </c>
      <c r="N68" s="55" t="e">
        <f>'branches '!#REF!</f>
        <v>#REF!</v>
      </c>
    </row>
    <row r="69" spans="1:14" x14ac:dyDescent="0.25">
      <c r="A69" s="298" t="s">
        <v>27</v>
      </c>
      <c r="B69" s="299"/>
      <c r="C69" s="300"/>
      <c r="D69" s="73">
        <f>SUM(D62:D68)</f>
        <v>192.01228365691566</v>
      </c>
      <c r="E69" s="73">
        <f>SUM(E62:E68)</f>
        <v>158</v>
      </c>
      <c r="F69" s="73" t="e">
        <f>SUM(F62:F68)</f>
        <v>#REF!</v>
      </c>
      <c r="G69" s="73" t="e">
        <f>SUM(G62:G68)</f>
        <v>#REF!</v>
      </c>
      <c r="H69" s="51" t="e">
        <f>G69/D69</f>
        <v>#REF!</v>
      </c>
      <c r="I69" s="52" t="e">
        <f>SUM(I62:I68)</f>
        <v>#REF!</v>
      </c>
      <c r="J69" s="52" t="e">
        <f>SUM(J62:J68)</f>
        <v>#REF!</v>
      </c>
      <c r="K69" s="53" t="e">
        <f>J69/I69</f>
        <v>#REF!</v>
      </c>
      <c r="L69" s="73" t="e">
        <f>SUM(L62:L68)</f>
        <v>#REF!</v>
      </c>
      <c r="M69" s="73" t="e">
        <f>SUM(M62:M68)</f>
        <v>#REF!</v>
      </c>
      <c r="N69" s="51" t="e">
        <f>M69/L69</f>
        <v>#REF!</v>
      </c>
    </row>
    <row r="70" spans="1:14" x14ac:dyDescent="0.25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4" x14ac:dyDescent="0.25">
      <c r="A71" s="302" t="s">
        <v>508</v>
      </c>
      <c r="B71" s="302" t="s">
        <v>18</v>
      </c>
      <c r="C71" s="302" t="s">
        <v>19</v>
      </c>
      <c r="D71" s="287" t="s">
        <v>1142</v>
      </c>
      <c r="E71" s="287"/>
      <c r="F71" s="287"/>
      <c r="G71" s="288" t="s">
        <v>1158</v>
      </c>
      <c r="H71" s="288"/>
      <c r="I71" s="288"/>
      <c r="J71" s="287" t="s">
        <v>1159</v>
      </c>
      <c r="K71" s="287"/>
      <c r="L71" s="287"/>
      <c r="M71" s="40"/>
      <c r="N71" s="40"/>
    </row>
    <row r="72" spans="1:14" x14ac:dyDescent="0.25">
      <c r="A72" s="302"/>
      <c r="B72" s="302"/>
      <c r="C72" s="302"/>
      <c r="D72" s="50" t="s">
        <v>24</v>
      </c>
      <c r="E72" s="50" t="s">
        <v>29</v>
      </c>
      <c r="F72" s="76" t="s">
        <v>28</v>
      </c>
      <c r="G72" s="77" t="s">
        <v>24</v>
      </c>
      <c r="H72" s="77" t="s">
        <v>29</v>
      </c>
      <c r="I72" s="78" t="s">
        <v>28</v>
      </c>
      <c r="J72" s="73" t="s">
        <v>24</v>
      </c>
      <c r="K72" s="50" t="s">
        <v>29</v>
      </c>
      <c r="L72" s="51" t="s">
        <v>28</v>
      </c>
      <c r="M72" s="40"/>
      <c r="N72" s="40"/>
    </row>
    <row r="73" spans="1:14" x14ac:dyDescent="0.25">
      <c r="A73" s="54">
        <v>75011</v>
      </c>
      <c r="B73" s="54" t="s">
        <v>970</v>
      </c>
      <c r="C73" s="54" t="s">
        <v>971</v>
      </c>
      <c r="D73" s="58" t="e">
        <f>'branches '!#REF!</f>
        <v>#REF!</v>
      </c>
      <c r="E73" s="58" t="e">
        <f>'branches '!#REF!</f>
        <v>#REF!</v>
      </c>
      <c r="F73" s="55" t="e">
        <f>'branches '!#REF!</f>
        <v>#REF!</v>
      </c>
      <c r="G73" s="58" t="e">
        <f>'branches '!#REF!</f>
        <v>#REF!</v>
      </c>
      <c r="H73" s="58" t="e">
        <f>'branches '!#REF!</f>
        <v>#REF!</v>
      </c>
      <c r="I73" s="55" t="e">
        <f>'branches '!#REF!</f>
        <v>#REF!</v>
      </c>
      <c r="J73" s="58" t="e">
        <f>'branches '!#REF!</f>
        <v>#REF!</v>
      </c>
      <c r="K73" s="58" t="e">
        <f>'branches '!#REF!</f>
        <v>#REF!</v>
      </c>
      <c r="L73" s="55" t="e">
        <f>'branches '!#REF!</f>
        <v>#REF!</v>
      </c>
      <c r="M73" s="40"/>
      <c r="N73" s="40"/>
    </row>
    <row r="74" spans="1:14" x14ac:dyDescent="0.25">
      <c r="A74" s="54">
        <v>75012</v>
      </c>
      <c r="B74" s="54" t="s">
        <v>970</v>
      </c>
      <c r="C74" s="54" t="s">
        <v>984</v>
      </c>
      <c r="D74" s="58" t="e">
        <f>'branches '!#REF!</f>
        <v>#REF!</v>
      </c>
      <c r="E74" s="58" t="e">
        <f>'branches '!#REF!</f>
        <v>#REF!</v>
      </c>
      <c r="F74" s="55" t="e">
        <f>'branches '!#REF!</f>
        <v>#REF!</v>
      </c>
      <c r="G74" s="58" t="e">
        <f>'branches '!#REF!</f>
        <v>#REF!</v>
      </c>
      <c r="H74" s="58" t="e">
        <f>'branches '!#REF!</f>
        <v>#REF!</v>
      </c>
      <c r="I74" s="55" t="e">
        <f>'branches '!#REF!</f>
        <v>#REF!</v>
      </c>
      <c r="J74" s="58" t="e">
        <f>'branches '!#REF!</f>
        <v>#REF!</v>
      </c>
      <c r="K74" s="58" t="e">
        <f>'branches '!#REF!</f>
        <v>#REF!</v>
      </c>
      <c r="L74" s="55" t="e">
        <f>'branches '!#REF!</f>
        <v>#REF!</v>
      </c>
      <c r="M74" s="40"/>
      <c r="N74" s="40"/>
    </row>
    <row r="75" spans="1:14" x14ac:dyDescent="0.25">
      <c r="A75" s="54">
        <v>75015</v>
      </c>
      <c r="B75" s="54" t="s">
        <v>970</v>
      </c>
      <c r="C75" s="54" t="s">
        <v>996</v>
      </c>
      <c r="D75" s="58" t="e">
        <f>'branches '!#REF!</f>
        <v>#REF!</v>
      </c>
      <c r="E75" s="58" t="e">
        <f>'branches '!#REF!</f>
        <v>#REF!</v>
      </c>
      <c r="F75" s="55" t="e">
        <f>'branches '!#REF!</f>
        <v>#REF!</v>
      </c>
      <c r="G75" s="58" t="e">
        <f>'branches '!#REF!</f>
        <v>#REF!</v>
      </c>
      <c r="H75" s="58" t="e">
        <f>'branches '!#REF!</f>
        <v>#REF!</v>
      </c>
      <c r="I75" s="55" t="e">
        <f>'branches '!#REF!</f>
        <v>#REF!</v>
      </c>
      <c r="J75" s="58" t="e">
        <f>'branches '!#REF!</f>
        <v>#REF!</v>
      </c>
      <c r="K75" s="58" t="e">
        <f>'branches '!#REF!</f>
        <v>#REF!</v>
      </c>
      <c r="L75" s="55" t="e">
        <f>'branches '!#REF!</f>
        <v>#REF!</v>
      </c>
      <c r="M75" s="40"/>
      <c r="N75" s="40"/>
    </row>
    <row r="76" spans="1:14" x14ac:dyDescent="0.25">
      <c r="A76" s="54">
        <v>75016</v>
      </c>
      <c r="B76" s="54" t="s">
        <v>970</v>
      </c>
      <c r="C76" s="54" t="s">
        <v>1005</v>
      </c>
      <c r="D76" s="58" t="e">
        <f>'branches '!#REF!</f>
        <v>#REF!</v>
      </c>
      <c r="E76" s="58" t="e">
        <f>'branches '!#REF!</f>
        <v>#REF!</v>
      </c>
      <c r="F76" s="55" t="e">
        <f>'branches '!#REF!</f>
        <v>#REF!</v>
      </c>
      <c r="G76" s="58" t="e">
        <f>'branches '!#REF!</f>
        <v>#REF!</v>
      </c>
      <c r="H76" s="58" t="e">
        <f>'branches '!#REF!</f>
        <v>#REF!</v>
      </c>
      <c r="I76" s="55" t="e">
        <f>'branches '!#REF!</f>
        <v>#REF!</v>
      </c>
      <c r="J76" s="58" t="e">
        <f>'branches '!#REF!</f>
        <v>#REF!</v>
      </c>
      <c r="K76" s="58" t="e">
        <f>'branches '!#REF!</f>
        <v>#REF!</v>
      </c>
      <c r="L76" s="55" t="e">
        <f>'branches '!#REF!</f>
        <v>#REF!</v>
      </c>
      <c r="M76" s="40"/>
      <c r="N76" s="40"/>
    </row>
    <row r="77" spans="1:14" x14ac:dyDescent="0.25">
      <c r="A77" s="54">
        <v>75021</v>
      </c>
      <c r="B77" s="54" t="s">
        <v>970</v>
      </c>
      <c r="C77" s="54" t="s">
        <v>1016</v>
      </c>
      <c r="D77" s="58" t="e">
        <f>'branches '!#REF!</f>
        <v>#REF!</v>
      </c>
      <c r="E77" s="58" t="e">
        <f>'branches '!#REF!</f>
        <v>#REF!</v>
      </c>
      <c r="F77" s="55" t="e">
        <f>'branches '!#REF!</f>
        <v>#REF!</v>
      </c>
      <c r="G77" s="58" t="e">
        <f>'branches '!#REF!</f>
        <v>#REF!</v>
      </c>
      <c r="H77" s="58" t="e">
        <f>'branches '!#REF!</f>
        <v>#REF!</v>
      </c>
      <c r="I77" s="55" t="e">
        <f>'branches '!#REF!</f>
        <v>#REF!</v>
      </c>
      <c r="J77" s="58" t="e">
        <f>'branches '!#REF!</f>
        <v>#REF!</v>
      </c>
      <c r="K77" s="58" t="e">
        <f>'branches '!#REF!</f>
        <v>#REF!</v>
      </c>
      <c r="L77" s="55" t="e">
        <f>'branches '!#REF!</f>
        <v>#REF!</v>
      </c>
      <c r="M77" s="40"/>
      <c r="N77" s="40"/>
    </row>
    <row r="78" spans="1:14" x14ac:dyDescent="0.25">
      <c r="A78" s="54">
        <v>75008</v>
      </c>
      <c r="B78" s="54" t="s">
        <v>970</v>
      </c>
      <c r="C78" s="54" t="s">
        <v>1051</v>
      </c>
      <c r="D78" s="58" t="e">
        <f>'branches '!#REF!</f>
        <v>#REF!</v>
      </c>
      <c r="E78" s="58" t="e">
        <f>'branches '!#REF!</f>
        <v>#REF!</v>
      </c>
      <c r="F78" s="55" t="e">
        <f>'branches '!#REF!</f>
        <v>#REF!</v>
      </c>
      <c r="G78" s="58" t="e">
        <f>'branches '!#REF!</f>
        <v>#REF!</v>
      </c>
      <c r="H78" s="58" t="e">
        <f>'branches '!#REF!</f>
        <v>#REF!</v>
      </c>
      <c r="I78" s="55" t="e">
        <f>'branches '!#REF!</f>
        <v>#REF!</v>
      </c>
      <c r="J78" s="58" t="e">
        <f>'branches '!#REF!</f>
        <v>#REF!</v>
      </c>
      <c r="K78" s="58" t="e">
        <f>'branches '!#REF!</f>
        <v>#REF!</v>
      </c>
      <c r="L78" s="55" t="e">
        <f>'branches '!#REF!</f>
        <v>#REF!</v>
      </c>
      <c r="M78" s="40"/>
      <c r="N78" s="40"/>
    </row>
    <row r="79" spans="1:14" x14ac:dyDescent="0.25">
      <c r="A79" s="54">
        <v>75032</v>
      </c>
      <c r="B79" s="54" t="s">
        <v>970</v>
      </c>
      <c r="C79" s="54" t="s">
        <v>1077</v>
      </c>
      <c r="D79" s="58" t="e">
        <f>'branches '!#REF!</f>
        <v>#REF!</v>
      </c>
      <c r="E79" s="58" t="e">
        <f>'branches '!#REF!</f>
        <v>#REF!</v>
      </c>
      <c r="F79" s="55" t="e">
        <f>'branches '!#REF!</f>
        <v>#REF!</v>
      </c>
      <c r="G79" s="58" t="e">
        <f>'branches '!#REF!</f>
        <v>#REF!</v>
      </c>
      <c r="H79" s="58" t="e">
        <f>'branches '!#REF!</f>
        <v>#REF!</v>
      </c>
      <c r="I79" s="55" t="e">
        <f>'branches '!#REF!</f>
        <v>#REF!</v>
      </c>
      <c r="J79" s="58" t="e">
        <f>'branches '!#REF!</f>
        <v>#REF!</v>
      </c>
      <c r="K79" s="58" t="e">
        <f>'branches '!#REF!</f>
        <v>#REF!</v>
      </c>
      <c r="L79" s="55" t="e">
        <f>'branches '!#REF!</f>
        <v>#REF!</v>
      </c>
      <c r="M79" s="40"/>
      <c r="N79" s="40"/>
    </row>
    <row r="80" spans="1:14" x14ac:dyDescent="0.25">
      <c r="A80" s="298" t="s">
        <v>27</v>
      </c>
      <c r="B80" s="299"/>
      <c r="C80" s="300"/>
      <c r="D80" s="73" t="e">
        <f>SUM(D73:D79)</f>
        <v>#REF!</v>
      </c>
      <c r="E80" s="73" t="e">
        <f>SUM(E73:E79)</f>
        <v>#REF!</v>
      </c>
      <c r="F80" s="51" t="e">
        <f>E80/D80</f>
        <v>#REF!</v>
      </c>
      <c r="G80" s="52" t="e">
        <f>SUM(G73:G79)</f>
        <v>#REF!</v>
      </c>
      <c r="H80" s="52" t="e">
        <f>SUM(H73:H79)</f>
        <v>#REF!</v>
      </c>
      <c r="I80" s="53" t="e">
        <f>H80/G80</f>
        <v>#REF!</v>
      </c>
      <c r="J80" s="73" t="e">
        <f>SUM(J73:J79)</f>
        <v>#REF!</v>
      </c>
      <c r="K80" s="73" t="e">
        <f>SUM(K73:K79)</f>
        <v>#REF!</v>
      </c>
      <c r="L80" s="51" t="e">
        <f>K80/J80</f>
        <v>#REF!</v>
      </c>
      <c r="M80" s="40"/>
      <c r="N80" s="40"/>
    </row>
    <row r="81" spans="1:14" x14ac:dyDescent="0.25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</row>
    <row r="82" spans="1:14" ht="21.75" x14ac:dyDescent="0.25">
      <c r="A82" s="291" t="s">
        <v>1134</v>
      </c>
      <c r="B82" s="291"/>
      <c r="C82" s="291"/>
      <c r="D82" s="291"/>
      <c r="E82" s="291"/>
      <c r="F82" s="291"/>
      <c r="G82" s="291"/>
      <c r="H82" s="291"/>
      <c r="I82" s="291"/>
      <c r="J82" s="291"/>
      <c r="K82" s="291"/>
      <c r="L82" s="291"/>
      <c r="M82" s="291"/>
      <c r="N82" s="291"/>
    </row>
  </sheetData>
  <mergeCells count="50">
    <mergeCell ref="A1:A3"/>
    <mergeCell ref="B1:N3"/>
    <mergeCell ref="A5:A6"/>
    <mergeCell ref="B5:B6"/>
    <mergeCell ref="C5:C6"/>
    <mergeCell ref="D5:H5"/>
    <mergeCell ref="I5:M5"/>
    <mergeCell ref="N5:N6"/>
    <mergeCell ref="A14:C14"/>
    <mergeCell ref="A16:A17"/>
    <mergeCell ref="B16:B17"/>
    <mergeCell ref="C16:C17"/>
    <mergeCell ref="D16:F16"/>
    <mergeCell ref="J16:L16"/>
    <mergeCell ref="A25:C25"/>
    <mergeCell ref="A27:A28"/>
    <mergeCell ref="B27:B28"/>
    <mergeCell ref="C27:C28"/>
    <mergeCell ref="D27:F27"/>
    <mergeCell ref="G27:I27"/>
    <mergeCell ref="J27:L27"/>
    <mergeCell ref="G16:I16"/>
    <mergeCell ref="I49:M49"/>
    <mergeCell ref="A36:C36"/>
    <mergeCell ref="A38:A39"/>
    <mergeCell ref="B38:B39"/>
    <mergeCell ref="C38:C39"/>
    <mergeCell ref="D38:H38"/>
    <mergeCell ref="I38:K38"/>
    <mergeCell ref="A47:C47"/>
    <mergeCell ref="A49:A50"/>
    <mergeCell ref="B49:B50"/>
    <mergeCell ref="C49:C50"/>
    <mergeCell ref="D49:H49"/>
    <mergeCell ref="A58:C58"/>
    <mergeCell ref="A60:A61"/>
    <mergeCell ref="B60:B61"/>
    <mergeCell ref="C60:C61"/>
    <mergeCell ref="D60:H60"/>
    <mergeCell ref="A80:C80"/>
    <mergeCell ref="A82:N82"/>
    <mergeCell ref="I60:K60"/>
    <mergeCell ref="L60:N60"/>
    <mergeCell ref="A71:A72"/>
    <mergeCell ref="B71:B72"/>
    <mergeCell ref="C71:C72"/>
    <mergeCell ref="D71:F71"/>
    <mergeCell ref="G71:I71"/>
    <mergeCell ref="J71:L71"/>
    <mergeCell ref="A69:C69"/>
  </mergeCells>
  <conditionalFormatting sqref="F18:F24">
    <cfRule type="cellIs" dxfId="53" priority="47" operator="between">
      <formula>0.7</formula>
      <formula>0.89</formula>
    </cfRule>
    <cfRule type="cellIs" dxfId="52" priority="46" operator="lessThan">
      <formula>0.7</formula>
    </cfRule>
    <cfRule type="cellIs" dxfId="51" priority="48" operator="greaterThan">
      <formula>0.89</formula>
    </cfRule>
  </conditionalFormatting>
  <conditionalFormatting sqref="F29:F35">
    <cfRule type="cellIs" dxfId="50" priority="33" operator="greaterThan">
      <formula>0.89</formula>
    </cfRule>
    <cfRule type="cellIs" dxfId="49" priority="32" operator="between">
      <formula>0.7</formula>
      <formula>0.89</formula>
    </cfRule>
    <cfRule type="cellIs" dxfId="48" priority="31" operator="lessThan">
      <formula>0.7</formula>
    </cfRule>
  </conditionalFormatting>
  <conditionalFormatting sqref="F73:F79">
    <cfRule type="cellIs" dxfId="47" priority="7" operator="lessThan">
      <formula>0.7</formula>
    </cfRule>
    <cfRule type="cellIs" dxfId="46" priority="8" operator="between">
      <formula>0.7</formula>
      <formula>0.89</formula>
    </cfRule>
    <cfRule type="cellIs" dxfId="45" priority="9" operator="greaterThan">
      <formula>0.89</formula>
    </cfRule>
  </conditionalFormatting>
  <conditionalFormatting sqref="H7:H13">
    <cfRule type="cellIs" dxfId="44" priority="52" operator="lessThan">
      <formula>0.7</formula>
    </cfRule>
    <cfRule type="cellIs" dxfId="43" priority="54" operator="greaterThan">
      <formula>0.89</formula>
    </cfRule>
    <cfRule type="cellIs" dxfId="42" priority="53" operator="between">
      <formula>0.7</formula>
      <formula>0.89</formula>
    </cfRule>
  </conditionalFormatting>
  <conditionalFormatting sqref="H40:H46">
    <cfRule type="cellIs" dxfId="41" priority="28" operator="lessThan">
      <formula>0.7</formula>
    </cfRule>
    <cfRule type="cellIs" dxfId="40" priority="30" operator="greaterThan">
      <formula>0.89</formula>
    </cfRule>
    <cfRule type="cellIs" dxfId="39" priority="29" operator="between">
      <formula>0.7</formula>
      <formula>0.89</formula>
    </cfRule>
  </conditionalFormatting>
  <conditionalFormatting sqref="H51:H57">
    <cfRule type="cellIs" dxfId="38" priority="22" operator="lessThan">
      <formula>0.7</formula>
    </cfRule>
    <cfRule type="cellIs" dxfId="37" priority="23" operator="between">
      <formula>0.7</formula>
      <formula>0.89</formula>
    </cfRule>
    <cfRule type="cellIs" dxfId="36" priority="24" operator="greaterThan">
      <formula>0.89</formula>
    </cfRule>
  </conditionalFormatting>
  <conditionalFormatting sqref="H62:H68">
    <cfRule type="cellIs" dxfId="35" priority="18" operator="greaterThan">
      <formula>0.89</formula>
    </cfRule>
    <cfRule type="cellIs" dxfId="34" priority="17" operator="between">
      <formula>0.7</formula>
      <formula>0.89</formula>
    </cfRule>
    <cfRule type="cellIs" dxfId="33" priority="16" operator="lessThan">
      <formula>0.7</formula>
    </cfRule>
  </conditionalFormatting>
  <conditionalFormatting sqref="I18:I24">
    <cfRule type="cellIs" dxfId="32" priority="45" operator="greaterThan">
      <formula>0.89</formula>
    </cfRule>
    <cfRule type="cellIs" dxfId="31" priority="44" operator="between">
      <formula>0.7</formula>
      <formula>0.89</formula>
    </cfRule>
    <cfRule type="cellIs" dxfId="30" priority="43" operator="lessThan">
      <formula>0.7</formula>
    </cfRule>
  </conditionalFormatting>
  <conditionalFormatting sqref="I29:I35">
    <cfRule type="cellIs" dxfId="29" priority="34" operator="lessThan">
      <formula>0.7</formula>
    </cfRule>
    <cfRule type="cellIs" dxfId="28" priority="35" operator="between">
      <formula>0.7</formula>
      <formula>0.89</formula>
    </cfRule>
    <cfRule type="cellIs" dxfId="27" priority="36" operator="greaterThan">
      <formula>0.89</formula>
    </cfRule>
  </conditionalFormatting>
  <conditionalFormatting sqref="I73:I79">
    <cfRule type="cellIs" dxfId="26" priority="4" operator="lessThan">
      <formula>0.7</formula>
    </cfRule>
    <cfRule type="cellIs" dxfId="25" priority="5" operator="between">
      <formula>0.7</formula>
      <formula>0.89</formula>
    </cfRule>
    <cfRule type="cellIs" dxfId="24" priority="6" operator="greaterThan">
      <formula>0.89</formula>
    </cfRule>
  </conditionalFormatting>
  <conditionalFormatting sqref="K41:K45">
    <cfRule type="cellIs" dxfId="23" priority="27" operator="greaterThan">
      <formula>0.89</formula>
    </cfRule>
    <cfRule type="cellIs" dxfId="22" priority="26" operator="between">
      <formula>0.7</formula>
      <formula>0.89</formula>
    </cfRule>
    <cfRule type="cellIs" dxfId="21" priority="25" operator="lessThan">
      <formula>0.7</formula>
    </cfRule>
  </conditionalFormatting>
  <conditionalFormatting sqref="K62:K68">
    <cfRule type="cellIs" dxfId="20" priority="10" operator="lessThan">
      <formula>0.7</formula>
    </cfRule>
    <cfRule type="cellIs" dxfId="19" priority="11" operator="between">
      <formula>0.7</formula>
      <formula>0.89</formula>
    </cfRule>
    <cfRule type="cellIs" dxfId="18" priority="12" operator="greaterThan">
      <formula>0.89</formula>
    </cfRule>
  </conditionalFormatting>
  <conditionalFormatting sqref="L18:L24">
    <cfRule type="cellIs" dxfId="17" priority="42" operator="greaterThan">
      <formula>0.89</formula>
    </cfRule>
    <cfRule type="cellIs" dxfId="16" priority="41" operator="between">
      <formula>0.7</formula>
      <formula>0.89</formula>
    </cfRule>
    <cfRule type="cellIs" dxfId="15" priority="40" operator="lessThan">
      <formula>0.7</formula>
    </cfRule>
  </conditionalFormatting>
  <conditionalFormatting sqref="L29:L35">
    <cfRule type="cellIs" dxfId="14" priority="37" operator="lessThan">
      <formula>0.7</formula>
    </cfRule>
    <cfRule type="cellIs" dxfId="13" priority="38" operator="between">
      <formula>0.7</formula>
      <formula>0.89</formula>
    </cfRule>
    <cfRule type="cellIs" dxfId="12" priority="39" operator="greaterThan">
      <formula>0.89</formula>
    </cfRule>
  </conditionalFormatting>
  <conditionalFormatting sqref="L73:L79">
    <cfRule type="cellIs" dxfId="11" priority="3" operator="greaterThan">
      <formula>0.89</formula>
    </cfRule>
    <cfRule type="cellIs" dxfId="10" priority="1" operator="lessThan">
      <formula>0.7</formula>
    </cfRule>
    <cfRule type="cellIs" dxfId="9" priority="2" operator="between">
      <formula>0.7</formula>
      <formula>0.89</formula>
    </cfRule>
  </conditionalFormatting>
  <conditionalFormatting sqref="M7:M13">
    <cfRule type="cellIs" dxfId="8" priority="49" operator="lessThan">
      <formula>0.7</formula>
    </cfRule>
    <cfRule type="cellIs" dxfId="7" priority="50" operator="between">
      <formula>0.7</formula>
      <formula>0.89</formula>
    </cfRule>
    <cfRule type="cellIs" dxfId="6" priority="51" operator="greaterThan">
      <formula>0.89</formula>
    </cfRule>
  </conditionalFormatting>
  <conditionalFormatting sqref="M51:M57">
    <cfRule type="cellIs" dxfId="5" priority="20" operator="between">
      <formula>0.7</formula>
      <formula>0.89</formula>
    </cfRule>
    <cfRule type="cellIs" dxfId="4" priority="21" operator="greaterThan">
      <formula>0.89</formula>
    </cfRule>
    <cfRule type="cellIs" dxfId="3" priority="19" operator="lessThan">
      <formula>0.7</formula>
    </cfRule>
  </conditionalFormatting>
  <conditionalFormatting sqref="N62:N68">
    <cfRule type="cellIs" dxfId="2" priority="14" operator="between">
      <formula>0.7</formula>
      <formula>0.89</formula>
    </cfRule>
    <cfRule type="cellIs" dxfId="1" priority="13" operator="lessThan">
      <formula>0.7</formula>
    </cfRule>
    <cfRule type="cellIs" dxfId="0" priority="15" operator="greaterThan">
      <formula>0.89</formula>
    </cfRule>
  </conditionalFormatting>
  <pageMargins left="0.7" right="0.7" top="0.75" bottom="0.75" header="0.3" footer="0.3"/>
  <ignoredErrors>
    <ignoredError sqref="H14:M14 F25 I25 F36 I36 H47:K47 H58 F80:I80 H69 K69" formula="1"/>
    <ignoredError sqref="K41:K45" evalError="1"/>
  </ignoredErrors>
</worksheet>
</file>

<file path=docMetadata/LabelInfo.xml><?xml version="1.0" encoding="utf-8"?>
<clbl:labelList xmlns:clbl="http://schemas.microsoft.com/office/2020/mipLabelMetadata">
  <clbl:label id="{80b44078-792a-47aa-84a4-8c6988674061}" enabled="1" method="Privileged" siteId="{751e3aa2-0a97-48fb-a422-0b0cd1751da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Area </vt:lpstr>
      <vt:lpstr>branches </vt:lpstr>
      <vt:lpstr>staff sales</vt:lpstr>
      <vt:lpstr>PVT</vt:lpstr>
      <vt:lpstr>داتا اليومي</vt:lpstr>
      <vt:lpstr>Alahsa</vt:lpstr>
      <vt:lpstr>alkhobar</vt:lpstr>
      <vt:lpstr>Dammam</vt:lpstr>
      <vt:lpstr>Jubail</vt:lpstr>
      <vt:lpstr>Jouf</vt:lpstr>
      <vt:lpstr>NBR</vt:lpstr>
      <vt:lpstr>Tabuk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Aljebali</dc:creator>
  <cp:lastModifiedBy>Bader Shabib M Almutairi</cp:lastModifiedBy>
  <dcterms:created xsi:type="dcterms:W3CDTF">2023-03-08T09:37:10Z</dcterms:created>
  <dcterms:modified xsi:type="dcterms:W3CDTF">2026-01-18T13:46:08Z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0b44078-792a-47aa-84a4-8c6988674061_Enabled">
    <vt:lpwstr>true</vt:lpwstr>
  </property>
  <property fmtid="{D5CDD505-2E9C-101B-9397-08002B2CF9AE}" pid="3" name="MSIP_Label_80b44078-792a-47aa-84a4-8c6988674061_SetDate">
    <vt:lpwstr>2023-04-09T09:04:18Z</vt:lpwstr>
  </property>
  <property fmtid="{D5CDD505-2E9C-101B-9397-08002B2CF9AE}" pid="4" name="MSIP_Label_80b44078-792a-47aa-84a4-8c6988674061_Method">
    <vt:lpwstr>Privileged</vt:lpwstr>
  </property>
  <property fmtid="{D5CDD505-2E9C-101B-9397-08002B2CF9AE}" pid="5" name="MSIP_Label_80b44078-792a-47aa-84a4-8c6988674061_Name">
    <vt:lpwstr>General</vt:lpwstr>
  </property>
  <property fmtid="{D5CDD505-2E9C-101B-9397-08002B2CF9AE}" pid="6" name="MSIP_Label_80b44078-792a-47aa-84a4-8c6988674061_SiteId">
    <vt:lpwstr>751e3aa2-0a97-48fb-a422-0b0cd1751da3</vt:lpwstr>
  </property>
  <property fmtid="{D5CDD505-2E9C-101B-9397-08002B2CF9AE}" pid="7" name="MSIP_Label_80b44078-792a-47aa-84a4-8c6988674061_ActionId">
    <vt:lpwstr>b84f82fb-a3f1-4533-8865-d7e4d82a2cfb</vt:lpwstr>
  </property>
  <property fmtid="{D5CDD505-2E9C-101B-9397-08002B2CF9AE}" pid="8" name="MSIP_Label_80b44078-792a-47aa-84a4-8c6988674061_ContentBits">
    <vt:lpwstr>0</vt:lpwstr>
  </property>
</Properties>
</file>